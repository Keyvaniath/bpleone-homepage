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Weekly Buy List" sheetId="3" state="visible" r:id="rId3"/>
    <sheet xmlns:r="http://schemas.openxmlformats.org/officeDocument/2006/relationships" name="Hot Singles" sheetId="4" state="visible" r:id="rId4"/>
    <sheet xmlns:r="http://schemas.openxmlformats.org/officeDocument/2006/relationships" name="Watchlist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Grading Pipeline" sheetId="7" state="visible" r:id="rId7"/>
    <sheet xmlns:r="http://schemas.openxmlformats.org/officeDocument/2006/relationships" name="Realized P&amp;L" sheetId="8" state="visible" r:id="rId8"/>
    <sheet xmlns:r="http://schemas.openxmlformats.org/officeDocument/2006/relationships" name="Allocation" sheetId="9" state="visible" r:id="rId9"/>
    <sheet xmlns:r="http://schemas.openxmlformats.org/officeDocument/2006/relationships" name="Coordination" sheetId="10" state="visible" r:id="rId10"/>
    <sheet xmlns:r="http://schemas.openxmlformats.org/officeDocument/2006/relationships" name="Price History" sheetId="11" state="visible" r:id="rId11"/>
    <sheet xmlns:r="http://schemas.openxmlformats.org/officeDocument/2006/relationships" name="eBay Sold Comps" sheetId="12" state="visible" r:id="rId12"/>
    <sheet xmlns:r="http://schemas.openxmlformats.org/officeDocument/2006/relationships" name="Refresh URLs" sheetId="13" state="visible" r:id="rId13"/>
    <sheet xmlns:r="http://schemas.openxmlformats.org/officeDocument/2006/relationships" name="Research Notes" sheetId="14" state="visible" r:id="rId14"/>
    <sheet xmlns:r="http://schemas.openxmlformats.org/officeDocument/2006/relationships" name="Sources" sheetId="15" state="visible" r:id="rId15"/>
    <sheet xmlns:r="http://schemas.openxmlformats.org/officeDocument/2006/relationships" name="Personal Trades" sheetId="16" state="visible" r:id="rId16"/>
    <sheet xmlns:r="http://schemas.openxmlformats.org/officeDocument/2006/relationships" name="Hunt List" sheetId="17" state="visible" r:id="rId17"/>
  </sheets>
  <definedNames>
    <definedName name="_xlnm._FilterDatabase" localSheetId="4" hidden="1">'Watchlist'!$A$4:$AB$202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$#,##0;&quot;($&quot;#,##0\);\-"/>
    <numFmt numFmtId="165" formatCode="0.0%;\(0.0%\);\-"/>
    <numFmt numFmtId="166" formatCode="#,##0;\(#,##0\);\-"/>
    <numFmt numFmtId="167" formatCode="0.0"/>
    <numFmt numFmtId="168" formatCode="yyyy\-mm\-dd"/>
    <numFmt numFmtId="169" formatCode="\$#,##0.00;&quot;($&quot;#,##0.00\);\-"/>
    <numFmt numFmtId="170" formatCode="yyyy-mm-dd h:mm:ss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A44"/>
      <sz val="22"/>
    </font>
    <font>
      <name val="Arial"/>
      <charset val="1"/>
      <family val="0"/>
      <i val="1"/>
      <color rgb="FF595959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2A44"/>
      <sz val="18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2A44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sz val="10"/>
    </font>
    <font>
      <b val="1"/>
      <sz val="14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CE6F1"/>
      </patternFill>
    </fill>
    <fill>
      <patternFill patternType="solid">
        <fgColor rgb="FFFFC7CE"/>
        <bgColor rgb="FFFFEB9C"/>
      </patternFill>
    </fill>
    <fill>
      <patternFill patternType="solid">
        <fgColor rgb="FFFFFFCC"/>
        <bgColor rgb="FFFFFFFF"/>
      </patternFill>
    </fill>
    <fill>
      <patternFill patternType="solid">
        <fgColor rgb="00C9A73C"/>
        <bgColor rgb="00C9A73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2A44"/>
      </top>
      <bottom style="medium">
        <color rgb="FF1F2A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right" vertical="center"/>
    </xf>
    <xf numFmtId="0" fontId="12" fillId="2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0" fontId="10" fillId="5" borderId="0" applyAlignment="1" pivotButton="0" quotePrefix="0" xfId="0">
      <alignment horizontal="general" vertical="bottom"/>
    </xf>
    <xf numFmtId="167" fontId="7" fillId="4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general" vertical="bottom"/>
    </xf>
    <xf numFmtId="1" fontId="13" fillId="3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10" fillId="6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4" fillId="7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165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14" fillId="7" borderId="1" applyAlignment="1" pivotButton="0" quotePrefix="0" xfId="0">
      <alignment horizontal="right" vertical="center"/>
    </xf>
    <xf numFmtId="168" fontId="14" fillId="7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right" vertical="center"/>
    </xf>
    <xf numFmtId="1" fontId="11" fillId="3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164" fontId="14" fillId="7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4" fillId="7" borderId="1" applyAlignment="1" pivotButton="0" quotePrefix="0" xfId="0">
      <alignment horizontal="general" vertical="bottom"/>
    </xf>
    <xf numFmtId="0" fontId="14" fillId="7" borderId="1" applyAlignment="1" pivotButton="0" quotePrefix="0" xfId="0">
      <alignment horizontal="center" vertical="center" wrapText="1"/>
    </xf>
    <xf numFmtId="169" fontId="14" fillId="7" borderId="1" applyAlignment="1" pivotButton="0" quotePrefix="0" xfId="0">
      <alignment horizontal="right" vertical="center"/>
    </xf>
    <xf numFmtId="169" fontId="7" fillId="0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general" vertical="bottom"/>
    </xf>
    <xf numFmtId="168" fontId="14" fillId="7" borderId="1" applyAlignment="1" pivotButton="0" quotePrefix="0" xfId="0">
      <alignment horizontal="general" vertical="bottom"/>
    </xf>
    <xf numFmtId="169" fontId="14" fillId="7" borderId="1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/>
    </xf>
    <xf numFmtId="168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165" fontId="14" fillId="7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5" fontId="14" fillId="7" borderId="1" applyAlignment="1" pivotButton="0" quotePrefix="0" xfId="0">
      <alignment horizontal="right" vertical="center"/>
    </xf>
    <xf numFmtId="164" fontId="14" fillId="7" borderId="1" applyAlignment="1" pivotButton="0" quotePrefix="0" xfId="0">
      <alignment horizontal="right" vertical="center"/>
    </xf>
    <xf numFmtId="0" fontId="12" fillId="2" borderId="2" applyAlignment="1" pivotButton="0" quotePrefix="0" xfId="0">
      <alignment horizontal="general" vertical="bottom"/>
    </xf>
    <xf numFmtId="166" fontId="12" fillId="2" borderId="2" applyAlignment="1" pivotButton="0" quotePrefix="0" xfId="0">
      <alignment horizontal="center" vertical="center" wrapText="1"/>
    </xf>
    <xf numFmtId="164" fontId="12" fillId="2" borderId="2" applyAlignment="1" pivotButton="0" quotePrefix="0" xfId="0">
      <alignment horizontal="right" vertical="center"/>
    </xf>
    <xf numFmtId="165" fontId="12" fillId="2" borderId="2" applyAlignment="1" pivotButton="0" quotePrefix="0" xfId="0">
      <alignment horizontal="right" vertical="center"/>
    </xf>
    <xf numFmtId="0" fontId="14" fillId="7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168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166" fontId="14" fillId="7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right" vertical="center"/>
    </xf>
    <xf numFmtId="0" fontId="12" fillId="2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0" fontId="10" fillId="5" borderId="0" applyAlignment="1" pivotButton="0" quotePrefix="0" xfId="0">
      <alignment horizontal="general" vertical="bottom"/>
    </xf>
    <xf numFmtId="167" fontId="7" fillId="4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general" vertical="bottom"/>
    </xf>
    <xf numFmtId="1" fontId="13" fillId="3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10" fillId="6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4" fillId="7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165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164" fontId="14" fillId="7" borderId="1" applyAlignment="1" pivotButton="0" quotePrefix="0" xfId="0">
      <alignment horizontal="right" vertical="center"/>
    </xf>
    <xf numFmtId="168" fontId="14" fillId="7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right" vertical="center"/>
    </xf>
    <xf numFmtId="1" fontId="11" fillId="3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164" fontId="14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70" fontId="0" fillId="0" borderId="0" pivotButton="0" quotePrefix="0" xfId="0"/>
    <xf numFmtId="0" fontId="14" fillId="7" borderId="1" applyAlignment="1" pivotButton="0" quotePrefix="0" xfId="0">
      <alignment horizontal="general" vertical="bottom"/>
    </xf>
    <xf numFmtId="0" fontId="14" fillId="7" borderId="1" applyAlignment="1" pivotButton="0" quotePrefix="0" xfId="0">
      <alignment horizontal="center" vertical="center" wrapText="1"/>
    </xf>
    <xf numFmtId="169" fontId="14" fillId="7" borderId="1" applyAlignment="1" pivotButton="0" quotePrefix="0" xfId="0">
      <alignment horizontal="right" vertical="center"/>
    </xf>
    <xf numFmtId="169" fontId="7" fillId="0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general" vertical="bottom"/>
    </xf>
    <xf numFmtId="168" fontId="14" fillId="7" borderId="1" applyAlignment="1" pivotButton="0" quotePrefix="0" xfId="0">
      <alignment horizontal="general" vertical="bottom"/>
    </xf>
    <xf numFmtId="169" fontId="14" fillId="7" borderId="1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/>
    </xf>
    <xf numFmtId="168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165" fontId="14" fillId="7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5" fontId="14" fillId="7" borderId="1" applyAlignment="1" pivotButton="0" quotePrefix="0" xfId="0">
      <alignment horizontal="right" vertical="center"/>
    </xf>
    <xf numFmtId="0" fontId="12" fillId="2" borderId="2" applyAlignment="1" pivotButton="0" quotePrefix="0" xfId="0">
      <alignment horizontal="general" vertical="bottom"/>
    </xf>
    <xf numFmtId="166" fontId="12" fillId="2" borderId="2" applyAlignment="1" pivotButton="0" quotePrefix="0" xfId="0">
      <alignment horizontal="center" vertical="center" wrapText="1"/>
    </xf>
    <xf numFmtId="164" fontId="12" fillId="2" borderId="2" applyAlignment="1" pivotButton="0" quotePrefix="0" xfId="0">
      <alignment horizontal="right" vertical="center"/>
    </xf>
    <xf numFmtId="165" fontId="12" fillId="2" borderId="2" applyAlignment="1" pivotButton="0" quotePrefix="0" xfId="0">
      <alignment horizontal="right" vertical="center"/>
    </xf>
    <xf numFmtId="0" fontId="14" fillId="7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168" fontId="0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166" fontId="14" fillId="7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bottom"/>
    </xf>
    <xf numFmtId="0" fontId="18" fillId="0" borderId="0" pivotButton="0" quotePrefix="0" xfId="0"/>
    <xf numFmtId="0" fontId="19" fillId="8" borderId="0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>
          <bgColor rgb="FF63BE7B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BDD7EE"/>
        </patternFill>
      </fill>
    </dxf>
    <dxf>
      <fill>
        <patternFill>
          <bgColor rgb="FFFFD966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6B6B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63BE7B"/>
      <rgbColor rgb="FF99CC00"/>
      <rgbColor rgb="FFF5C842"/>
      <rgbColor rgb="FFFF9900"/>
      <rgbColor rgb="FFFF6600"/>
      <rgbColor rgb="FF595959"/>
      <rgbColor rgb="FF9C7B5B"/>
      <rgbColor rgb="FF003366"/>
      <rgbColor rgb="FF339966"/>
      <rgbColor rgb="FF003300"/>
      <rgbColor rgb="FF333300"/>
      <rgbColor rgb="FF993300"/>
      <rgbColor rgb="FF993366"/>
      <rgbColor rgb="FF3B5998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hyperlink" Target="https://www.pricecharting.com/game/pokemon-base-set/charizard-1st-edition-4" TargetMode="External" Id="rId1"/><Relationship Type="http://schemas.openxmlformats.org/officeDocument/2006/relationships/hyperlink" Target="https://www.pricecharting.com/game/pokemon-base-set/charizard-1st-edition-4" TargetMode="External" Id="rId2"/><Relationship Type="http://schemas.openxmlformats.org/officeDocument/2006/relationships/hyperlink" Target="https://www.pricecharting.com/game/pokemon-base-set/charizard-shadowless-4" TargetMode="External" Id="rId3"/><Relationship Type="http://schemas.openxmlformats.org/officeDocument/2006/relationships/hyperlink" Target="https://www.pricecharting.com/game/pokemon-base-set/charizard-4" TargetMode="External" Id="rId4"/><Relationship Type="http://schemas.openxmlformats.org/officeDocument/2006/relationships/hyperlink" Target="https://www.pricecharting.com/game/pokemon-base-set/charizard-4" TargetMode="External" Id="rId5"/><Relationship Type="http://schemas.openxmlformats.org/officeDocument/2006/relationships/hyperlink" Target="https://www.pricecharting.com/game/pokemon-base-set/blastoise-1st-edition-2" TargetMode="External" Id="rId6"/><Relationship Type="http://schemas.openxmlformats.org/officeDocument/2006/relationships/hyperlink" Target="https://www.pricecharting.com/game/pokemon-base-set/venusaur-1st-edition-15" TargetMode="External" Id="rId7"/><Relationship Type="http://schemas.openxmlformats.org/officeDocument/2006/relationships/hyperlink" Target="https://www.pricecharting.com/game/pokemon-base-set/chansey-1st-edition-3" TargetMode="External" Id="rId8"/><Relationship Type="http://schemas.openxmlformats.org/officeDocument/2006/relationships/hyperlink" Target="https://www.pricecharting.com/game/pokemon-base-set/mewtwo-1st-edition-10" TargetMode="External" Id="rId9"/><Relationship Type="http://schemas.openxmlformats.org/officeDocument/2006/relationships/hyperlink" Target="https://www.pricecharting.com/game/pokemon-base-set/alakazam-1st-edition-1" TargetMode="External" Id="rId10"/><Relationship Type="http://schemas.openxmlformats.org/officeDocument/2006/relationships/hyperlink" Target="https://www.pricecharting.com/game/pokemon-base-set/ninetales-1st-edition-12" TargetMode="External" Id="rId11"/><Relationship Type="http://schemas.openxmlformats.org/officeDocument/2006/relationships/hyperlink" Target="https://www.pricecharting.com/game/pokemon-base-set/zapdos-1st-edition-16" TargetMode="External" Id="rId12"/><Relationship Type="http://schemas.openxmlformats.org/officeDocument/2006/relationships/hyperlink" Target="https://www.pricecharting.com/game/pokemon-base-set/pikachu-red-cheeks-58" TargetMode="External" Id="rId13"/><Relationship Type="http://schemas.openxmlformats.org/officeDocument/2006/relationships/hyperlink" Target="https://www.pricecharting.com/game/pokemon-fossil/dragonite-1st-edition-4" TargetMode="External" Id="rId14"/><Relationship Type="http://schemas.openxmlformats.org/officeDocument/2006/relationships/hyperlink" Target="https://www.pricecharting.com/game/pokemon-fossil/mewtwo-1st-edition-10" TargetMode="External" Id="rId15"/><Relationship Type="http://schemas.openxmlformats.org/officeDocument/2006/relationships/hyperlink" Target="https://www.pricecharting.com/game/pokemon-neo-genesis/lugia-1st-edition-9" TargetMode="External" Id="rId16"/><Relationship Type="http://schemas.openxmlformats.org/officeDocument/2006/relationships/hyperlink" Target="https://www.pricecharting.com/game/pokemon-neo-destiny/shining-charizard-1st-edition-107" TargetMode="External" Id="rId17"/><Relationship Type="http://schemas.openxmlformats.org/officeDocument/2006/relationships/hyperlink" Target="https://www.pricecharting.com/game/pokemon-neo-destiny/shining-tyranitar-1st-edition-113" TargetMode="External" Id="rId18"/><Relationship Type="http://schemas.openxmlformats.org/officeDocument/2006/relationships/hyperlink" Target="https://www.pricecharting.com/game/pokemon-promo/pikachu-trophy-bronze" TargetMode="External" Id="rId19"/><Relationship Type="http://schemas.openxmlformats.org/officeDocument/2006/relationships/hyperlink" Target="https://www.pricecharting.com/game/pokemon-dragon-frontiers/charizard-gold-star-100" TargetMode="External" Id="rId20"/><Relationship Type="http://schemas.openxmlformats.org/officeDocument/2006/relationships/hyperlink" Target="https://www.pricecharting.com/game/pokemon-dragon-frontiers/charizard-gold-star-100" TargetMode="External" Id="rId21"/><Relationship Type="http://schemas.openxmlformats.org/officeDocument/2006/relationships/hyperlink" Target="https://www.pricecharting.com/game/pokemon-pop-series-5/umbreon-gold-star-17" TargetMode="External" Id="rId22"/><Relationship Type="http://schemas.openxmlformats.org/officeDocument/2006/relationships/hyperlink" Target="https://www.pricecharting.com/game/pokemon-pop-series-5/espeon-gold-star-16" TargetMode="External" Id="rId23"/><Relationship Type="http://schemas.openxmlformats.org/officeDocument/2006/relationships/hyperlink" Target="https://www.pricecharting.com/game/pokemon-ex-power-keepers/vaporeon-gold-star" TargetMode="External" Id="rId24"/><Relationship Type="http://schemas.openxmlformats.org/officeDocument/2006/relationships/hyperlink" Target="https://www.pricecharting.com/game/pokemon-ex-power-keepers/jolteon-gold-star" TargetMode="External" Id="rId25"/><Relationship Type="http://schemas.openxmlformats.org/officeDocument/2006/relationships/hyperlink" Target="https://www.pricecharting.com/game/pokemon-ex-power-keepers/flareon-gold-star" TargetMode="External" Id="rId26"/><Relationship Type="http://schemas.openxmlformats.org/officeDocument/2006/relationships/hyperlink" Target="https://www.pricecharting.com/game/pokemon-ex-deoxys/rayquaza-gold-star" TargetMode="External" Id="rId27"/><Relationship Type="http://schemas.openxmlformats.org/officeDocument/2006/relationships/hyperlink" Target="https://www.pricecharting.com/game/pokemon-ex-holon-phantoms/mew-gold-star" TargetMode="External" Id="rId28"/><Relationship Type="http://schemas.openxmlformats.org/officeDocument/2006/relationships/hyperlink" Target="https://www.pricecharting.com/game/pokemon-diamond-and-pearl-promos/glaceon-gold-star-dp38" TargetMode="External" Id="rId29"/><Relationship Type="http://schemas.openxmlformats.org/officeDocument/2006/relationships/hyperlink" Target="https://www.pricecharting.com/game/pokemon-diamond-and-pearl-promos/leafeon-gold-star-dp37" TargetMode="External" Id="rId30"/><Relationship Type="http://schemas.openxmlformats.org/officeDocument/2006/relationships/hyperlink" Target="https://www.pricecharting.com/game/pokemon-promo/pikachu-illustrator" TargetMode="External" Id="rId31"/><Relationship Type="http://schemas.openxmlformats.org/officeDocument/2006/relationships/hyperlink" Target="https://www.pricecharting.com/game/pokemon-promo/tropical-wind-promo" TargetMode="External" Id="rId32"/><Relationship Type="http://schemas.openxmlformats.org/officeDocument/2006/relationships/hyperlink" Target="https://www.pricecharting.com/game/pokemon-promo/no-2-trainer" TargetMode="External" Id="rId33"/><Relationship Type="http://schemas.openxmlformats.org/officeDocument/2006/relationships/hyperlink" Target="https://www.pricecharting.com/game/pokemon-gym-heroes/blaines-charizard-1st-edition-2" TargetMode="External" Id="rId34"/><Relationship Type="http://schemas.openxmlformats.org/officeDocument/2006/relationships/hyperlink" Target="https://www.pricecharting.com/game/pokemon-team-rocket/dark-charizard-1st-edition-4" TargetMode="External" Id="rId35"/><Relationship Type="http://schemas.openxmlformats.org/officeDocument/2006/relationships/hyperlink" Target="https://www.tcgplayer.com/product/246723" TargetMode="External" Id="rId36"/><Relationship Type="http://schemas.openxmlformats.org/officeDocument/2006/relationships/hyperlink" Target="https://www.tcgplayer.com/product/246723" TargetMode="External" Id="rId37"/><Relationship Type="http://schemas.openxmlformats.org/officeDocument/2006/relationships/hyperlink" Target="https://www.tcgplayer.com/product/246726" TargetMode="External" Id="rId38"/><Relationship Type="http://schemas.openxmlformats.org/officeDocument/2006/relationships/hyperlink" Target="https://www.tcgplayer.com/product/246720" TargetMode="External" Id="rId39"/><Relationship Type="http://schemas.openxmlformats.org/officeDocument/2006/relationships/hyperlink" Target="https://www.tcgplayer.com/product/246716" TargetMode="External" Id="rId40"/><Relationship Type="http://schemas.openxmlformats.org/officeDocument/2006/relationships/hyperlink" Target="https://www.tcgplayer.com/product/246713" TargetMode="External" Id="rId41"/><Relationship Type="http://schemas.openxmlformats.org/officeDocument/2006/relationships/hyperlink" Target="https://www.tcgplayer.com/product/246718" TargetMode="External" Id="rId42"/><Relationship Type="http://schemas.openxmlformats.org/officeDocument/2006/relationships/hyperlink" Target="https://www.tcgplayer.com/product/246711" TargetMode="External" Id="rId43"/><Relationship Type="http://schemas.openxmlformats.org/officeDocument/2006/relationships/hyperlink" Target="https://www.tcgplayer.com/product/246697" TargetMode="External" Id="rId44"/><Relationship Type="http://schemas.openxmlformats.org/officeDocument/2006/relationships/hyperlink" Target="https://www.tcgplayer.com/product/246700" TargetMode="External" Id="rId45"/><Relationship Type="http://schemas.openxmlformats.org/officeDocument/2006/relationships/hyperlink" Target="https://www.tcgplayer.com/product/246725" TargetMode="External" Id="rId46"/><Relationship Type="http://schemas.openxmlformats.org/officeDocument/2006/relationships/hyperlink" Target="https://www.tcgplayer.com/product/246702" TargetMode="External" Id="rId47"/><Relationship Type="http://schemas.openxmlformats.org/officeDocument/2006/relationships/hyperlink" Target="https://www.tcgplayer.com/product/223073" TargetMode="External" Id="rId48"/><Relationship Type="http://schemas.openxmlformats.org/officeDocument/2006/relationships/hyperlink" Target="https://www.tcgplayer.com/product/223078" TargetMode="External" Id="rId49"/><Relationship Type="http://schemas.openxmlformats.org/officeDocument/2006/relationships/hyperlink" Target="https://www.tcgplayer.com/product/261975" TargetMode="External" Id="rId50"/><Relationship Type="http://schemas.openxmlformats.org/officeDocument/2006/relationships/hyperlink" Target="https://www.tcgplayer.com/product/261977" TargetMode="External" Id="rId51"/><Relationship Type="http://schemas.openxmlformats.org/officeDocument/2006/relationships/hyperlink" Target="https://www.tcgplayer.com/product/261976" TargetMode="External" Id="rId52"/><Relationship Type="http://schemas.openxmlformats.org/officeDocument/2006/relationships/hyperlink" Target="https://www.tcgplayer.com/product/261985" TargetMode="External" Id="rId53"/><Relationship Type="http://schemas.openxmlformats.org/officeDocument/2006/relationships/hyperlink" Target="https://www.tcgplayer.com/product/267749" TargetMode="External" Id="rId54"/><Relationship Type="http://schemas.openxmlformats.org/officeDocument/2006/relationships/hyperlink" Target="https://www.tcgplayer.com/product/267748" TargetMode="External" Id="rId55"/><Relationship Type="http://schemas.openxmlformats.org/officeDocument/2006/relationships/hyperlink" Target="https://www.pricecharting.com/game/pokemon-lost-origin/giratina-vstar-tg30" TargetMode="External" Id="rId56"/><Relationship Type="http://schemas.openxmlformats.org/officeDocument/2006/relationships/hyperlink" Target="https://www.tcgplayer.com/product/271620" TargetMode="External" Id="rId57"/><Relationship Type="http://schemas.openxmlformats.org/officeDocument/2006/relationships/hyperlink" Target="https://www.tcgplayer.com/product/271612" TargetMode="External" Id="rId58"/><Relationship Type="http://schemas.openxmlformats.org/officeDocument/2006/relationships/hyperlink" Target="https://www.tcgplayer.com/product/278920" TargetMode="External" Id="rId59"/><Relationship Type="http://schemas.openxmlformats.org/officeDocument/2006/relationships/hyperlink" Target="https://www.tcgplayer.com/product/278897" TargetMode="External" Id="rId60"/><Relationship Type="http://schemas.openxmlformats.org/officeDocument/2006/relationships/hyperlink" Target="https://www.tcgplayer.com/product/278892" TargetMode="External" Id="rId61"/><Relationship Type="http://schemas.openxmlformats.org/officeDocument/2006/relationships/hyperlink" Target="https://www.tcgplayer.com/product/278899" TargetMode="External" Id="rId62"/><Relationship Type="http://schemas.openxmlformats.org/officeDocument/2006/relationships/hyperlink" Target="https://www.tcgplayer.com/product/278902" TargetMode="External" Id="rId63"/><Relationship Type="http://schemas.openxmlformats.org/officeDocument/2006/relationships/hyperlink" Target="https://www.tcgplayer.com/product/477059" TargetMode="External" Id="rId64"/><Relationship Type="http://schemas.openxmlformats.org/officeDocument/2006/relationships/hyperlink" Target="https://www.tcgplayer.com/product/477057" TargetMode="External" Id="rId65"/><Relationship Type="http://schemas.openxmlformats.org/officeDocument/2006/relationships/hyperlink" Target="https://www.tcgplayer.com/product/477069" TargetMode="External" Id="rId66"/><Relationship Type="http://schemas.openxmlformats.org/officeDocument/2006/relationships/hyperlink" Target="https://www.tcgplayer.com/product/477064" TargetMode="External" Id="rId67"/><Relationship Type="http://schemas.openxmlformats.org/officeDocument/2006/relationships/hyperlink" Target="https://www.tcgplayer.com/product/477058" TargetMode="External" Id="rId68"/><Relationship Type="http://schemas.openxmlformats.org/officeDocument/2006/relationships/hyperlink" Target="https://www.tcgplayer.com/product/498100" TargetMode="External" Id="rId69"/><Relationship Type="http://schemas.openxmlformats.org/officeDocument/2006/relationships/hyperlink" Target="https://www.tcgplayer.com/product/498100" TargetMode="External" Id="rId70"/><Relationship Type="http://schemas.openxmlformats.org/officeDocument/2006/relationships/hyperlink" Target="https://www.tcgplayer.com/product/498084" TargetMode="External" Id="rId71"/><Relationship Type="http://schemas.openxmlformats.org/officeDocument/2006/relationships/hyperlink" Target="https://www.tcgplayer.com/product/498106" TargetMode="External" Id="rId72"/><Relationship Type="http://schemas.openxmlformats.org/officeDocument/2006/relationships/hyperlink" Target="https://www.tcgplayer.com/product/498103" TargetMode="External" Id="rId73"/><Relationship Type="http://schemas.openxmlformats.org/officeDocument/2006/relationships/hyperlink" Target="https://www.tcgplayer.com/product/498099" TargetMode="External" Id="rId74"/><Relationship Type="http://schemas.openxmlformats.org/officeDocument/2006/relationships/hyperlink" Target="https://www.tcgplayer.com/product/498101" TargetMode="External" Id="rId75"/><Relationship Type="http://schemas.openxmlformats.org/officeDocument/2006/relationships/hyperlink" Target="https://www.tcgplayer.com/product/498102" TargetMode="External" Id="rId76"/><Relationship Type="http://schemas.openxmlformats.org/officeDocument/2006/relationships/hyperlink" Target="https://www.tcgplayer.com/product/498075" TargetMode="External" Id="rId77"/><Relationship Type="http://schemas.openxmlformats.org/officeDocument/2006/relationships/hyperlink" Target="https://www.tcgplayer.com/product/498104" TargetMode="External" Id="rId78"/><Relationship Type="http://schemas.openxmlformats.org/officeDocument/2006/relationships/hyperlink" Target="https://www.pricecharting.com/game/pokemon-paldea-evolved/iono-237" TargetMode="External" Id="rId79"/><Relationship Type="http://schemas.openxmlformats.org/officeDocument/2006/relationships/hyperlink" Target="https://www.tcgplayer.com/product/505420" TargetMode="External" Id="rId80"/><Relationship Type="http://schemas.openxmlformats.org/officeDocument/2006/relationships/hyperlink" Target="https://www.tcgplayer.com/product/521988" TargetMode="External" Id="rId81"/><Relationship Type="http://schemas.openxmlformats.org/officeDocument/2006/relationships/hyperlink" Target="https://www.pricecharting.com/game/pokemon-obsidian-flames/charizard-ex-special-illustration-rare-215" TargetMode="External" Id="rId82"/><Relationship Type="http://schemas.openxmlformats.org/officeDocument/2006/relationships/hyperlink" Target="https://www.tcgplayer.com/product/521990" TargetMode="External" Id="rId83"/><Relationship Type="http://schemas.openxmlformats.org/officeDocument/2006/relationships/hyperlink" Target="https://www.tcgplayer.com/product/521989" TargetMode="External" Id="rId84"/><Relationship Type="http://schemas.openxmlformats.org/officeDocument/2006/relationships/hyperlink" Target="https://www.tcgplayer.com/product/536451" TargetMode="External" Id="rId85"/><Relationship Type="http://schemas.openxmlformats.org/officeDocument/2006/relationships/hyperlink" Target="https://www.tcgplayer.com/product/536452" TargetMode="External" Id="rId86"/><Relationship Type="http://schemas.openxmlformats.org/officeDocument/2006/relationships/hyperlink" Target="https://www.tcgplayer.com/product/536461" TargetMode="External" Id="rId87"/><Relationship Type="http://schemas.openxmlformats.org/officeDocument/2006/relationships/hyperlink" Target="https://www.tcgplayer.com/product/536453" TargetMode="External" Id="rId88"/><Relationship Type="http://schemas.openxmlformats.org/officeDocument/2006/relationships/hyperlink" Target="https://www.tcgplayer.com/product/536474" TargetMode="External" Id="rId89"/><Relationship Type="http://schemas.openxmlformats.org/officeDocument/2006/relationships/hyperlink" Target="https://www.tcgplayer.com/product/536475" TargetMode="External" Id="rId90"/><Relationship Type="http://schemas.openxmlformats.org/officeDocument/2006/relationships/hyperlink" Target="https://www.tcgplayer.com/product/542687" TargetMode="External" Id="rId91"/><Relationship Type="http://schemas.openxmlformats.org/officeDocument/2006/relationships/hyperlink" Target="https://www.tcgplayer.com/product/542688" TargetMode="External" Id="rId92"/><Relationship Type="http://schemas.openxmlformats.org/officeDocument/2006/relationships/hyperlink" Target="https://www.tcgplayer.com/product/542685" TargetMode="External" Id="rId93"/><Relationship Type="http://schemas.openxmlformats.org/officeDocument/2006/relationships/hyperlink" Target="https://www.tcgplayer.com/product/567103" TargetMode="External" Id="rId94"/><Relationship Type="http://schemas.openxmlformats.org/officeDocument/2006/relationships/hyperlink" Target="https://www.tcgplayer.com/product/567100" TargetMode="External" Id="rId95"/><Relationship Type="http://schemas.openxmlformats.org/officeDocument/2006/relationships/hyperlink" Target="https://www.tcgplayer.com/product/567101" TargetMode="External" Id="rId96"/><Relationship Type="http://schemas.openxmlformats.org/officeDocument/2006/relationships/hyperlink" Target="https://www.tcgplayer.com/product/586420" TargetMode="External" Id="rId97"/><Relationship Type="http://schemas.openxmlformats.org/officeDocument/2006/relationships/hyperlink" Target="https://www.tcgplayer.com/product/586412" TargetMode="External" Id="rId98"/><Relationship Type="http://schemas.openxmlformats.org/officeDocument/2006/relationships/hyperlink" Target="https://www.tcgplayer.com/product/598340" TargetMode="External" Id="rId99"/><Relationship Type="http://schemas.openxmlformats.org/officeDocument/2006/relationships/hyperlink" Target="https://www.tcgplayer.com/product/598335" TargetMode="External" Id="rId100"/><Relationship Type="http://schemas.openxmlformats.org/officeDocument/2006/relationships/hyperlink" Target="https://www.tcgplayer.com/product/610489" TargetMode="External" Id="rId101"/><Relationship Type="http://schemas.openxmlformats.org/officeDocument/2006/relationships/hyperlink" Target="https://www.tcgplayer.com/product/610490" TargetMode="External" Id="rId102"/><Relationship Type="http://schemas.openxmlformats.org/officeDocument/2006/relationships/hyperlink" Target="https://www.tcgplayer.com/product/610491" TargetMode="External" Id="rId103"/><Relationship Type="http://schemas.openxmlformats.org/officeDocument/2006/relationships/hyperlink" Target="https://www.pricecharting.com/game/pokemon-prismatic-evolutions/umbreon-ex-161" TargetMode="External" Id="rId104"/><Relationship Type="http://schemas.openxmlformats.org/officeDocument/2006/relationships/hyperlink" Target="https://www.tcgplayer.com/product/610516" TargetMode="External" Id="rId105"/><Relationship Type="http://schemas.openxmlformats.org/officeDocument/2006/relationships/hyperlink" Target="https://www.pricecharting.com/game/pokemon-prismatic-evolutions/sylveon-ex-156" TargetMode="External" Id="rId106"/><Relationship Type="http://schemas.openxmlformats.org/officeDocument/2006/relationships/hyperlink" Target="https://www.tcgplayer.com/product/610510" TargetMode="External" Id="rId107"/><Relationship Type="http://schemas.openxmlformats.org/officeDocument/2006/relationships/hyperlink" Target="https://www.tcgplayer.com/product/610514" TargetMode="External" Id="rId108"/><Relationship Type="http://schemas.openxmlformats.org/officeDocument/2006/relationships/hyperlink" Target="https://www.tcgplayer.com/product/610513" TargetMode="External" Id="rId109"/><Relationship Type="http://schemas.openxmlformats.org/officeDocument/2006/relationships/hyperlink" Target="https://www.tcgplayer.com/product/610499" TargetMode="External" Id="rId110"/><Relationship Type="http://schemas.openxmlformats.org/officeDocument/2006/relationships/hyperlink" Target="https://www.tcgplayer.com/product/645321" TargetMode="External" Id="rId111"/><Relationship Type="http://schemas.openxmlformats.org/officeDocument/2006/relationships/hyperlink" Target="https://www.tcgplayer.com/product/645316" TargetMode="External" Id="rId112"/><Relationship Type="http://schemas.openxmlformats.org/officeDocument/2006/relationships/hyperlink" Target="https://www.tcgplayer.com/product/654523" TargetMode="External" Id="rId113"/><Relationship Type="http://schemas.openxmlformats.org/officeDocument/2006/relationships/hyperlink" Target="https://www.tcgplayer.com/product/654523" TargetMode="External" Id="rId114"/><Relationship Type="http://schemas.openxmlformats.org/officeDocument/2006/relationships/hyperlink" Target="https://www.tcgplayer.com/product/654519" TargetMode="External" Id="rId115"/><Relationship Type="http://schemas.openxmlformats.org/officeDocument/2006/relationships/hyperlink" Target="https://www.pricecharting.com/game/pokemon-ascended-heroes/mega-gengar-ex-284" TargetMode="External" Id="rId116"/><Relationship Type="http://schemas.openxmlformats.org/officeDocument/2006/relationships/hyperlink" Target="https://www.tcgplayer.com/product/676096" TargetMode="External" Id="rId117"/><Relationship Type="http://schemas.openxmlformats.org/officeDocument/2006/relationships/hyperlink" Target="https://www.tcgplayer.com/product/676081" TargetMode="External" Id="rId118"/><Relationship Type="http://schemas.openxmlformats.org/officeDocument/2006/relationships/hyperlink" Target="https://www.tcgplayer.com/product/676098" TargetMode="External" Id="rId119"/><Relationship Type="http://schemas.openxmlformats.org/officeDocument/2006/relationships/hyperlink" Target="https://www.tcgplayer.com/product/676097" TargetMode="External" Id="rId120"/><Relationship Type="http://schemas.openxmlformats.org/officeDocument/2006/relationships/hyperlink" Target="https://www.tcgplayer.com/product/676095" TargetMode="External" Id="rId121"/><Relationship Type="http://schemas.openxmlformats.org/officeDocument/2006/relationships/hyperlink" Target="https://www.tcgplayer.com/product/676100" TargetMode="External" Id="rId122"/><Relationship Type="http://schemas.openxmlformats.org/officeDocument/2006/relationships/hyperlink" Target="https://www.tcgplayer.com/product/676100" TargetMode="External" Id="rId123"/><Relationship Type="http://schemas.openxmlformats.org/officeDocument/2006/relationships/hyperlink" Target="https://www.pricecharting.com/game/pokemon-promo/van-gogh-pikachu-085" TargetMode="External" Id="rId124"/><Relationship Type="http://schemas.openxmlformats.org/officeDocument/2006/relationships/hyperlink" Target="https://www.pricecharting.com/game/pokemon-promo/van-gogh-pikachu-085" TargetMode="External" Id="rId125"/><Relationship Type="http://schemas.openxmlformats.org/officeDocument/2006/relationships/hyperlink" Target="https://www.pricecharting.com/game/pokemon-promo/pokemon-day-2026-pikachu" TargetMode="External" Id="rId126"/><Relationship Type="http://schemas.openxmlformats.org/officeDocument/2006/relationships/hyperlink" Target="https://www.pricecharting.com/game/pokemon-promo/birthday-pikachu-24" TargetMode="External" Id="rId127"/><Relationship Type="http://schemas.openxmlformats.org/officeDocument/2006/relationships/hyperlink" Target="https://www.pricecharting.com/game/pokemon-promo/tropical-wind-2010" TargetMode="External" Id="rId128"/><Relationship Type="http://schemas.openxmlformats.org/officeDocument/2006/relationships/hyperlink" Target="https://www.pricecharting.com/game/pokemon-evolving-skies/booster-box" TargetMode="External" Id="rId129"/><Relationship Type="http://schemas.openxmlformats.org/officeDocument/2006/relationships/hyperlink" Target="https://www.pricecharting.com/game/pokemon-evolving-skies/elite-trainer-box" TargetMode="External" Id="rId130"/><Relationship Type="http://schemas.openxmlformats.org/officeDocument/2006/relationships/hyperlink" Target="https://www.pricecharting.com/game/pokemon-evolving-skies/booster-bundle" TargetMode="External" Id="rId131"/><Relationship Type="http://schemas.openxmlformats.org/officeDocument/2006/relationships/hyperlink" Target="https://www.pricecharting.com/game/pokemon-crown-zenith/elite-trainer-box" TargetMode="External" Id="rId132"/><Relationship Type="http://schemas.openxmlformats.org/officeDocument/2006/relationships/hyperlink" Target="https://www.pricecharting.com/game/pokemon-crown-zenith/premium-playmat" TargetMode="External" Id="rId133"/><Relationship Type="http://schemas.openxmlformats.org/officeDocument/2006/relationships/hyperlink" Target="https://www.pricecharting.com/game/pokemon-brilliant-stars/booster-box" TargetMode="External" Id="rId134"/><Relationship Type="http://schemas.openxmlformats.org/officeDocument/2006/relationships/hyperlink" Target="https://www.pricecharting.com/game/pokemon-astral-radiance/booster-box" TargetMode="External" Id="rId135"/><Relationship Type="http://schemas.openxmlformats.org/officeDocument/2006/relationships/hyperlink" Target="https://www.pricecharting.com/game/pokemon-lost-origin/booster-box" TargetMode="External" Id="rId136"/><Relationship Type="http://schemas.openxmlformats.org/officeDocument/2006/relationships/hyperlink" Target="https://www.pricecharting.com/game/pokemon-silver-tempest/booster-box" TargetMode="External" Id="rId137"/><Relationship Type="http://schemas.openxmlformats.org/officeDocument/2006/relationships/hyperlink" Target="https://www.tcgplayer.com/product/502000" TargetMode="External" Id="rId138"/><Relationship Type="http://schemas.openxmlformats.org/officeDocument/2006/relationships/hyperlink" Target="https://www.pricecharting.com/game/pokemon-scarlet-&amp;-violet-151/elite-trainer-box" TargetMode="External" Id="rId139"/><Relationship Type="http://schemas.openxmlformats.org/officeDocument/2006/relationships/hyperlink" Target="https://www.pricecharting.com/game/pokemon-scarlet-&amp;-violet-151/ultra-premium-collection" TargetMode="External" Id="rId140"/><Relationship Type="http://schemas.openxmlformats.org/officeDocument/2006/relationships/hyperlink" Target="https://www.pricecharting.com/game/pokemon-paldea-evolved/booster-box" TargetMode="External" Id="rId141"/><Relationship Type="http://schemas.openxmlformats.org/officeDocument/2006/relationships/hyperlink" Target="https://www.pricecharting.com/game/pokemon-obsidian-flames/booster-box" TargetMode="External" Id="rId142"/><Relationship Type="http://schemas.openxmlformats.org/officeDocument/2006/relationships/hyperlink" Target="https://www.pricecharting.com/game/pokemon-obsidian-flames/elite-trainer-box" TargetMode="External" Id="rId143"/><Relationship Type="http://schemas.openxmlformats.org/officeDocument/2006/relationships/hyperlink" Target="https://www.pricecharting.com/game/pokemon-paldean-fates/elite-trainer-box" TargetMode="External" Id="rId144"/><Relationship Type="http://schemas.openxmlformats.org/officeDocument/2006/relationships/hyperlink" Target="https://www.pricecharting.com/game/pokemon-paldean-fates/booster-bundle" TargetMode="External" Id="rId145"/><Relationship Type="http://schemas.openxmlformats.org/officeDocument/2006/relationships/hyperlink" Target="https://www.pricecharting.com/game/pokemon-paradox-rift/booster-box" TargetMode="External" Id="rId146"/><Relationship Type="http://schemas.openxmlformats.org/officeDocument/2006/relationships/hyperlink" Target="https://www.pricecharting.com/game/pokemon-paradox-rift/elite-trainer-box" TargetMode="External" Id="rId147"/><Relationship Type="http://schemas.openxmlformats.org/officeDocument/2006/relationships/hyperlink" Target="https://www.pricecharting.com/game/pokemon-twilight-masquerade/booster-box" TargetMode="External" Id="rId148"/><Relationship Type="http://schemas.openxmlformats.org/officeDocument/2006/relationships/hyperlink" Target="https://www.pricecharting.com/game/pokemon-shrouded-fable/tin" TargetMode="External" Id="rId149"/><Relationship Type="http://schemas.openxmlformats.org/officeDocument/2006/relationships/hyperlink" Target="https://www.pricecharting.com/game/pokemon-stellar-crown/booster-box" TargetMode="External" Id="rId150"/><Relationship Type="http://schemas.openxmlformats.org/officeDocument/2006/relationships/hyperlink" Target="https://www.pricecharting.com/game/pokemon-surging-sparks/booster-box" TargetMode="External" Id="rId151"/><Relationship Type="http://schemas.openxmlformats.org/officeDocument/2006/relationships/hyperlink" Target="https://www.pokemonpricetracker.com/blog/posts/prismatic-evolutions-set-review-2026-complete-guide" TargetMode="External" Id="rId152"/><Relationship Type="http://schemas.openxmlformats.org/officeDocument/2006/relationships/hyperlink" Target="https://www.pricecharting.com/game/pokemon-prismatic-evolutions/booster-bundle" TargetMode="External" Id="rId153"/><Relationship Type="http://schemas.openxmlformats.org/officeDocument/2006/relationships/hyperlink" Target="https://www.pricecharting.com/game/pokemon-mega-evolution/booster-box" TargetMode="External" Id="rId154"/><Relationship Type="http://schemas.openxmlformats.org/officeDocument/2006/relationships/hyperlink" Target="https://www.pricecharting.com/game/pokemon-ascended-heroes/booster-box" TargetMode="External" Id="rId155"/><Relationship Type="http://schemas.openxmlformats.org/officeDocument/2006/relationships/hyperlink" Target="https://www.pricecharting.com/game/pokemon-promo/pokemon-day-2026-collection-box" TargetMode="External" Id="rId156"/><Relationship Type="http://schemas.openxmlformats.org/officeDocument/2006/relationships/hyperlink" Target="https://www.pricecharting.com/game/pokemon-promo/30th-anniversary-etb" TargetMode="External" Id="rId157"/><Relationship Type="http://schemas.openxmlformats.org/officeDocument/2006/relationships/hyperlink" Target="https://www.pricecharting.com/game/pokemon-promo/charizard-ex-premium-collection" TargetMode="External" Id="rId158"/><Relationship Type="http://schemas.openxmlformats.org/officeDocument/2006/relationships/hyperlink" Target="https://www.pricecharting.com/game/pokemon-promo/mew-ultra-premium-collection" TargetMode="External" Id="rId159"/><Relationship Type="http://schemas.openxmlformats.org/officeDocument/2006/relationships/hyperlink" Target="https://www.pricecharting.com/game/pokemon-crown-zenith/tin" TargetMode="External" Id="rId160"/><Relationship Type="http://schemas.openxmlformats.org/officeDocument/2006/relationships/hyperlink" Target="https://www.pricecharting.com/game/pokemon-paldea-evolved/iono-237" TargetMode="External" Id="rId161"/><Relationship Type="http://schemas.openxmlformats.org/officeDocument/2006/relationships/hyperlink" Target="https://www.pricecharting.com/game/pokemon-promo/pikachu-v-union" TargetMode="External" Id="rId162"/><Relationship Type="http://schemas.openxmlformats.org/officeDocument/2006/relationships/hyperlink" Target="https://www.pricecharting.com/game/pokemon-sword-and-shield/marnie-full-art-200" TargetMode="External" Id="rId163"/><Relationship Type="http://schemas.openxmlformats.org/officeDocument/2006/relationships/hyperlink" Target="https://www.pricecharting.com/game/pokemon-ultra-prism/cynthia-full-art-148" TargetMode="External" Id="rId164"/><Relationship Type="http://schemas.openxmlformats.org/officeDocument/2006/relationships/hyperlink" Target="https://www.tcgplayer.com/product/498104" TargetMode="External" Id="rId165"/><Relationship Type="http://schemas.openxmlformats.org/officeDocument/2006/relationships/hyperlink" Target="https://www.tcgplayer.com/product/654525" TargetMode="External" Id="rId166"/><Relationship Type="http://schemas.openxmlformats.org/officeDocument/2006/relationships/hyperlink" Target="https://www.pricecharting.com/game/pokemon-promo/mewtwo-wave-holo" TargetMode="External" Id="rId167"/><Relationship Type="http://schemas.openxmlformats.org/officeDocument/2006/relationships/hyperlink" Target="https://www.pricecharting.com/game/pokemon-promo/ancient-mew" TargetMode="External" Id="rId168"/><Relationship Type="http://schemas.openxmlformats.org/officeDocument/2006/relationships/hyperlink" Target="https://www.pricecharting.com/game/pokemon-flashfire/m-charizard-ex-full-art-100" TargetMode="External" Id="rId169"/><Relationship Type="http://schemas.openxmlformats.org/officeDocument/2006/relationships/hyperlink" Target="https://www.pricecharting.com/game/pokemon-roaring-skies/m-rayquaza-ex-full-art-76" TargetMode="External" Id="rId170"/><Relationship Type="http://schemas.openxmlformats.org/officeDocument/2006/relationships/hyperlink" Target="https://www.pricecharting.com/game/pokemon-ex-crystal-guardians/charizard-star-delta-species-100" TargetMode="External" Id="rId171"/><Relationship Type="http://schemas.openxmlformats.org/officeDocument/2006/relationships/hyperlink" Target="https://www.tcgplayer.com/product/271606" TargetMode="External" Id="rId172"/><Relationship Type="http://schemas.openxmlformats.org/officeDocument/2006/relationships/hyperlink" Target="https://www.pricecharting.com/game/pokemon-japanese-eevee-heroes/eevee-v-alt-art" TargetMode="External" Id="rId173"/><Relationship Type="http://schemas.openxmlformats.org/officeDocument/2006/relationships/hyperlink" Target="https://www.pricecharting.com/game/pokemon-promo/charizard-star-holographic" TargetMode="External" Id="rId174"/><Relationship Type="http://schemas.openxmlformats.org/officeDocument/2006/relationships/hyperlink" Target="https://www.pricecharting.com/game/pokemon-skyridge/crystal-charizard-146" TargetMode="External" Id="rId175"/><Relationship Type="http://schemas.openxmlformats.org/officeDocument/2006/relationships/hyperlink" Target="https://www.pricecharting.com/game/pokemon-japanese-promo/pikachu-25th-anniversary" TargetMode="External" Id="rId176"/><Relationship Type="http://schemas.openxmlformats.org/officeDocument/2006/relationships/hyperlink" Target="https://www.pricecharting.com/game/pokemon-japanese-vmax-climax/mew-v-chr" TargetMode="External" Id="rId177"/><Relationship Type="http://schemas.openxmlformats.org/officeDocument/2006/relationships/hyperlink" Target="https://www.pricecharting.com/game/pokemon-japanese-vmax-climax/charizard-v-csr" TargetMode="External" Id="rId178"/><Relationship Type="http://schemas.openxmlformats.org/officeDocument/2006/relationships/hyperlink" Target="https://www.pricecharting.com/game/pokemon-japanese-eevee-heroes/rayquaza-v-alt" TargetMode="External" Id="rId179"/><Relationship Type="http://schemas.openxmlformats.org/officeDocument/2006/relationships/hyperlink" Target="https://www.pricecharting.com/game/pokemon-japanese-eevee-heroes/umbreon-vmax-alt" TargetMode="External" Id="rId180"/><Relationship Type="http://schemas.openxmlformats.org/officeDocument/2006/relationships/hyperlink" Target="https://www.pricecharting.com/game/pokemon-japanese-paradigm-trigger/lugia-vstar" TargetMode="External" Id="rId181"/><Relationship Type="http://schemas.openxmlformats.org/officeDocument/2006/relationships/hyperlink" Target="https://www.pricecharting.com/game/pokemon-japanese-promo/trainers-card-pokemon-day" TargetMode="External" Id="rId182"/><Relationship Type="http://schemas.openxmlformats.org/officeDocument/2006/relationships/hyperlink" Target="https://www.pricecharting.com/game/pokemon-japanese-promo/mewtwo-star-movie" TargetMode="External" Id="rId183"/><Relationship Type="http://schemas.openxmlformats.org/officeDocument/2006/relationships/hyperlink" Target="https://www.pricecharting.com/game/pokemon-japanese-vstar-universe/high-class-box" TargetMode="External" Id="rId184"/><Relationship Type="http://schemas.openxmlformats.org/officeDocument/2006/relationships/hyperlink" Target="https://www.pricecharting.com/game/pokemon-japanese-eevee-heroes/booster-box" TargetMode="External" Id="rId185"/><Relationship Type="http://schemas.openxmlformats.org/officeDocument/2006/relationships/hyperlink" Target="https://www.pricecharting.com/game/pokemon-jungle/pikachu-1st-edition-60" TargetMode="External" Id="rId186"/><Relationship Type="http://schemas.openxmlformats.org/officeDocument/2006/relationships/hyperlink" Target="https://www.pricecharting.com/game/pokemon-jungle/snorlax-1st-edition-11" TargetMode="External" Id="rId187"/><Relationship Type="http://schemas.openxmlformats.org/officeDocument/2006/relationships/hyperlink" Target="https://www.pricecharting.com/game/pokemon-fossil/aerodactyl-1st-edition-1" TargetMode="External" Id="rId188"/><Relationship Type="http://schemas.openxmlformats.org/officeDocument/2006/relationships/hyperlink" Target="https://www.pricecharting.com/game/pokemon-fossil/gengar-1st-edition-5" TargetMode="External" Id="rId189"/><Relationship Type="http://schemas.openxmlformats.org/officeDocument/2006/relationships/hyperlink" Target="https://www.pricecharting.com/game/pokemon-team-rocket/dark-charizard-1st-edition-4" TargetMode="External" Id="rId190"/><Relationship Type="http://schemas.openxmlformats.org/officeDocument/2006/relationships/hyperlink" Target="https://www.pricecharting.com/game/pokemon-team-rocket/dark-blastoise-1st-edition-20" TargetMode="External" Id="rId191"/><Relationship Type="http://schemas.openxmlformats.org/officeDocument/2006/relationships/hyperlink" Target="https://www.pricecharting.com/game/pokemon-neo-revelation/suicune-1st-edition-14" TargetMode="External" Id="rId192"/><Relationship Type="http://schemas.openxmlformats.org/officeDocument/2006/relationships/hyperlink" Target="https://www.pricecharting.com/game/pokemon-neo-revelation/ho-oh-1st-edition-7" TargetMode="External" Id="rId193"/><Relationship Type="http://schemas.openxmlformats.org/officeDocument/2006/relationships/hyperlink" Target="https://www.tcgplayer.com/product/498108" TargetMode="External" Id="rId194"/><Relationship Type="http://schemas.openxmlformats.org/officeDocument/2006/relationships/hyperlink" Target="https://www.pricecharting.com/game/pokemon-promo/mistys-tears" TargetMode="External" Id="rId195"/><Relationship Type="http://schemas.openxmlformats.org/officeDocument/2006/relationships/hyperlink" Target="https://www.pricecharting.com/game/pokemon-hidden-fates/latias-and-latios-gx-169" TargetMode="External" Id="rId196"/><Relationship Type="http://schemas.openxmlformats.org/officeDocument/2006/relationships/hyperlink" Target="https://www.pricecharting.com/game/pokemon-hidden-fates/charizard-gx-shiny-sv49" TargetMode="External" Id="rId197"/><Relationship Type="http://schemas.openxmlformats.org/officeDocument/2006/relationships/hyperlink" Target="https://www.pricecharting.com/game/pokemon-promo/mewtwo-mew-gx-sm196" TargetMode="External" Id="rId198"/><Relationship Type="http://schemas.openxmlformats.org/officeDocument/2006/relationships/hyperlink" Target="https://www.tcgplayer.com/product/567050" TargetMode="External" Id="rId199"/><Relationship Type="http://schemas.openxmlformats.org/officeDocument/2006/relationships/hyperlink" Target="https://www.tcgplayer.com/product/567092" TargetMode="External" Id="rId200"/><Relationship Type="http://schemas.openxmlformats.org/officeDocument/2006/relationships/hyperlink" Target="https://www.tcgplayer.com/product/586411" TargetMode="External" Id="rId201"/><Relationship Type="http://schemas.openxmlformats.org/officeDocument/2006/relationships/hyperlink" Target="https://www.tcgplayer.com/product/598334" TargetMode="External" Id="rId202"/><Relationship Type="http://schemas.openxmlformats.org/officeDocument/2006/relationships/hyperlink" Target="https://www.tcgplayer.com/product/598336" TargetMode="External" Id="rId203"/><Relationship Type="http://schemas.openxmlformats.org/officeDocument/2006/relationships/hyperlink" Target="https://www.tcgplayer.com/product/498119" TargetMode="External" Id="rId204"/><Relationship Type="http://schemas.openxmlformats.org/officeDocument/2006/relationships/hyperlink" Target="https://www.tcgplayer.com/product/500001" TargetMode="External" Id="rId205"/><Relationship Type="http://schemas.openxmlformats.org/officeDocument/2006/relationships/hyperlink" Target="https://www.tcgplayer.com/product/477145" TargetMode="External" Id="rId206"/><Relationship Type="http://schemas.openxmlformats.org/officeDocument/2006/relationships/hyperlink" Target="https://www.tcgplayer.com/product/267745" TargetMode="External" Id="rId207"/><Relationship Type="http://schemas.openxmlformats.org/officeDocument/2006/relationships/hyperlink" Target="https://www.tcgplayer.com/product/271629" TargetMode="External" Id="rId208"/><Relationship Type="http://schemas.openxmlformats.org/officeDocument/2006/relationships/hyperlink" Target="https://www.tcgplayer.com/product/267748" TargetMode="External" Id="rId209"/><Relationship Type="http://schemas.openxmlformats.org/officeDocument/2006/relationships/hyperlink" Target="https://www.tcgplayer.com/product/521995" TargetMode="External" Id="rId210"/><Relationship Type="http://schemas.openxmlformats.org/officeDocument/2006/relationships/hyperlink" Target="https://www.tcgplayer.com/product/505418" TargetMode="External" Id="rId211"/><Relationship Type="http://schemas.openxmlformats.org/officeDocument/2006/relationships/hyperlink" Target="https://www.tcgplayer.com/product/505419" TargetMode="External" Id="rId212"/><Relationship Type="http://schemas.openxmlformats.org/officeDocument/2006/relationships/hyperlink" Target="https://www.tcgplayer.com/product/536454" TargetMode="External" Id="rId213"/><Relationship Type="http://schemas.openxmlformats.org/officeDocument/2006/relationships/hyperlink" Target="https://www.tcgplayer.com/product/536455" TargetMode="External" Id="rId214"/><Relationship Type="http://schemas.openxmlformats.org/officeDocument/2006/relationships/hyperlink" Target="https://www.tcgplayer.com/product/553420" TargetMode="External" Id="rId215"/><Relationship Type="http://schemas.openxmlformats.org/officeDocument/2006/relationships/hyperlink" Target="https://www.tcgplayer.com/product/553421" TargetMode="External" Id="rId216"/><Relationship Type="http://schemas.openxmlformats.org/officeDocument/2006/relationships/hyperlink" Target="https://www.tcgplayer.com/product/482220" TargetMode="External" Id="rId217"/><Relationship Type="http://schemas.openxmlformats.org/officeDocument/2006/relationships/hyperlink" Target="https://www.tcgplayer.com/product/482222" TargetMode="External" Id="rId218"/><Relationship Type="http://schemas.openxmlformats.org/officeDocument/2006/relationships/hyperlink" Target="https://www.tcgplayer.com/product/495018" TargetMode="External" Id="rId219"/><Relationship Type="http://schemas.openxmlformats.org/officeDocument/2006/relationships/hyperlink" Target="https://www.tcgplayer.com/product/494997" TargetMode="External" Id="rId220"/><Relationship Type="http://schemas.openxmlformats.org/officeDocument/2006/relationships/hyperlink" Target="https://www.tcgplayer.com/product/495000" TargetMode="External" Id="rId221"/><Relationship Type="http://schemas.openxmlformats.org/officeDocument/2006/relationships/hyperlink" Target="https://www.tcgplayer.com/product/494994" TargetMode="External" Id="rId222"/><Relationship Type="http://schemas.openxmlformats.org/officeDocument/2006/relationships/hyperlink" Target="https://www.tcgplayer.com/product/495126" TargetMode="External" Id="rId223"/><Relationship Type="http://schemas.openxmlformats.org/officeDocument/2006/relationships/hyperlink" Target="https://www.tcgplayer.com/product/270541" TargetMode="External" Id="rId224"/><Relationship Type="http://schemas.openxmlformats.org/officeDocument/2006/relationships/hyperlink" Target="https://www.tcgplayer.com/product/270542" TargetMode="External" Id="rId225"/><Relationship Type="http://schemas.openxmlformats.org/officeDocument/2006/relationships/hyperlink" Target="https://www.tcgplayer.com/product/270540" TargetMode="External" Id="rId226"/><Relationship Type="http://schemas.openxmlformats.org/officeDocument/2006/relationships/hyperlink" Target="https://www.tcgplayer.com/product/270557" TargetMode="External" Id="rId227"/><Relationship Type="http://schemas.openxmlformats.org/officeDocument/2006/relationships/hyperlink" Target="https://www.tcgplayer.com/product/270522" TargetMode="External" Id="rId228"/><Relationship Type="http://schemas.openxmlformats.org/officeDocument/2006/relationships/hyperlink" Target="https://www.tcgplayer.com/product/498076" TargetMode="External" Id="rId229"/><Relationship Type="http://schemas.openxmlformats.org/officeDocument/2006/relationships/hyperlink" Target="https://www.tcgplayer.com/product/498077" TargetMode="External" Id="rId230"/><Relationship Type="http://schemas.openxmlformats.org/officeDocument/2006/relationships/hyperlink" Target="https://www.tcgplayer.com/product/498075" TargetMode="External" Id="rId231"/><Relationship Type="http://schemas.openxmlformats.org/officeDocument/2006/relationships/hyperlink" Target="https://www.tcgplayer.com/product/498093" TargetMode="External" Id="rId232"/><Relationship Type="http://schemas.openxmlformats.org/officeDocument/2006/relationships/hyperlink" Target="https://www.tcgplayer.com/product/498100" TargetMode="External" Id="rId233"/><Relationship Type="http://schemas.openxmlformats.org/officeDocument/2006/relationships/hyperlink" Target="https://www.tcgplayer.com/product/654522" TargetMode="External" Id="rId234"/><Relationship Type="http://schemas.openxmlformats.org/officeDocument/2006/relationships/hyperlink" Target="https://www.tcgplayer.com/product/197812" TargetMode="External" Id="rId235"/><Relationship Type="http://schemas.openxmlformats.org/officeDocument/2006/relationships/hyperlink" Target="https://www.tcgplayer.com/product/240091" TargetMode="External" Id="rId236"/><Relationship Type="http://schemas.openxmlformats.org/officeDocument/2006/relationships/hyperlink" Target="https://www.tcgplayer.com/product/505431" TargetMode="External" Id="rId237"/><Relationship Type="http://schemas.openxmlformats.org/officeDocument/2006/relationships/hyperlink" Target="https://www.tcgplayer.com/product/505423" TargetMode="External" Id="rId238"/><Relationship Type="http://schemas.openxmlformats.org/officeDocument/2006/relationships/hyperlink" Target="https://www.tcgplayer.com/product/654534" TargetMode="External" Id="rId239"/><Relationship Type="http://schemas.openxmlformats.org/officeDocument/2006/relationships/hyperlink" Target="https://www.tcgplayer.com/product/654373" TargetMode="External" Id="rId240"/><Relationship Type="http://schemas.openxmlformats.org/officeDocument/2006/relationships/hyperlink" Target="https://www.tcgplayer.com/product/654374" TargetMode="External" Id="rId241"/><Relationship Type="http://schemas.openxmlformats.org/officeDocument/2006/relationships/hyperlink" Target="https://www.tcgplayer.com/product/676000" TargetMode="External" Id="rId242"/><Relationship Type="http://schemas.openxmlformats.org/officeDocument/2006/relationships/hyperlink" Target="https://www.tcgplayer.com/product/676021" TargetMode="External" Id="rId243"/><Relationship Type="http://schemas.openxmlformats.org/officeDocument/2006/relationships/hyperlink" Target="https://www.tcgplayer.com/product/676044" TargetMode="External" Id="rId244"/><Relationship Type="http://schemas.openxmlformats.org/officeDocument/2006/relationships/hyperlink" Target="https://www.tcgplayer.com/product/610387" TargetMode="External" Id="rId245"/><Relationship Type="http://schemas.openxmlformats.org/officeDocument/2006/relationships/hyperlink" Target="https://www.tcgplayer.com/product/610400" TargetMode="External" Id="rId246"/><Relationship Type="http://schemas.openxmlformats.org/officeDocument/2006/relationships/hyperlink" Target="https://www.tcgplayer.com/product/610421" TargetMode="External" Id="rId247"/><Relationship Type="http://schemas.openxmlformats.org/officeDocument/2006/relationships/hyperlink" Target="https://www.tcgplayer.com/product/610376" TargetMode="External" Id="rId248"/><Relationship Type="http://schemas.openxmlformats.org/officeDocument/2006/relationships/hyperlink" Target="https://www.tcgplayer.com/product/610431" TargetMode="External" Id="rId249"/><Relationship Type="http://schemas.openxmlformats.org/officeDocument/2006/relationships/hyperlink" Target="https://www.tcgplayer.com/product/610486" TargetMode="External" Id="rId250"/><Relationship Type="http://schemas.openxmlformats.org/officeDocument/2006/relationships/hyperlink" Target="https://www.tcgplayer.com/product/610363" TargetMode="External" Id="rId251"/><Relationship Type="http://schemas.openxmlformats.org/officeDocument/2006/relationships/hyperlink" Target="https://www.tcgplayer.com/product/610390" TargetMode="External" Id="rId252"/><Relationship Type="http://schemas.openxmlformats.org/officeDocument/2006/relationships/hyperlink" Target="https://www.tcgplayer.com/product/610441" TargetMode="External" Id="rId253"/><Relationship Type="http://schemas.openxmlformats.org/officeDocument/2006/relationships/hyperlink" Target="https://www.tcgplayer.com/product/610356" TargetMode="External" Id="rId254"/><Relationship Type="http://schemas.openxmlformats.org/officeDocument/2006/relationships/hyperlink" Target="https://www.tcgplayer.com/product/610379" TargetMode="External" Id="rId255"/><Relationship Type="http://schemas.openxmlformats.org/officeDocument/2006/relationships/hyperlink" Target="https://www.tcgplayer.com/product/610463" TargetMode="External" Id="rId256"/><Relationship Type="http://schemas.openxmlformats.org/officeDocument/2006/relationships/hyperlink" Target="https://www.tcgplayer.com/product/610498" TargetMode="External" Id="rId257"/><Relationship Type="http://schemas.openxmlformats.org/officeDocument/2006/relationships/hyperlink" Target="https://www.tcgplayer.com/product/610516" TargetMode="External" Id="rId258"/><Relationship Type="http://schemas.openxmlformats.org/officeDocument/2006/relationships/hyperlink" Target="https://www.tcgplayer.com/product/610489" TargetMode="External" Id="rId259"/><Relationship Type="http://schemas.openxmlformats.org/officeDocument/2006/relationships/hyperlink" Target="https://www.tcgplayer.com/product/567103" TargetMode="External" Id="rId260"/><Relationship Type="http://schemas.openxmlformats.org/officeDocument/2006/relationships/hyperlink" Target="https://www.tcgplayer.com/product/271622" TargetMode="External" Id="rId261"/><Relationship Type="http://schemas.openxmlformats.org/officeDocument/2006/relationships/hyperlink" Target="https://www.tcgplayer.com/product/536452" TargetMode="External" Id="rId262"/><Relationship Type="http://schemas.openxmlformats.org/officeDocument/2006/relationships/hyperlink" Target="https://www.tcgplayer.com/product/536451" TargetMode="External" Id="rId263"/><Relationship Type="http://schemas.openxmlformats.org/officeDocument/2006/relationships/hyperlink" Target="https://www.tcgplayer.com/product/521989" TargetMode="External" Id="rId264"/><Relationship Type="http://schemas.openxmlformats.org/officeDocument/2006/relationships/hyperlink" Target="https://www.tcgplayer.com/product/567099" TargetMode="External" Id="rId265"/><Relationship Type="http://schemas.openxmlformats.org/officeDocument/2006/relationships/hyperlink" Target="https://www.tcgplayer.com/product/250000" TargetMode="External" Id="rId266"/><Relationship Type="http://schemas.openxmlformats.org/officeDocument/2006/relationships/hyperlink" Target="https://www.tcgplayer.com/product/261819" TargetMode="External" Id="rId267"/><Relationship Type="http://schemas.openxmlformats.org/officeDocument/2006/relationships/hyperlink" Target="https://www.tcgplayer.com/product/254093" TargetMode="External" Id="rId268"/><Relationship Type="http://schemas.openxmlformats.org/officeDocument/2006/relationships/hyperlink" Target="https://www.tcgplayer.com/product/254092" TargetMode="External" Id="rId269"/><Relationship Type="http://schemas.openxmlformats.org/officeDocument/2006/relationships/hyperlink" Target="https://www.tcgplayer.com/product/271617" TargetMode="External" Id="rId270"/><Relationship Type="http://schemas.openxmlformats.org/officeDocument/2006/relationships/hyperlink" Target="https://www.tcgplayer.com/product/261988" TargetMode="External" Id="rId271"/><Relationship Type="http://schemas.openxmlformats.org/officeDocument/2006/relationships/hyperlink" Target="https://www.tcgplayer.com/product/278920" TargetMode="External" Id="rId272"/><Relationship Type="http://schemas.openxmlformats.org/officeDocument/2006/relationships/hyperlink" Target="https://www.tcgplayer.com/product/700000" TargetMode="External" Id="rId273"/><Relationship Type="http://schemas.openxmlformats.org/officeDocument/2006/relationships/hyperlink" Target="https://www.tcgplayer.com/product/267749" TargetMode="External" Id="rId274"/><Relationship Type="http://schemas.openxmlformats.org/officeDocument/2006/relationships/hyperlink" Target="https://www.tcgplayer.com/product/267748" TargetMode="External" Id="rId275"/><Relationship Type="http://schemas.openxmlformats.org/officeDocument/2006/relationships/hyperlink" Target="https://www.tcgplayer.com/product/261976" TargetMode="External" Id="rId276"/><Relationship Type="http://schemas.openxmlformats.org/officeDocument/2006/relationships/hyperlink" Target="https://www.tcgplayer.com/product/271608" TargetMode="External" Id="rId277"/><Relationship Type="http://schemas.openxmlformats.org/officeDocument/2006/relationships/hyperlink" Target="https://www.tcgplayer.com/product/267729" TargetMode="External" Id="rId278"/><Relationship Type="http://schemas.openxmlformats.org/officeDocument/2006/relationships/hyperlink" Target="https://www.tcgplayer.com/product/223078" TargetMode="External" Id="rId279"/><Relationship Type="http://schemas.openxmlformats.org/officeDocument/2006/relationships/hyperlink" Target="https://www.tcgplayer.com/product/278918" TargetMode="External" Id="rId280"/><Relationship Type="http://schemas.openxmlformats.org/officeDocument/2006/relationships/hyperlink" Target="https://www.tcgplayer.com/product/240071" TargetMode="External" Id="rId281"/><Relationship Type="http://schemas.openxmlformats.org/officeDocument/2006/relationships/hyperlink" Target="https://www.tcgplayer.com/product/477099" TargetMode="External" Id="rId282"/><Relationship Type="http://schemas.openxmlformats.org/officeDocument/2006/relationships/hyperlink" Target="https://www.tcgplayer.com/product/477100" TargetMode="External" Id="rId283"/><Relationship Type="http://schemas.openxmlformats.org/officeDocument/2006/relationships/hyperlink" Target="https://www.tcgplayer.com/product/477101" TargetMode="External" Id="rId284"/><Relationship Type="http://schemas.openxmlformats.org/officeDocument/2006/relationships/hyperlink" Target="https://www.tcgplayer.com/product/254094" TargetMode="External" Id="rId285"/><Relationship Type="http://schemas.openxmlformats.org/officeDocument/2006/relationships/hyperlink" Target="https://www.tcgplayer.com/product/246709" TargetMode="External" Id="rId286"/><Relationship Type="http://schemas.openxmlformats.org/officeDocument/2006/relationships/hyperlink" Target="https://www.tcgplayer.com/product/246708" TargetMode="External" Id="rId287"/><Relationship Type="http://schemas.openxmlformats.org/officeDocument/2006/relationships/hyperlink" Target="https://www.tcgplayer.com/product/240084" TargetMode="External" Id="rId288"/><Relationship Type="http://schemas.openxmlformats.org/officeDocument/2006/relationships/hyperlink" Target="https://www.tcgplayer.com/product/261973" TargetMode="External" Id="rId289"/><Relationship Type="http://schemas.openxmlformats.org/officeDocument/2006/relationships/hyperlink" Target="https://www.tcgplayer.com/product/271627" TargetMode="External" Id="rId290"/><Relationship Type="http://schemas.openxmlformats.org/officeDocument/2006/relationships/hyperlink" Target="https://www.tcgplayer.com/product/267735" TargetMode="External" Id="rId291"/><Relationship Type="http://schemas.openxmlformats.org/officeDocument/2006/relationships/hyperlink" Target="https://www.tcgplayer.com/product/271606" TargetMode="External" Id="rId292"/><Relationship Type="http://schemas.openxmlformats.org/officeDocument/2006/relationships/hyperlink" Target="https://www.tcgplayer.com/product/250100" TargetMode="External" Id="rId293"/><Relationship Type="http://schemas.openxmlformats.org/officeDocument/2006/relationships/hyperlink" Target="https://www.pricecharting.com/game/pokemon-base-set/charizard-4" TargetMode="External" Id="rId294"/><Relationship Type="http://schemas.openxmlformats.org/officeDocument/2006/relationships/hyperlink" Target="https://www.pricecharting.com/game/pokemon-base-set/blastoise-2" TargetMode="External" Id="rId295"/><Relationship Type="http://schemas.openxmlformats.org/officeDocument/2006/relationships/hyperlink" Target="https://www.pricecharting.com/game/pokemon-base-set/venusaur-15" TargetMode="External" Id="rId296"/><Relationship Type="http://schemas.openxmlformats.org/officeDocument/2006/relationships/hyperlink" Target="https://www.pricecharting.com/game/pokemon-base-set/mewtwo-10" TargetMode="External" Id="rId297"/><Relationship Type="http://schemas.openxmlformats.org/officeDocument/2006/relationships/hyperlink" Target="https://www.pricecharting.com/game/pokemon-base-set/pikachu-58" TargetMode="External" Id="rId298"/><Relationship Type="http://schemas.openxmlformats.org/officeDocument/2006/relationships/hyperlink" Target="https://www.pricecharting.com/game/pokemon-jungle/scyther-holo" TargetMode="External" Id="rId299"/><Relationship Type="http://schemas.openxmlformats.org/officeDocument/2006/relationships/hyperlink" Target="https://www.pricecharting.com/game/pokemon-fossil/dragonite-4" TargetMode="External" Id="rId300"/><Relationship Type="http://schemas.openxmlformats.org/officeDocument/2006/relationships/hyperlink" Target="https://www.pricecharting.com/game/pokemon-neo-genesis/lugia-9" TargetMode="External" Id="rId301"/><Relationship Type="http://schemas.openxmlformats.org/officeDocument/2006/relationships/hyperlink" Target="https://www.pricecharting.com/game/pokemon-neo-revelation/ho-oh-7" TargetMode="External" Id="rId302"/><Relationship Type="http://schemas.openxmlformats.org/officeDocument/2006/relationships/hyperlink" Target="https://www.pricecharting.com/game/pokemon-neo-discovery/espeon-20" TargetMode="External" Id="rId303"/><Relationship Type="http://schemas.openxmlformats.org/officeDocument/2006/relationships/hyperlink" Target="https://www.pricecharting.com/game/pokemon-neo-discovery/umbreon-32" TargetMode="External" Id="rId304"/><Relationship Type="http://schemas.openxmlformats.org/officeDocument/2006/relationships/hyperlink" Target="https://www.pricecharting.com/game/pokemon-skyridge/charizard-146" TargetMode="External" Id="rId305"/><Relationship Type="http://schemas.openxmlformats.org/officeDocument/2006/relationships/hyperlink" Target="https://www.pricecharting.com/game/pokemon-aquapolis/crystal-lugia-148" TargetMode="External" Id="rId306"/><Relationship Type="http://schemas.openxmlformats.org/officeDocument/2006/relationships/hyperlink" Target="https://www.pricecharting.com/game/pokemon-skyridge/crystal-charizard-146" TargetMode="External" Id="rId307"/><Relationship Type="http://schemas.openxmlformats.org/officeDocument/2006/relationships/hyperlink" Target="https://www.pricecharting.com/game/pokemon-ex-power-keepers/espeon-gold-star" TargetMode="External" Id="rId308"/><Relationship Type="http://schemas.openxmlformats.org/officeDocument/2006/relationships/hyperlink" Target="https://www.pricecharting.com/game/pokemon-japanese-151/charizard-ex-chr" TargetMode="External" Id="rId309"/><Relationship Type="http://schemas.openxmlformats.org/officeDocument/2006/relationships/hyperlink" Target="https://www.pricecharting.com/game/pokemon-japanese-151/mew-ex-chr" TargetMode="External" Id="rId310"/><Relationship Type="http://schemas.openxmlformats.org/officeDocument/2006/relationships/hyperlink" Target="https://www.pricecharting.com/game/pokemon-japanese-promo/pikachu-stamp" TargetMode="External" Id="rId311"/><Relationship Type="http://schemas.openxmlformats.org/officeDocument/2006/relationships/hyperlink" Target="https://www.pricecharting.com/game/pokemon-japanese-eevee-heroes/booster-pack" TargetMode="External" Id="rId312"/><Relationship Type="http://schemas.openxmlformats.org/officeDocument/2006/relationships/hyperlink" Target="https://www.pricecharting.com/game/pokemon-japanese-vmax-climax/booster-pack" TargetMode="External" Id="rId313"/><Relationship Type="http://schemas.openxmlformats.org/officeDocument/2006/relationships/hyperlink" Target="https://www.pricecharting.com/game/pokemon-japanese-151/eevee-chr" TargetMode="External" Id="rId314"/><Relationship Type="http://schemas.openxmlformats.org/officeDocument/2006/relationships/hyperlink" Target="https://www.pricecharting.com/game/pokemon-japanese-vstar-universe/lugia-vstar-hr" TargetMode="External" Id="rId315"/><Relationship Type="http://schemas.openxmlformats.org/officeDocument/2006/relationships/hyperlink" Target="https://www.pricecharting.com/game/pokemon-japanese-vstar-universe/mewtwo-vstar-hr" TargetMode="External" Id="rId316"/><Relationship Type="http://schemas.openxmlformats.org/officeDocument/2006/relationships/hyperlink" Target="https://www.tcgplayer.com/product/567150" TargetMode="External" Id="rId317"/><Relationship Type="http://schemas.openxmlformats.org/officeDocument/2006/relationships/hyperlink" Target="https://www.tcgplayer.com/product/598337" TargetMode="External" Id="rId318"/><Relationship Type="http://schemas.openxmlformats.org/officeDocument/2006/relationships/hyperlink" Target="https://www.tcgplayer.com/product/598340" TargetMode="External" Id="rId319"/><Relationship Type="http://schemas.openxmlformats.org/officeDocument/2006/relationships/hyperlink" Target="https://www.tcgplayer.com/product/598327" TargetMode="External" Id="rId320"/><Relationship Type="http://schemas.openxmlformats.org/officeDocument/2006/relationships/hyperlink" Target="https://www.tcgplayer.com/product/610490" TargetMode="External" Id="rId321"/><Relationship Type="http://schemas.openxmlformats.org/officeDocument/2006/relationships/hyperlink" Target="https://www.tcgplayer.com/product/598340" TargetMode="External" Id="rId322"/><Relationship Type="http://schemas.openxmlformats.org/officeDocument/2006/relationships/hyperlink" Target="https://www.pricecharting.com/game/pokemon-shrouded-fable/pecharunt-tin" TargetMode="External" Id="rId323"/><Relationship Type="http://schemas.openxmlformats.org/officeDocument/2006/relationships/hyperlink" Target="https://www.pricecharting.com/game/pokemon-promo/stellar-charizard-premium" TargetMode="External" Id="rId324"/><Relationship Type="http://schemas.openxmlformats.org/officeDocument/2006/relationships/hyperlink" Target="https://www.pricecharting.com/game/pokemon-surging-sparks/etb" TargetMode="External" Id="rId325"/><Relationship Type="http://schemas.openxmlformats.org/officeDocument/2006/relationships/hyperlink" Target="https://www.pricecharting.com/game/pokemon-shrouded-fable/etb" TargetMode="External" Id="rId326"/><Relationship Type="http://schemas.openxmlformats.org/officeDocument/2006/relationships/hyperlink" Target="https://www.pricecharting.com/game/pokemon-stellar-crown/etb" TargetMode="External" Id="rId327"/><Relationship Type="http://schemas.openxmlformats.org/officeDocument/2006/relationships/hyperlink" Target="https://www.pricecharting.com/game/pokemon-mega-evolution/etb" TargetMode="External" Id="rId328"/><Relationship Type="http://schemas.openxmlformats.org/officeDocument/2006/relationships/hyperlink" Target="https://www.pricecharting.com/game/pokemon-ascended-heroes/etb" TargetMode="External" Id="rId329"/><Relationship Type="http://schemas.openxmlformats.org/officeDocument/2006/relationships/hyperlink" Target="https://www.pricecharting.com/game/pokemon-twilight-masquerade/booster-box" TargetMode="External" Id="rId330"/><Relationship Type="http://schemas.openxmlformats.org/officeDocument/2006/relationships/hyperlink" Target="https://www.pricecharting.com/game/pokemon-shrouded-fable/booster-bundle" TargetMode="External" Id="rId331"/><Relationship Type="http://schemas.openxmlformats.org/officeDocument/2006/relationships/hyperlink" Target="https://www.pricecharting.com/game/pokemon-stellar-crown/booster-bundle" TargetMode="External" Id="rId332"/><Relationship Type="http://schemas.openxmlformats.org/officeDocument/2006/relationships/hyperlink" Target="https://www.pricecharting.com/game/pokemon-surging-sparks/booster-bundle" TargetMode="External" Id="rId333"/><Relationship Type="http://schemas.openxmlformats.org/officeDocument/2006/relationships/hyperlink" Target="https://www.pricecharting.com/game/pokemon-twilight-masquerade/etb" TargetMode="External" Id="rId334"/><Relationship Type="http://schemas.openxmlformats.org/officeDocument/2006/relationships/hyperlink" Target="https://www.pricecharting.com/game/pokemon-promo/charizard-twin-pack" TargetMode="External" Id="rId335"/><Relationship Type="http://schemas.openxmlformats.org/officeDocument/2006/relationships/hyperlink" Target="https://www.pricecharting.com/game/pokemon-stellar-crown/premium-playmat" TargetMode="External" Id="rId336"/><Relationship Type="http://schemas.openxmlformats.org/officeDocument/2006/relationships/hyperlink" Target="https://www.pricecharting.com/game/pokemon-mega-evolution/booster-bundle" TargetMode="External" Id="rId337"/><Relationship Type="http://schemas.openxmlformats.org/officeDocument/2006/relationships/hyperlink" Target="https://www.pricecharting.com/game/pokemon-ascended-heroes/booster-bundle" TargetMode="External" Id="rId338"/><Relationship Type="http://schemas.openxmlformats.org/officeDocument/2006/relationships/hyperlink" Target="https://www.pricecharting.com/game/pokemon-promo/pokemon-day-2026-premium" TargetMode="External" Id="rId339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ebay.com/sch/i.html?_nkw=Charizard+Base+Set+1st+Edition+Shadowless+4/102+PSA+9&amp;LH_Sold=1&amp;LH_Complete=1&amp;_sop=13" TargetMode="External" Id="rId1"/><Relationship Type="http://schemas.openxmlformats.org/officeDocument/2006/relationships/hyperlink" Target="https://www.ebay.com/sch/i.html?_nkw=Charizard+Base+Set+1st+Edition+Shadowless+4/102+PSA+8&amp;LH_Sold=1&amp;LH_Complete=1&amp;_sop=13" TargetMode="External" Id="rId2"/><Relationship Type="http://schemas.openxmlformats.org/officeDocument/2006/relationships/hyperlink" Target="https://www.ebay.com/sch/i.html?_nkw=Charizard+Base+Set+Shadowless+4/102+PSA+9&amp;LH_Sold=1&amp;LH_Complete=1&amp;_sop=13" TargetMode="External" Id="rId3"/><Relationship Type="http://schemas.openxmlformats.org/officeDocument/2006/relationships/hyperlink" Target="https://www.ebay.com/sch/i.html?_nkw=Charizard+Base+Set+Unlimited+4/102+PSA+10&amp;LH_Sold=1&amp;LH_Complete=1&amp;_sop=13" TargetMode="External" Id="rId4"/><Relationship Type="http://schemas.openxmlformats.org/officeDocument/2006/relationships/hyperlink" Target="https://www.ebay.com/sch/i.html?_nkw=Charizard+Base+Set+Unlimited+4/102+PSA+9&amp;LH_Sold=1&amp;LH_Complete=1&amp;_sop=13" TargetMode="External" Id="rId5"/><Relationship Type="http://schemas.openxmlformats.org/officeDocument/2006/relationships/hyperlink" Target="https://www.ebay.com/sch/i.html?_nkw=Blastoise+Base+Set+1st+Edition+Shadowless+2/102+PSA+9&amp;LH_Sold=1&amp;LH_Complete=1&amp;_sop=13" TargetMode="External" Id="rId6"/><Relationship Type="http://schemas.openxmlformats.org/officeDocument/2006/relationships/hyperlink" Target="https://www.ebay.com/sch/i.html?_nkw=Venusaur+Base+Set+1st+Edition+Shadowless+15/102+PSA+9&amp;LH_Sold=1&amp;LH_Complete=1&amp;_sop=13" TargetMode="External" Id="rId7"/><Relationship Type="http://schemas.openxmlformats.org/officeDocument/2006/relationships/hyperlink" Target="https://www.ebay.com/sch/i.html?_nkw=Chansey+Base+Set+1st+Edition+3/102+PSA+9&amp;LH_Sold=1&amp;LH_Complete=1&amp;_sop=13" TargetMode="External" Id="rId8"/><Relationship Type="http://schemas.openxmlformats.org/officeDocument/2006/relationships/hyperlink" Target="https://www.ebay.com/sch/i.html?_nkw=Mewtwo+Base+Set+1st+Edition+10/102+PSA+9&amp;LH_Sold=1&amp;LH_Complete=1&amp;_sop=13" TargetMode="External" Id="rId9"/><Relationship Type="http://schemas.openxmlformats.org/officeDocument/2006/relationships/hyperlink" Target="https://www.ebay.com/sch/i.html?_nkw=Alakazam+Base+Set+1st+Edition+1/102+PSA+9&amp;LH_Sold=1&amp;LH_Complete=1&amp;_sop=13" TargetMode="External" Id="rId10"/><Relationship Type="http://schemas.openxmlformats.org/officeDocument/2006/relationships/hyperlink" Target="https://www.ebay.com/sch/i.html?_nkw=Ninetales+Base+Set+1st+Edition+12/102+PSA+9&amp;LH_Sold=1&amp;LH_Complete=1&amp;_sop=13" TargetMode="External" Id="rId11"/><Relationship Type="http://schemas.openxmlformats.org/officeDocument/2006/relationships/hyperlink" Target="https://www.ebay.com/sch/i.html?_nkw=Zapdos+Base+Set+1st+Edition+16/102+PSA+9&amp;LH_Sold=1&amp;LH_Complete=1&amp;_sop=13" TargetMode="External" Id="rId12"/><Relationship Type="http://schemas.openxmlformats.org/officeDocument/2006/relationships/hyperlink" Target="https://www.ebay.com/sch/i.html?_nkw=Pikachu+Red+Cheeks+Base+Set+Shadowless+58/102+PSA+10&amp;LH_Sold=1&amp;LH_Complete=1&amp;_sop=13" TargetMode="External" Id="rId13"/><Relationship Type="http://schemas.openxmlformats.org/officeDocument/2006/relationships/hyperlink" Target="https://www.ebay.com/sch/i.html?_nkw=Dragonite+Fossil+1st+Edition+4/62+PSA+9&amp;LH_Sold=1&amp;LH_Complete=1&amp;_sop=13" TargetMode="External" Id="rId14"/><Relationship Type="http://schemas.openxmlformats.org/officeDocument/2006/relationships/hyperlink" Target="https://www.ebay.com/sch/i.html?_nkw=Mewtwo+Fossil+1st+Edition+10/62+PSA+9&amp;LH_Sold=1&amp;LH_Complete=1&amp;_sop=13" TargetMode="External" Id="rId15"/><Relationship Type="http://schemas.openxmlformats.org/officeDocument/2006/relationships/hyperlink" Target="https://www.ebay.com/sch/i.html?_nkw=Lugia+Neo+Genesis+1st+Edition+9/111+PSA+9&amp;LH_Sold=1&amp;LH_Complete=1&amp;_sop=13" TargetMode="External" Id="rId16"/><Relationship Type="http://schemas.openxmlformats.org/officeDocument/2006/relationships/hyperlink" Target="https://www.ebay.com/sch/i.html?_nkw=Shining+Charizard+Neo+Destiny+1st+Edition+107/105+PSA+9&amp;LH_Sold=1&amp;LH_Complete=1&amp;_sop=13" TargetMode="External" Id="rId17"/><Relationship Type="http://schemas.openxmlformats.org/officeDocument/2006/relationships/hyperlink" Target="https://www.ebay.com/sch/i.html?_nkw=Shining+Tyranitar+Neo+Destiny+1st+Edition+113/105+PSA+9&amp;LH_Sold=1&amp;LH_Complete=1&amp;_sop=13" TargetMode="External" Id="rId18"/><Relationship Type="http://schemas.openxmlformats.org/officeDocument/2006/relationships/hyperlink" Target="https://www.ebay.com/sch/i.html?_nkw=Pikachu+Trophy+(Bronze)+Pokemon+World+Championships+1999+Trophy+PSA+8&amp;LH_Sold=1&amp;LH_Complete=1&amp;_sop=13" TargetMode="External" Id="rId19"/><Relationship Type="http://schemas.openxmlformats.org/officeDocument/2006/relationships/hyperlink" Target="https://www.ebay.com/sch/i.html?_nkw=Charizard+Gold+Star+EX+Dragon+Frontiers+100/101+PSA+10&amp;LH_Sold=1&amp;LH_Complete=1&amp;_sop=13" TargetMode="External" Id="rId20"/><Relationship Type="http://schemas.openxmlformats.org/officeDocument/2006/relationships/hyperlink" Target="https://www.ebay.com/sch/i.html?_nkw=Charizard+Gold+Star+EX+Dragon+Frontiers+100/101+PSA+9&amp;LH_Sold=1&amp;LH_Complete=1&amp;_sop=13" TargetMode="External" Id="rId21"/><Relationship Type="http://schemas.openxmlformats.org/officeDocument/2006/relationships/hyperlink" Target="https://www.ebay.com/sch/i.html?_nkw=Umbreon+Gold+Star+POP+Series+5+17/17+PSA+9&amp;LH_Sold=1&amp;LH_Complete=1&amp;_sop=13" TargetMode="External" Id="rId22"/><Relationship Type="http://schemas.openxmlformats.org/officeDocument/2006/relationships/hyperlink" Target="https://www.ebay.com/sch/i.html?_nkw=Espeon+Gold+Star+POP+Series+5+16/17+PSA+9&amp;LH_Sold=1&amp;LH_Complete=1&amp;_sop=13" TargetMode="External" Id="rId23"/><Relationship Type="http://schemas.openxmlformats.org/officeDocument/2006/relationships/hyperlink" Target="https://www.ebay.com/sch/i.html?_nkw=Vaporeon+Gold+Star+EX+Power+Keepers+Gold+Star+PSA+9&amp;LH_Sold=1&amp;LH_Complete=1&amp;_sop=13" TargetMode="External" Id="rId24"/><Relationship Type="http://schemas.openxmlformats.org/officeDocument/2006/relationships/hyperlink" Target="https://www.ebay.com/sch/i.html?_nkw=Jolteon+Gold+Star+EX+Power+Keepers+Gold+Star+PSA+9&amp;LH_Sold=1&amp;LH_Complete=1&amp;_sop=13" TargetMode="External" Id="rId25"/><Relationship Type="http://schemas.openxmlformats.org/officeDocument/2006/relationships/hyperlink" Target="https://www.ebay.com/sch/i.html?_nkw=Flareon+Gold+Star+EX+Power+Keepers+Gold+Star+PSA+9&amp;LH_Sold=1&amp;LH_Complete=1&amp;_sop=13" TargetMode="External" Id="rId26"/><Relationship Type="http://schemas.openxmlformats.org/officeDocument/2006/relationships/hyperlink" Target="https://www.ebay.com/sch/i.html?_nkw=Rayquaza+Gold+Star+EX+Deoxys+Gold+Star+PSA+9&amp;LH_Sold=1&amp;LH_Complete=1&amp;_sop=13" TargetMode="External" Id="rId27"/><Relationship Type="http://schemas.openxmlformats.org/officeDocument/2006/relationships/hyperlink" Target="https://www.ebay.com/sch/i.html?_nkw=Mew+Gold+Star+EX+Holon+Phantoms+Gold+Star+PSA+9&amp;LH_Sold=1&amp;LH_Complete=1&amp;_sop=13" TargetMode="External" Id="rId28"/><Relationship Type="http://schemas.openxmlformats.org/officeDocument/2006/relationships/hyperlink" Target="https://www.ebay.com/sch/i.html?_nkw=Glaceon+Gold+Star+Diamond++Pearl+Promos+DP38+PSA+9&amp;LH_Sold=1&amp;LH_Complete=1&amp;_sop=13" TargetMode="External" Id="rId29"/><Relationship Type="http://schemas.openxmlformats.org/officeDocument/2006/relationships/hyperlink" Target="https://www.ebay.com/sch/i.html?_nkw=Leafeon+Gold+Star+Diamond++Pearl+Promos+DP37+PSA+9&amp;LH_Sold=1&amp;LH_Complete=1&amp;_sop=13" TargetMode="External" Id="rId30"/><Relationship Type="http://schemas.openxmlformats.org/officeDocument/2006/relationships/hyperlink" Target="https://www.ebay.com/sch/i.html?_nkw=Pikachu+Illustrator+Trophy+Promo+PSA+4&amp;LH_Sold=1&amp;LH_Complete=1&amp;_sop=13" TargetMode="External" Id="rId31"/><Relationship Type="http://schemas.openxmlformats.org/officeDocument/2006/relationships/hyperlink" Target="https://www.ebay.com/sch/i.html?_nkw=Tropical+Wind+WC+1999-2003+Promo+PSA+9&amp;LH_Sold=1&amp;LH_Complete=1&amp;_sop=13" TargetMode="External" Id="rId32"/><Relationship Type="http://schemas.openxmlformats.org/officeDocument/2006/relationships/hyperlink" Target="https://www.ebay.com/sch/i.html?_nkw=No.2+Trainer+1999+Tropical+Mega+Battle+Trophy+PSA+8&amp;LH_Sold=1&amp;LH_Complete=1&amp;_sop=13" TargetMode="External" Id="rId33"/><Relationship Type="http://schemas.openxmlformats.org/officeDocument/2006/relationships/hyperlink" Target="https://www.ebay.com/sch/i.html?_nkw=Blaine's+Charizard+Gym+Heroes+1st+Edition+2/132+PSA+9&amp;LH_Sold=1&amp;LH_Complete=1&amp;_sop=13" TargetMode="External" Id="rId34"/><Relationship Type="http://schemas.openxmlformats.org/officeDocument/2006/relationships/hyperlink" Target="https://www.ebay.com/sch/i.html?_nkw=Dark+Charizard+Team+Rocket+1st+Edition+4/82+PSA+9&amp;LH_Sold=1&amp;LH_Complete=1&amp;_sop=13" TargetMode="External" Id="rId35"/><Relationship Type="http://schemas.openxmlformats.org/officeDocument/2006/relationships/hyperlink" Target="https://www.ebay.com/sch/i.html?_nkw=Umbreon+VMAX+(Moonbreon)+Evolving+Skies+215/203+PSA+10&amp;LH_Sold=1&amp;LH_Complete=1&amp;_sop=13" TargetMode="External" Id="rId36"/><Relationship Type="http://schemas.openxmlformats.org/officeDocument/2006/relationships/hyperlink" Target="https://www.ebay.com/sch/i.html?_nkw=Umbreon+VMAX+(Moonbreon)+Evolving+Skies+215/203+Raw+NM&amp;LH_Sold=1&amp;LH_Complete=1&amp;_sop=13" TargetMode="External" Id="rId37"/><Relationship Type="http://schemas.openxmlformats.org/officeDocument/2006/relationships/hyperlink" Target="https://www.ebay.com/sch/i.html?_nkw=Rayquaza+VMAX+Alt+Art+Evolving+Skies+218/203+PSA+10&amp;LH_Sold=1&amp;LH_Complete=1&amp;_sop=13" TargetMode="External" Id="rId38"/><Relationship Type="http://schemas.openxmlformats.org/officeDocument/2006/relationships/hyperlink" Target="https://www.ebay.com/sch/i.html?_nkw=Sylveon+VMAX+Alt+Art+Evolving+Skies+212/203+PSA+10&amp;LH_Sold=1&amp;LH_Complete=1&amp;_sop=13" TargetMode="External" Id="rId39"/><Relationship Type="http://schemas.openxmlformats.org/officeDocument/2006/relationships/hyperlink" Target="https://www.ebay.com/sch/i.html?_nkw=Espeon+VMAX+Alt+Art+Evolving+Skies+208/203+PSA+10&amp;LH_Sold=1&amp;LH_Complete=1&amp;_sop=13" TargetMode="External" Id="rId40"/><Relationship Type="http://schemas.openxmlformats.org/officeDocument/2006/relationships/hyperlink" Target="https://www.ebay.com/sch/i.html?_nkw=Leafeon+VMAX+Alt+Art+Evolving+Skies+205/203+PSA+10&amp;LH_Sold=1&amp;LH_Complete=1&amp;_sop=13" TargetMode="External" Id="rId41"/><Relationship Type="http://schemas.openxmlformats.org/officeDocument/2006/relationships/hyperlink" Target="https://www.ebay.com/sch/i.html?_nkw=Glaceon+VMAX+Alt+Art+Evolving+Skies+210/203+PSA+10&amp;LH_Sold=1&amp;LH_Complete=1&amp;_sop=13" TargetMode="External" Id="rId42"/><Relationship Type="http://schemas.openxmlformats.org/officeDocument/2006/relationships/hyperlink" Target="https://www.ebay.com/sch/i.html?_nkw=Jolteon+VMAX+Alt+Art+Evolving+Skies+203/203+PSA+10&amp;LH_Sold=1&amp;LH_Complete=1&amp;_sop=13" TargetMode="External" Id="rId43"/><Relationship Type="http://schemas.openxmlformats.org/officeDocument/2006/relationships/hyperlink" Target="https://www.ebay.com/sch/i.html?_nkw=Umbreon+V+Alt+Art+Evolving+Skies+189/203+PSA+10&amp;LH_Sold=1&amp;LH_Complete=1&amp;_sop=13" TargetMode="External" Id="rId44"/><Relationship Type="http://schemas.openxmlformats.org/officeDocument/2006/relationships/hyperlink" Target="https://www.ebay.com/sch/i.html?_nkw=Dragonite+V+Alt+Art+Evolving+Skies+192/203+PSA+10&amp;LH_Sold=1&amp;LH_Complete=1&amp;_sop=13" TargetMode="External" Id="rId45"/><Relationship Type="http://schemas.openxmlformats.org/officeDocument/2006/relationships/hyperlink" Target="https://www.ebay.com/sch/i.html?_nkw=Duraludon+VMAX+Alt+Art+Evolving+Skies+217/203+PSA+10&amp;LH_Sold=1&amp;LH_Complete=1&amp;_sop=13" TargetMode="External" Id="rId46"/><Relationship Type="http://schemas.openxmlformats.org/officeDocument/2006/relationships/hyperlink" Target="https://www.ebay.com/sch/i.html?_nkw=Rayquaza+V+Alt+Art+Evolving+Skies+194/203+PSA+10&amp;LH_Sold=1&amp;LH_Complete=1&amp;_sop=13" TargetMode="External" Id="rId47"/><Relationship Type="http://schemas.openxmlformats.org/officeDocument/2006/relationships/hyperlink" Target="https://www.ebay.com/sch/i.html?_nkw=Charizard+VMAX+Rainbow+Champion's+Path+74/73+PSA+10&amp;LH_Sold=1&amp;LH_Complete=1&amp;_sop=13" TargetMode="External" Id="rId48"/><Relationship Type="http://schemas.openxmlformats.org/officeDocument/2006/relationships/hyperlink" Target="https://www.ebay.com/sch/i.html?_nkw=Charizard+V+Full+Art+Champion's+Path+79/73+PSA+10&amp;LH_Sold=1&amp;LH_Complete=1&amp;_sop=13" TargetMode="External" Id="rId49"/><Relationship Type="http://schemas.openxmlformats.org/officeDocument/2006/relationships/hyperlink" Target="https://www.ebay.com/sch/i.html?_nkw=Charizard+VSTAR+Rainbow+Brilliant+Stars+174/172+PSA+10&amp;LH_Sold=1&amp;LH_Complete=1&amp;_sop=13" TargetMode="External" Id="rId50"/><Relationship Type="http://schemas.openxmlformats.org/officeDocument/2006/relationships/hyperlink" Target="https://www.ebay.com/sch/i.html?_nkw=Mewtwo+VSTAR+Alt+Art+Brilliant+Stars+176/172+PSA+10&amp;LH_Sold=1&amp;LH_Complete=1&amp;_sop=13" TargetMode="External" Id="rId51"/><Relationship Type="http://schemas.openxmlformats.org/officeDocument/2006/relationships/hyperlink" Target="https://www.ebay.com/sch/i.html?_nkw=Whimsicott+VSTAR+Alt+Art+Brilliant+Stars+175/172+PSA+10&amp;LH_Sold=1&amp;LH_Complete=1&amp;_sop=13" TargetMode="External" Id="rId52"/><Relationship Type="http://schemas.openxmlformats.org/officeDocument/2006/relationships/hyperlink" Target="https://www.ebay.com/sch/i.html?_nkw=Arceus+VSTAR+Alt+Art+Brilliant+Stars+184/172+PSA+10&amp;LH_Sold=1&amp;LH_Complete=1&amp;_sop=13" TargetMode="External" Id="rId53"/><Relationship Type="http://schemas.openxmlformats.org/officeDocument/2006/relationships/hyperlink" Target="https://www.ebay.com/sch/i.html?_nkw=Origin+Forme+Palkia+VSTAR+Alt+Astral+Radiance+208/189+PSA+10&amp;LH_Sold=1&amp;LH_Complete=1&amp;_sop=13" TargetMode="External" Id="rId54"/><Relationship Type="http://schemas.openxmlformats.org/officeDocument/2006/relationships/hyperlink" Target="https://www.ebay.com/sch/i.html?_nkw=Origin+Forme+Dialga+VSTAR+Alt+Astral+Radiance+207/189+PSA+10&amp;LH_Sold=1&amp;LH_Complete=1&amp;_sop=13" TargetMode="External" Id="rId55"/><Relationship Type="http://schemas.openxmlformats.org/officeDocument/2006/relationships/hyperlink" Target="https://www.ebay.com/sch/i.html?_nkw=Giratina+VSTAR+Alt+Art+Lost+Origin+TG30/TG30+PSA+10&amp;LH_Sold=1&amp;LH_Complete=1&amp;_sop=13" TargetMode="External" Id="rId56"/><Relationship Type="http://schemas.openxmlformats.org/officeDocument/2006/relationships/hyperlink" Target="https://www.ebay.com/sch/i.html?_nkw=Aerodactyl+V+Alt+Art+Lost+Origin+TG21/TG30+PSA+10&amp;LH_Sold=1&amp;LH_Complete=1&amp;_sop=13" TargetMode="External" Id="rId57"/><Relationship Type="http://schemas.openxmlformats.org/officeDocument/2006/relationships/hyperlink" Target="https://www.ebay.com/sch/i.html?_nkw=Magnezone+V+Alt+Art+Lost+Origin+TG13/TG30+PSA+10&amp;LH_Sold=1&amp;LH_Complete=1&amp;_sop=13" TargetMode="External" Id="rId58"/><Relationship Type="http://schemas.openxmlformats.org/officeDocument/2006/relationships/hyperlink" Target="https://www.ebay.com/sch/i.html?_nkw=Lugia+VSTAR+Alt+Art+Silver+Tempest+TG30/TG30+PSA+10&amp;LH_Sold=1&amp;LH_Complete=1&amp;_sop=13" TargetMode="External" Id="rId59"/><Relationship Type="http://schemas.openxmlformats.org/officeDocument/2006/relationships/hyperlink" Target="https://www.ebay.com/sch/i.html?_nkw=Alakazam+V+Alt+Art+Silver+Tempest+TG07/TG30+PSA+10&amp;LH_Sold=1&amp;LH_Complete=1&amp;_sop=13" TargetMode="External" Id="rId60"/><Relationship Type="http://schemas.openxmlformats.org/officeDocument/2006/relationships/hyperlink" Target="https://www.ebay.com/sch/i.html?_nkw=Serperior+V+Alt+Art+Silver+Tempest+TG02/TG30+PSA+10&amp;LH_Sold=1&amp;LH_Complete=1&amp;_sop=13" TargetMode="External" Id="rId61"/><Relationship Type="http://schemas.openxmlformats.org/officeDocument/2006/relationships/hyperlink" Target="https://www.ebay.com/sch/i.html?_nkw=Tyranitar+V+Alt+Art+Silver+Tempest+TG09/TG30+PSA+10&amp;LH_Sold=1&amp;LH_Complete=1&amp;_sop=13" TargetMode="External" Id="rId62"/><Relationship Type="http://schemas.openxmlformats.org/officeDocument/2006/relationships/hyperlink" Target="https://www.ebay.com/sch/i.html?_nkw=Articuno+V+Alt+Art+Silver+Tempest+TG12/TG30+PSA+10&amp;LH_Sold=1&amp;LH_Complete=1&amp;_sop=13" TargetMode="External" Id="rId63"/><Relationship Type="http://schemas.openxmlformats.org/officeDocument/2006/relationships/hyperlink" Target="https://www.ebay.com/sch/i.html?_nkw=Giratina+VSTAR+Gold+Crown+Zenith+GG70/GG70+PSA+10&amp;LH_Sold=1&amp;LH_Complete=1&amp;_sop=13" TargetMode="External" Id="rId64"/><Relationship Type="http://schemas.openxmlformats.org/officeDocument/2006/relationships/hyperlink" Target="https://www.ebay.com/sch/i.html?_nkw=Mewtwo+VSTAR+(GG)+Crown+Zenith+Galarian+Gallery+GG44/GG70+PSA+10&amp;LH_Sold=1&amp;LH_Complete=1&amp;_sop=13" TargetMode="External" Id="rId65"/><Relationship Type="http://schemas.openxmlformats.org/officeDocument/2006/relationships/hyperlink" Target="https://www.ebay.com/sch/i.html?_nkw=Pikachu+VMAX+(GG)+Crown+Zenith+Galarian+Gallery+GG70/GG70+PSA+10&amp;LH_Sold=1&amp;LH_Complete=1&amp;_sop=13" TargetMode="External" Id="rId66"/><Relationship Type="http://schemas.openxmlformats.org/officeDocument/2006/relationships/hyperlink" Target="https://www.ebay.com/sch/i.html?_nkw=Charizard+V+(GG)+Crown+Zenith+Galarian+Gallery+GG44/GG70+PSA+10&amp;LH_Sold=1&amp;LH_Complete=1&amp;_sop=13" TargetMode="External" Id="rId67"/><Relationship Type="http://schemas.openxmlformats.org/officeDocument/2006/relationships/hyperlink" Target="https://www.ebay.com/sch/i.html?_nkw=Lugia+V+(GG)+Crown+Zenith+Galarian+Gallery+GG62/GG70+PSA+10&amp;LH_Sold=1&amp;LH_Complete=1&amp;_sop=13" TargetMode="External" Id="rId68"/><Relationship Type="http://schemas.openxmlformats.org/officeDocument/2006/relationships/hyperlink" Target="https://www.ebay.com/sch/i.html?_nkw=Charizard+ex+SIR+Scarlet++Violet+151+199/165+PSA+10&amp;LH_Sold=1&amp;LH_Complete=1&amp;_sop=13" TargetMode="External" Id="rId69"/><Relationship Type="http://schemas.openxmlformats.org/officeDocument/2006/relationships/hyperlink" Target="https://www.ebay.com/sch/i.html?_nkw=Charizard+ex+SIR+Scarlet++Violet+151+199/165+Raw+NM&amp;LH_Sold=1&amp;LH_Complete=1&amp;_sop=13" TargetMode="External" Id="rId70"/><Relationship Type="http://schemas.openxmlformats.org/officeDocument/2006/relationships/hyperlink" Target="https://www.ebay.com/sch/i.html?_nkw=Charizard+ex+Full+Art+Scarlet++Violet+151+183/165+PSA+10&amp;LH_Sold=1&amp;LH_Complete=1&amp;_sop=13" TargetMode="External" Id="rId71"/><Relationship Type="http://schemas.openxmlformats.org/officeDocument/2006/relationships/hyperlink" Target="https://www.ebay.com/sch/i.html?_nkw=Mew+ex+SIR+Scarlet++Violet+151+205/165+PSA+10&amp;LH_Sold=1&amp;LH_Complete=1&amp;_sop=13" TargetMode="External" Id="rId72"/><Relationship Type="http://schemas.openxmlformats.org/officeDocument/2006/relationships/hyperlink" Target="https://www.ebay.com/sch/i.html?_nkw=Zapdos+ex+SIR+Scarlet++Violet+151+202/165+PSA+10&amp;LH_Sold=1&amp;LH_Complete=1&amp;_sop=13" TargetMode="External" Id="rId73"/><Relationship Type="http://schemas.openxmlformats.org/officeDocument/2006/relationships/hyperlink" Target="https://www.ebay.com/sch/i.html?_nkw=Venusaur+ex+SIR+Scarlet++Violet+151+198/165+PSA+10&amp;LH_Sold=1&amp;LH_Complete=1&amp;_sop=13" TargetMode="External" Id="rId74"/><Relationship Type="http://schemas.openxmlformats.org/officeDocument/2006/relationships/hyperlink" Target="https://www.ebay.com/sch/i.html?_nkw=Blastoise+ex+SIR+Scarlet++Violet+151+200/165+PSA+10&amp;LH_Sold=1&amp;LH_Complete=1&amp;_sop=13" TargetMode="External" Id="rId75"/><Relationship Type="http://schemas.openxmlformats.org/officeDocument/2006/relationships/hyperlink" Target="https://www.ebay.com/sch/i.html?_nkw=Mewtwo+ex+SIR+Scarlet++Violet+151+201/165+PSA+10&amp;LH_Sold=1&amp;LH_Complete=1&amp;_sop=13" TargetMode="External" Id="rId76"/><Relationship Type="http://schemas.openxmlformats.org/officeDocument/2006/relationships/hyperlink" Target="https://www.ebay.com/sch/i.html?_nkw=Pikachu+Master+Ball+Pattern+Scarlet++Violet+151+025/165+PSA+10&amp;LH_Sold=1&amp;LH_Complete=1&amp;_sop=13" TargetMode="External" Id="rId77"/><Relationship Type="http://schemas.openxmlformats.org/officeDocument/2006/relationships/hyperlink" Target="https://www.ebay.com/sch/i.html?_nkw=Alakazam+ex+SIR+Scarlet++Violet+151+203/165+PSA+10&amp;LH_Sold=1&amp;LH_Complete=1&amp;_sop=13" TargetMode="External" Id="rId78"/><Relationship Type="http://schemas.openxmlformats.org/officeDocument/2006/relationships/hyperlink" Target="https://www.ebay.com/sch/i.html?_nkw=Iono+SIR+Paldea+Evolved+269/193+PSA+10&amp;LH_Sold=1&amp;LH_Complete=1&amp;_sop=13" TargetMode="External" Id="rId79"/><Relationship Type="http://schemas.openxmlformats.org/officeDocument/2006/relationships/hyperlink" Target="https://www.ebay.com/sch/i.html?_nkw=Tinkaton+ex+SIR+Paldea+Evolved+265/193+PSA+10&amp;LH_Sold=1&amp;LH_Complete=1&amp;_sop=13" TargetMode="External" Id="rId80"/><Relationship Type="http://schemas.openxmlformats.org/officeDocument/2006/relationships/hyperlink" Target="https://www.ebay.com/sch/i.html?_nkw=Charizard+ex+SIR+Obsidian+Flames+228/197+PSA+10&amp;LH_Sold=1&amp;LH_Complete=1&amp;_sop=13" TargetMode="External" Id="rId81"/><Relationship Type="http://schemas.openxmlformats.org/officeDocument/2006/relationships/hyperlink" Target="https://www.ebay.com/sch/i.html?_nkw=Charizard+ex+SIR+Obsidian+Flames+228/197+Raw+NM&amp;LH_Sold=1&amp;LH_Complete=1&amp;_sop=13" TargetMode="External" Id="rId82"/><Relationship Type="http://schemas.openxmlformats.org/officeDocument/2006/relationships/hyperlink" Target="https://www.ebay.com/sch/i.html?_nkw=Tyranitar+ex+SIR+Obsidian+Flames+230/197+PSA+10&amp;LH_Sold=1&amp;LH_Complete=1&amp;_sop=13" TargetMode="External" Id="rId83"/><Relationship Type="http://schemas.openxmlformats.org/officeDocument/2006/relationships/hyperlink" Target="https://www.ebay.com/sch/i.html?_nkw=Mela+SIR+Obsidian+Flames+229/197+PSA+10&amp;LH_Sold=1&amp;LH_Complete=1&amp;_sop=13" TargetMode="External" Id="rId84"/><Relationship Type="http://schemas.openxmlformats.org/officeDocument/2006/relationships/hyperlink" Target="https://www.ebay.com/sch/i.html?_nkw=Iron+Hands+ex+Alt+Art+Paradox+Rift+228/182+PSA+10&amp;LH_Sold=1&amp;LH_Complete=1&amp;_sop=13" TargetMode="External" Id="rId85"/><Relationship Type="http://schemas.openxmlformats.org/officeDocument/2006/relationships/hyperlink" Target="https://www.ebay.com/sch/i.html?_nkw=Roaring+Moon+ex+Alt+Art+Paradox+Rift+229/182+PSA+10&amp;LH_Sold=1&amp;LH_Complete=1&amp;_sop=13" TargetMode="External" Id="rId86"/><Relationship Type="http://schemas.openxmlformats.org/officeDocument/2006/relationships/hyperlink" Target="https://www.ebay.com/sch/i.html?_nkw=Penny+SIR+Paradox+Rift+238/182+PSA+10&amp;LH_Sold=1&amp;LH_Complete=1&amp;_sop=13" TargetMode="External" Id="rId87"/><Relationship Type="http://schemas.openxmlformats.org/officeDocument/2006/relationships/hyperlink" Target="https://www.ebay.com/sch/i.html?_nkw=Garchomp+ex+Alt+Art+Paradox+Rift+230/182+PSA+10&amp;LH_Sold=1&amp;LH_Complete=1&amp;_sop=13" TargetMode="External" Id="rId88"/><Relationship Type="http://schemas.openxmlformats.org/officeDocument/2006/relationships/hyperlink" Target="https://www.ebay.com/sch/i.html?_nkw=Roaring+Moon+ex+SIR+Paradox+Rift+251/182+PSA+10&amp;LH_Sold=1&amp;LH_Complete=1&amp;_sop=13" TargetMode="External" Id="rId89"/><Relationship Type="http://schemas.openxmlformats.org/officeDocument/2006/relationships/hyperlink" Target="https://www.ebay.com/sch/i.html?_nkw=Garchomp+ex+SIR+Paradox+Rift+252/182+PSA+10&amp;LH_Sold=1&amp;LH_Complete=1&amp;_sop=13" TargetMode="External" Id="rId90"/><Relationship Type="http://schemas.openxmlformats.org/officeDocument/2006/relationships/hyperlink" Target="https://www.ebay.com/sch/i.html?_nkw=Charizard+ex+Shiny+Paldean+Fates+234/091+PSA+10&amp;LH_Sold=1&amp;LH_Complete=1&amp;_sop=13" TargetMode="External" Id="rId91"/><Relationship Type="http://schemas.openxmlformats.org/officeDocument/2006/relationships/hyperlink" Target="https://www.ebay.com/sch/i.html?_nkw=Mewtwo+ex+Shiny+Paldean+Fates+235/091+PSA+10&amp;LH_Sold=1&amp;LH_Complete=1&amp;_sop=13" TargetMode="External" Id="rId92"/><Relationship Type="http://schemas.openxmlformats.org/officeDocument/2006/relationships/hyperlink" Target="https://www.ebay.com/sch/i.html?_nkw=Pikachu+Shiny+Paldean+Fates+232/091+PSA+10&amp;LH_Sold=1&amp;LH_Complete=1&amp;_sop=13" TargetMode="External" Id="rId93"/><Relationship Type="http://schemas.openxmlformats.org/officeDocument/2006/relationships/hyperlink" Target="https://www.ebay.com/sch/i.html?_nkw=Greninja+ex+SIR+Twilight+Masquerade+232/167+PSA+10&amp;LH_Sold=1&amp;LH_Complete=1&amp;_sop=13" TargetMode="External" Id="rId94"/><Relationship Type="http://schemas.openxmlformats.org/officeDocument/2006/relationships/hyperlink" Target="https://www.ebay.com/sch/i.html?_nkw=Carmine+SIR+Twilight+Masquerade+229/167+PSA+10&amp;LH_Sold=1&amp;LH_Complete=1&amp;_sop=13" TargetMode="External" Id="rId95"/><Relationship Type="http://schemas.openxmlformats.org/officeDocument/2006/relationships/hyperlink" Target="https://www.ebay.com/sch/i.html?_nkw=Hoothoot+SIR+Twilight+Masquerade+230/167+PSA+10&amp;LH_Sold=1&amp;LH_Complete=1&amp;_sop=13" TargetMode="External" Id="rId96"/><Relationship Type="http://schemas.openxmlformats.org/officeDocument/2006/relationships/hyperlink" Target="https://www.ebay.com/sch/i.html?_nkw=Pecharunt+ex+SIR+Shrouded+Fable+086/064+PSA+10&amp;LH_Sold=1&amp;LH_Complete=1&amp;_sop=13" TargetMode="External" Id="rId97"/><Relationship Type="http://schemas.openxmlformats.org/officeDocument/2006/relationships/hyperlink" Target="https://www.ebay.com/sch/i.html?_nkw=Fezandipiti+ex+Alt+Art+Shrouded+Fable+071/064+PSA+10&amp;LH_Sold=1&amp;LH_Complete=1&amp;_sop=13" TargetMode="External" Id="rId98"/><Relationship Type="http://schemas.openxmlformats.org/officeDocument/2006/relationships/hyperlink" Target="https://www.ebay.com/sch/i.html?_nkw=Terapagos+ex+SIR+Stellar+Crown+176/142+PSA+10&amp;LH_Sold=1&amp;LH_Complete=1&amp;_sop=13" TargetMode="External" Id="rId99"/><Relationship Type="http://schemas.openxmlformats.org/officeDocument/2006/relationships/hyperlink" Target="https://www.ebay.com/sch/i.html?_nkw=Lacey+SIR+Stellar+Crown+171/142+PSA+10&amp;LH_Sold=1&amp;LH_Complete=1&amp;_sop=13" TargetMode="External" Id="rId100"/><Relationship Type="http://schemas.openxmlformats.org/officeDocument/2006/relationships/hyperlink" Target="https://www.ebay.com/sch/i.html?_nkw=Pikachu+ex+Alt+Art+Surging+Sparks+238/191+PSA+10&amp;LH_Sold=1&amp;LH_Complete=1&amp;_sop=13" TargetMode="External" Id="rId101"/><Relationship Type="http://schemas.openxmlformats.org/officeDocument/2006/relationships/hyperlink" Target="https://www.ebay.com/sch/i.html?_nkw=Latias+ex+Alt+Art+Surging+Sparks+239/191+PSA+10&amp;LH_Sold=1&amp;LH_Complete=1&amp;_sop=13" TargetMode="External" Id="rId102"/><Relationship Type="http://schemas.openxmlformats.org/officeDocument/2006/relationships/hyperlink" Target="https://www.ebay.com/sch/i.html?_nkw=Hydreigon+ex+Alt+Art+Surging+Sparks+240/191+PSA+10&amp;LH_Sold=1&amp;LH_Complete=1&amp;_sop=13" TargetMode="External" Id="rId103"/><Relationship Type="http://schemas.openxmlformats.org/officeDocument/2006/relationships/hyperlink" Target="https://www.ebay.com/sch/i.html?_nkw=Umbreon+ex+SIR+Prismatic+Evolutions+161/131+PSA+10&amp;LH_Sold=1&amp;LH_Complete=1&amp;_sop=13" TargetMode="External" Id="rId104"/><Relationship Type="http://schemas.openxmlformats.org/officeDocument/2006/relationships/hyperlink" Target="https://www.ebay.com/sch/i.html?_nkw=Umbreon+ex+SIR+Prismatic+Evolutions+161/131+Raw+NM&amp;LH_Sold=1&amp;LH_Complete=1&amp;_sop=13" TargetMode="External" Id="rId105"/><Relationship Type="http://schemas.openxmlformats.org/officeDocument/2006/relationships/hyperlink" Target="https://www.ebay.com/sch/i.html?_nkw=Sylveon+ex+SIR+Prismatic+Evolutions+156/131+PSA+10&amp;LH_Sold=1&amp;LH_Complete=1&amp;_sop=13" TargetMode="External" Id="rId106"/><Relationship Type="http://schemas.openxmlformats.org/officeDocument/2006/relationships/hyperlink" Target="https://www.ebay.com/sch/i.html?_nkw=Espeon+ex+SIR+Prismatic+Evolutions+155/131+PSA+10&amp;LH_Sold=1&amp;LH_Complete=1&amp;_sop=13" TargetMode="External" Id="rId107"/><Relationship Type="http://schemas.openxmlformats.org/officeDocument/2006/relationships/hyperlink" Target="https://www.ebay.com/sch/i.html?_nkw=Vaporeon+ex+SIR+Prismatic+Evolutions+159/131+PSA+10&amp;LH_Sold=1&amp;LH_Complete=1&amp;_sop=13" TargetMode="External" Id="rId108"/><Relationship Type="http://schemas.openxmlformats.org/officeDocument/2006/relationships/hyperlink" Target="https://www.ebay.com/sch/i.html?_nkw=Glaceon+ex+SIR+Prismatic+Evolutions+158/131+PSA+10&amp;LH_Sold=1&amp;LH_Complete=1&amp;_sop=13" TargetMode="External" Id="rId109"/><Relationship Type="http://schemas.openxmlformats.org/officeDocument/2006/relationships/hyperlink" Target="https://www.ebay.com/sch/i.html?_nkw=Leafeon+ex+SIR+Prismatic+Evolutions+144/131+PSA+10&amp;LH_Sold=1&amp;LH_Complete=1&amp;_sop=13" TargetMode="External" Id="rId110"/><Relationship Type="http://schemas.openxmlformats.org/officeDocument/2006/relationships/hyperlink" Target="https://www.ebay.com/sch/i.html?_nkw=Marnie+SIR+Journey+Together+180/159+PSA+10&amp;LH_Sold=1&amp;LH_Complete=1&amp;_sop=13" TargetMode="External" Id="rId111"/><Relationship Type="http://schemas.openxmlformats.org/officeDocument/2006/relationships/hyperlink" Target="https://www.ebay.com/sch/i.html?_nkw=N's+Zoroark+ex+Alt+Journey+Together+175/159+PSA+10&amp;LH_Sold=1&amp;LH_Complete=1&amp;_sop=13" TargetMode="External" Id="rId112"/><Relationship Type="http://schemas.openxmlformats.org/officeDocument/2006/relationships/hyperlink" Target="https://www.ebay.com/sch/i.html?_nkw=Lillie's+Determination+SIR+Mega+Evolution+(ME01)+184/132+PSA+10&amp;LH_Sold=1&amp;LH_Complete=1&amp;_sop=13" TargetMode="External" Id="rId113"/><Relationship Type="http://schemas.openxmlformats.org/officeDocument/2006/relationships/hyperlink" Target="https://www.ebay.com/sch/i.html?_nkw=Lillie's+Determination+SIR+Mega+Evolution+(ME01)+184/132+Raw+NM&amp;LH_Sold=1&amp;LH_Complete=1&amp;_sop=13" TargetMode="External" Id="rId114"/><Relationship Type="http://schemas.openxmlformats.org/officeDocument/2006/relationships/hyperlink" Target="https://www.ebay.com/sch/i.html?_nkw=Mega+Charizard+X+ex+SIR+Mega+Evolution+(ME01)+180/132+PSA+10&amp;LH_Sold=1&amp;LH_Complete=1&amp;_sop=13" TargetMode="External" Id="rId115"/><Relationship Type="http://schemas.openxmlformats.org/officeDocument/2006/relationships/hyperlink" Target="https://www.ebay.com/sch/i.html?_nkw=Mega+Gengar+ex+SIR+Ascended+Heroes+284/217+PSA+10&amp;LH_Sold=1&amp;LH_Complete=1&amp;_sop=13" TargetMode="External" Id="rId116"/><Relationship Type="http://schemas.openxmlformats.org/officeDocument/2006/relationships/hyperlink" Target="https://www.ebay.com/sch/i.html?_nkw=Mega+Gengar+ex+SIR+Ascended+Heroes+284/217+Raw+NM&amp;LH_Sold=1&amp;LH_Complete=1&amp;_sop=13" TargetMode="External" Id="rId117"/><Relationship Type="http://schemas.openxmlformats.org/officeDocument/2006/relationships/hyperlink" Target="https://www.ebay.com/sch/i.html?_nkw=Mega+Gengar+ex+MAR+Ascended+Heroes+269/217+PSA+10&amp;LH_Sold=1&amp;LH_Complete=1&amp;_sop=13" TargetMode="External" Id="rId118"/><Relationship Type="http://schemas.openxmlformats.org/officeDocument/2006/relationships/hyperlink" Target="https://www.ebay.com/sch/i.html?_nkw=Mega+Rayquaza+ex+SIR+Ascended+Heroes+286/217+PSA+10&amp;LH_Sold=1&amp;LH_Complete=1&amp;_sop=13" TargetMode="External" Id="rId119"/><Relationship Type="http://schemas.openxmlformats.org/officeDocument/2006/relationships/hyperlink" Target="https://www.ebay.com/sch/i.html?_nkw=Mega+Lucario+ex+SIR+Ascended+Heroes+285/217+PSA+10&amp;LH_Sold=1&amp;LH_Complete=1&amp;_sop=13" TargetMode="External" Id="rId120"/><Relationship Type="http://schemas.openxmlformats.org/officeDocument/2006/relationships/hyperlink" Target="https://www.ebay.com/sch/i.html?_nkw=Mega+Lopunny+ex+SIR+Ascended+Heroes+283/217+PSA+10&amp;LH_Sold=1&amp;LH_Complete=1&amp;_sop=13" TargetMode="External" Id="rId121"/><Relationship Type="http://schemas.openxmlformats.org/officeDocument/2006/relationships/hyperlink" Target="https://www.ebay.com/sch/i.html?_nkw=Mega+Charizard+Y+ex+SIR+Ascended+Heroes+288/217+Raw+NM&amp;LH_Sold=1&amp;LH_Complete=1&amp;_sop=13" TargetMode="External" Id="rId122"/><Relationship Type="http://schemas.openxmlformats.org/officeDocument/2006/relationships/hyperlink" Target="https://www.ebay.com/sch/i.html?_nkw=Mega+Charizard+Y+ex+SIR+Ascended+Heroes+288/217+PSA+10&amp;LH_Sold=1&amp;LH_Complete=1&amp;_sop=13" TargetMode="External" Id="rId123"/><Relationship Type="http://schemas.openxmlformats.org/officeDocument/2006/relationships/hyperlink" Target="https://www.ebay.com/sch/i.html?_nkw=Van+Gogh+Pikachu+Van+Gogh+Museum+Promo+085+PSA+10&amp;LH_Sold=1&amp;LH_Complete=1&amp;_sop=13" TargetMode="External" Id="rId124"/><Relationship Type="http://schemas.openxmlformats.org/officeDocument/2006/relationships/hyperlink" Target="https://www.ebay.com/sch/i.html?_nkw=Van+Gogh+Pikachu+Van+Gogh+Museum+Promo+085+Raw+NM&amp;LH_Sold=1&amp;LH_Complete=1&amp;_sop=13" TargetMode="External" Id="rId125"/><Relationship Type="http://schemas.openxmlformats.org/officeDocument/2006/relationships/hyperlink" Target="https://www.ebay.com/sch/i.html?_nkw=Pokemon+Day+2026+Pikachu+Promo+30th+Anniversary+Promo+001/030+PSA+10&amp;LH_Sold=1&amp;LH_Complete=1&amp;_sop=13" TargetMode="External" Id="rId126"/><Relationship Type="http://schemas.openxmlformats.org/officeDocument/2006/relationships/hyperlink" Target="https://www.ebay.com/sch/i.html?_nkw=Birthday+Pikachu+Promo+Black+Star+Promo+" TargetMode="External" Id="rId127"/><Relationship Type="http://schemas.openxmlformats.org/officeDocument/2006/relationships/hyperlink" Target="https://www.ebay.com/sch/i.html?_nkw=Tropical+Wind+Trainer+WCS+2010+Promo+PSA+10&amp;LH_Sold=1&amp;LH_Complete=1&amp;_sop=13" TargetMode="External" Id="rId128"/><Relationship Type="http://schemas.openxmlformats.org/officeDocument/2006/relationships/hyperlink" Target="https://www.ebay.com/sch/i.html?_nkw=Evolving+Skies+Booster+Box+Evolving+Skies+Box+Sealed+(36+packs)&amp;LH_Sold=1&amp;LH_Complete=1&amp;_sop=13" TargetMode="External" Id="rId129"/><Relationship Type="http://schemas.openxmlformats.org/officeDocument/2006/relationships/hyperlink" Target="https://www.ebay.com/sch/i.html?_nkw=Evolving+Skies+ETB+Evolving+Skies+ETB+Sealed&amp;LH_Sold=1&amp;LH_Complete=1&amp;_sop=13" TargetMode="External" Id="rId130"/><Relationship Type="http://schemas.openxmlformats.org/officeDocument/2006/relationships/hyperlink" Target="https://www.ebay.com/sch/i.html?_nkw=Evolving+Skies+Booster+Bundle+Evolving+Skies+Bundle+Sealed+(6+packs)&amp;LH_Sold=1&amp;LH_Complete=1&amp;_sop=13" TargetMode="External" Id="rId131"/><Relationship Type="http://schemas.openxmlformats.org/officeDocument/2006/relationships/hyperlink" Target="https://www.ebay.com/sch/i.html?_nkw=Crown+Zenith+ETB+Crown+Zenith+ETB+Sealed&amp;LH_Sold=1&amp;LH_Complete=1&amp;_sop=13" TargetMode="External" Id="rId132"/><Relationship Type="http://schemas.openxmlformats.org/officeDocument/2006/relationships/hyperlink" Target="https://www.ebay.com/sch/i.html?_nkw=Crown+Zenith+Premium+Playmat+Collection+Crown+Zenith+PPC+Sealed&amp;LH_Sold=1&amp;LH_Complete=1&amp;_sop=13" TargetMode="External" Id="rId133"/><Relationship Type="http://schemas.openxmlformats.org/officeDocument/2006/relationships/hyperlink" Target="https://www.ebay.com/sch/i.html?_nkw=Brilliant+Stars+BB+Brilliant+Stars+Box+Sealed+(36+packs)&amp;LH_Sold=1&amp;LH_Complete=1&amp;_sop=13" TargetMode="External" Id="rId134"/><Relationship Type="http://schemas.openxmlformats.org/officeDocument/2006/relationships/hyperlink" Target="https://www.ebay.com/sch/i.html?_nkw=Astral+Radiance+BB+Astral+Radiance+Box+Sealed+(36+packs)&amp;LH_Sold=1&amp;LH_Complete=1&amp;_sop=13" TargetMode="External" Id="rId135"/><Relationship Type="http://schemas.openxmlformats.org/officeDocument/2006/relationships/hyperlink" Target="https://www.ebay.com/sch/i.html?_nkw=Lost+Origin+BB+Lost+Origin+Box+Sealed+(36+packs)&amp;LH_Sold=1&amp;LH_Complete=1&amp;_sop=13" TargetMode="External" Id="rId136"/><Relationship Type="http://schemas.openxmlformats.org/officeDocument/2006/relationships/hyperlink" Target="https://www.ebay.com/sch/i.html?_nkw=Silver+Tempest+BB+Silver+Tempest+Box+Sealed+(36+packs)&amp;LH_Sold=1&amp;LH_Complete=1&amp;_sop=13" TargetMode="External" Id="rId137"/><Relationship Type="http://schemas.openxmlformats.org/officeDocument/2006/relationships/hyperlink" Target="https://www.ebay.com/sch/i.html?_nkw=SV+151+Booster+Bundle+Scarlet++Violet+151+Bundle+Sealed+(6+packs)&amp;LH_Sold=1&amp;LH_Complete=1&amp;_sop=13" TargetMode="External" Id="rId138"/><Relationship Type="http://schemas.openxmlformats.org/officeDocument/2006/relationships/hyperlink" Target="https://www.ebay.com/sch/i.html?_nkw=SV+151+ETB+Scarlet++Violet+151+ETB+Sealed&amp;LH_Sold=1&amp;LH_Complete=1&amp;_sop=13" TargetMode="External" Id="rId139"/><Relationship Type="http://schemas.openxmlformats.org/officeDocument/2006/relationships/hyperlink" Target="https://www.ebay.com/sch/i.html?_nkw=SV+151+Ultra-Premium+Collection+Scarlet++Violet+151+UPC+Sealed&amp;LH_Sold=1&amp;LH_Complete=1&amp;_sop=13" TargetMode="External" Id="rId140"/><Relationship Type="http://schemas.openxmlformats.org/officeDocument/2006/relationships/hyperlink" Target="https://www.ebay.com/sch/i.html?_nkw=Paldea+Evolved+BB+Paldea+Evolved+Box+Sealed+(36+packs)&amp;LH_Sold=1&amp;LH_Complete=1&amp;_sop=13" TargetMode="External" Id="rId141"/><Relationship Type="http://schemas.openxmlformats.org/officeDocument/2006/relationships/hyperlink" Target="https://www.ebay.com/sch/i.html?_nkw=Obsidian+Flames+BB+Obsidian+Flames+Box+Sealed+(36+packs)&amp;LH_Sold=1&amp;LH_Complete=1&amp;_sop=13" TargetMode="External" Id="rId142"/><Relationship Type="http://schemas.openxmlformats.org/officeDocument/2006/relationships/hyperlink" Target="https://www.ebay.com/sch/i.html?_nkw=Obsidian+Flames+ETB+Obsidian+Flames+ETB+Sealed&amp;LH_Sold=1&amp;LH_Complete=1&amp;_sop=13" TargetMode="External" Id="rId143"/><Relationship Type="http://schemas.openxmlformats.org/officeDocument/2006/relationships/hyperlink" Target="https://www.ebay.com/sch/i.html?_nkw=Paldean+Fates+ETB+Paldean+Fates+ETB+Sealed&amp;LH_Sold=1&amp;LH_Complete=1&amp;_sop=13" TargetMode="External" Id="rId144"/><Relationship Type="http://schemas.openxmlformats.org/officeDocument/2006/relationships/hyperlink" Target="https://www.ebay.com/sch/i.html?_nkw=Paldean+Fates+Booster+Bundle+Paldean+Fates+Bundle+Sealed+(6+packs)&amp;LH_Sold=1&amp;LH_Complete=1&amp;_sop=13" TargetMode="External" Id="rId145"/><Relationship Type="http://schemas.openxmlformats.org/officeDocument/2006/relationships/hyperlink" Target="https://www.ebay.com/sch/i.html?_nkw=Paradox+Rift+BB+Paradox+Rift+Box+Sealed+(36+packs)&amp;LH_Sold=1&amp;LH_Complete=1&amp;_sop=13" TargetMode="External" Id="rId146"/><Relationship Type="http://schemas.openxmlformats.org/officeDocument/2006/relationships/hyperlink" Target="https://www.ebay.com/sch/i.html?_nkw=Paradox+Rift+ETB+Paradox+Rift+ETB+Sealed&amp;LH_Sold=1&amp;LH_Complete=1&amp;_sop=13" TargetMode="External" Id="rId147"/><Relationship Type="http://schemas.openxmlformats.org/officeDocument/2006/relationships/hyperlink" Target="https://www.ebay.com/sch/i.html?_nkw=Twilight+Masquerade+BB+Twilight+Masquerade+Box+Sealed+(36+packs)&amp;LH_Sold=1&amp;LH_Complete=1&amp;_sop=13" TargetMode="External" Id="rId148"/><Relationship Type="http://schemas.openxmlformats.org/officeDocument/2006/relationships/hyperlink" Target="https://www.ebay.com/sch/i.html?_nkw=Shrouded+Fable+Tin+Shrouded+Fable+Tin+Sealed&amp;LH_Sold=1&amp;LH_Complete=1&amp;_sop=13" TargetMode="External" Id="rId149"/><Relationship Type="http://schemas.openxmlformats.org/officeDocument/2006/relationships/hyperlink" Target="https://www.ebay.com/sch/i.html?_nkw=Stellar+Crown+BB+Stellar+Crown+Box+Sealed+(36+packs)&amp;LH_Sold=1&amp;LH_Complete=1&amp;_sop=13" TargetMode="External" Id="rId150"/><Relationship Type="http://schemas.openxmlformats.org/officeDocument/2006/relationships/hyperlink" Target="https://www.ebay.com/sch/i.html?_nkw=Surging+Sparks+BB+Surging+Sparks+Box+Sealed+(36+packs)&amp;LH_Sold=1&amp;LH_Complete=1&amp;_sop=13" TargetMode="External" Id="rId151"/><Relationship Type="http://schemas.openxmlformats.org/officeDocument/2006/relationships/hyperlink" Target="https://www.ebay.com/sch/i.html?_nkw=Prismatic+Evolutions+ETB+Prismatic+Evolutions+ETB+Sealed&amp;LH_Sold=1&amp;LH_Complete=1&amp;_sop=13" TargetMode="External" Id="rId152"/><Relationship Type="http://schemas.openxmlformats.org/officeDocument/2006/relationships/hyperlink" Target="https://www.ebay.com/sch/i.html?_nkw=Prismatic+Evolutions+Booster+Bundle+Prismatic+Evolutions+Bundle+Sealed+(6+packs)&amp;LH_Sold=1&amp;LH_Complete=1&amp;_sop=13" TargetMode="External" Id="rId153"/><Relationship Type="http://schemas.openxmlformats.org/officeDocument/2006/relationships/hyperlink" Target="https://www.ebay.com/sch/i.html?_nkw=Mega+Evolution+(ME01)+BB+Mega+Evolution+(ME01)+Box+Sealed&amp;LH_Sold=1&amp;LH_Complete=1&amp;_sop=13" TargetMode="External" Id="rId154"/><Relationship Type="http://schemas.openxmlformats.org/officeDocument/2006/relationships/hyperlink" Target="https://www.ebay.com/sch/i.html?_nkw=Ascended+Heroes+(ME2.5)+BB+Ascended+Heroes+Box+Sealed&amp;LH_Sold=1&amp;LH_Complete=1&amp;_sop=13" TargetMode="External" Id="rId155"/><Relationship Type="http://schemas.openxmlformats.org/officeDocument/2006/relationships/hyperlink" Target="https://www.ebay.com/sch/i.html?_nkw=Pokemon+Day+2026+Collection+30th+Anniversary+Promo+Box+Sealed&amp;LH_Sold=1&amp;LH_Complete=1&amp;_sop=13" TargetMode="External" Id="rId156"/><Relationship Type="http://schemas.openxmlformats.org/officeDocument/2006/relationships/hyperlink" Target="https://www.ebay.com/sch/i.html?_nkw=30th+Anniversary+ETB+30th+Anniversary+Promo+ETB+Sealed&amp;LH_Sold=1&amp;LH_Complete=1&amp;_sop=13" TargetMode="External" Id="rId157"/><Relationship Type="http://schemas.openxmlformats.org/officeDocument/2006/relationships/hyperlink" Target="https://www.ebay.com/sch/i.html?_nkw=Charizard+ex+Premium+Collection+Black+Star+Promo+Premium+Sealed&amp;LH_Sold=1&amp;LH_Complete=1&amp;_sop=13" TargetMode="External" Id="rId158"/><Relationship Type="http://schemas.openxmlformats.org/officeDocument/2006/relationships/hyperlink" Target="https://www.ebay.com/sch/i.html?_nkw=Mew+Ultra-Premium+Collection+Promo+UPC+Sealed&amp;LH_Sold=1&amp;LH_Complete=1&amp;_sop=13" TargetMode="External" Id="rId159"/><Relationship Type="http://schemas.openxmlformats.org/officeDocument/2006/relationships/hyperlink" Target="https://www.ebay.com/sch/i.html?_nkw=Crown+Zenith+Tin+Crown+Zenith+Tin+Sealed&amp;LH_Sold=1&amp;LH_Complete=1&amp;_sop=13" TargetMode="External" Id="rId160"/><Relationship Type="http://schemas.openxmlformats.org/officeDocument/2006/relationships/hyperlink" Target="https://www.ebay.com/sch/i.html?_nkw=Iono+SIR+Paldea+Evolved+269/193+Raw+NM&amp;LH_Sold=1&amp;LH_Complete=1&amp;_sop=13" TargetMode="External" Id="rId161"/><Relationship Type="http://schemas.openxmlformats.org/officeDocument/2006/relationships/hyperlink" Target="https://www.ebay.com/sch/i.html?_nkw=Pikachu+V-Union+Promo+SWSH+Promos+SWSH212-215+PSA+10+set&amp;LH_Sold=1&amp;LH_Complete=1&amp;_sop=13" TargetMode="External" Id="rId162"/><Relationship Type="http://schemas.openxmlformats.org/officeDocument/2006/relationships/hyperlink" Target="https://www.ebay.com/sch/i.html?_nkw=Marnie+Full+Art+Sword++Shield+200/202+PSA+10&amp;LH_Sold=1&amp;LH_Complete=1&amp;_sop=13" TargetMode="External" Id="rId163"/><Relationship Type="http://schemas.openxmlformats.org/officeDocument/2006/relationships/hyperlink" Target="https://www.ebay.com/sch/i.html?_nkw=Cynthia+Full+Art+Ultra+Prism+148/156+PSA+10&amp;LH_Sold=1&amp;LH_Complete=1&amp;_sop=13" TargetMode="External" Id="rId164"/><Relationship Type="http://schemas.openxmlformats.org/officeDocument/2006/relationships/hyperlink" Target="https://www.ebay.com/sch/i.html?_nkw=Erika's+Invitation+SIR+151+203/165+PSA+10&amp;LH_Sold=1&amp;LH_Complete=1&amp;_sop=13" TargetMode="External" Id="rId165"/><Relationship Type="http://schemas.openxmlformats.org/officeDocument/2006/relationships/hyperlink" Target="https://www.ebay.com/sch/i.html?_nkw=Misty's+Determination+SIR+Mega+Evolution+ME01+Trainer+SIR+PSA+10&amp;LH_Sold=1&amp;LH_Complete=1&amp;_sop=13" TargetMode="External" Id="rId166"/><Relationship Type="http://schemas.openxmlformats.org/officeDocument/2006/relationships/hyperlink" Target="https://www.ebay.com/sch/i.html?_nkw=Mewtwo+Wave+Holo+Promo+Black+Star+Promo+14+PSA+10&amp;LH_Sold=1&amp;LH_Complete=1&amp;_sop=13" TargetMode="External" Id="rId167"/><Relationship Type="http://schemas.openxmlformats.org/officeDocument/2006/relationships/hyperlink" Target="https://www.ebay.com/sch/i.html?_nkw=Ancient+Mew+Movie+Promo+Promo+PSA+10&amp;LH_Sold=1&amp;LH_Complete=1&amp;_sop=13" TargetMode="External" Id="rId168"/><Relationship Type="http://schemas.openxmlformats.org/officeDocument/2006/relationships/hyperlink" Target="https://www.ebay.com/sch/i.html?_nkw=_M+Charizard+EX+Full+Art+Flashfire+100/106+PSA+10&amp;LH_Sold=1&amp;LH_Complete=1&amp;_sop=13" TargetMode="External" Id="rId169"/><Relationship Type="http://schemas.openxmlformats.org/officeDocument/2006/relationships/hyperlink" Target="https://www.ebay.com/sch/i.html?_nkw=M+Rayquaza+EX+Full+Art+Roaring+Skies+76/108+PSA+10&amp;LH_Sold=1&amp;LH_Complete=1&amp;_sop=13" TargetMode="External" Id="rId170"/><Relationship Type="http://schemas.openxmlformats.org/officeDocument/2006/relationships/hyperlink" Target="https://www.ebay.com/sch/i.html?_nkw=Charizard+Star+(Delta+Species)+EX+Crystal+Guardians+100/100+PSA+9&amp;LH_Sold=1&amp;LH_Complete=1&amp;_sop=13" TargetMode="External" Id="rId171"/><Relationship Type="http://schemas.openxmlformats.org/officeDocument/2006/relationships/hyperlink" Target="https://www.ebay.com/sch/i.html?_nkw=Mimikyu+V+Alt+Art+Lost+Origin+TG07/TG30+PSA+10&amp;LH_Sold=1&amp;LH_Complete=1&amp;_sop=13" TargetMode="External" Id="rId172"/><Relationship Type="http://schemas.openxmlformats.org/officeDocument/2006/relationships/hyperlink" Target="https://www.ebay.com/sch/i.html?_nkw=Eevee+Heroes+Eevee+V+Alt+Art+Eevee+Heroes+(JP)+JP-only+PSA+10&amp;LH_Sold=1&amp;LH_Complete=1&amp;_sop=13" TargetMode="External" Id="rId173"/><Relationship Type="http://schemas.openxmlformats.org/officeDocument/2006/relationships/hyperlink" Target="https://www.ebay.com/sch/i.html?_nkw=Charizard+Star+Holographic+Various+Promo+PSA+10&amp;LH_Sold=1&amp;LH_Complete=1&amp;_sop=13" TargetMode="External" Id="rId174"/><Relationship Type="http://schemas.openxmlformats.org/officeDocument/2006/relationships/hyperlink" Target="https://www.ebay.com/sch/i.html?_nkw=Crystal+Charizard+Skyridge+146/144+PSA+9&amp;LH_Sold=1&amp;LH_Complete=1&amp;_sop=13" TargetMode="External" Id="rId175"/><Relationship Type="http://schemas.openxmlformats.org/officeDocument/2006/relationships/hyperlink" Target="https://www.ebay.com/sch/i.html?_nkw=Pikachu+Promo+(Japanese)+Pokemon+Center+Japan+25th+JP+Promo+PSA+10&amp;LH_Sold=1&amp;LH_Complete=1&amp;_sop=13" TargetMode="External" Id="rId176"/><Relationship Type="http://schemas.openxmlformats.org/officeDocument/2006/relationships/hyperlink" Target="https://www.ebay.com/sch/i.html?_nkw=Mew+V+CHR+(Japanese)+VMAX+Climax+JP+PSA+10&amp;LH_Sold=1&amp;LH_Complete=1&amp;_sop=13" TargetMode="External" Id="rId177"/><Relationship Type="http://schemas.openxmlformats.org/officeDocument/2006/relationships/hyperlink" Target="https://www.ebay.com/sch/i.html?_nkw=Charizard+V+CSR+(Japanese)+VMAX+Climax+JP+PSA+10&amp;LH_Sold=1&amp;LH_Complete=1&amp;_sop=13" TargetMode="External" Id="rId178"/><Relationship Type="http://schemas.openxmlformats.org/officeDocument/2006/relationships/hyperlink" Target="https://www.ebay.com/sch/i.html?_nkw=Rayquaza+V+Alt+Art+(Japanese)+Eevee+Heroes+JP+JP+PSA+10&amp;LH_Sold=1&amp;LH_Complete=1&amp;_sop=13" TargetMode="External" Id="rId179"/><Relationship Type="http://schemas.openxmlformats.org/officeDocument/2006/relationships/hyperlink" Target="https://www.ebay.com/sch/i.html?_nkw=Umbreon+VMAX+Alt+(Japanese)+Eevee+Heroes+JP+JP+PSA+10&amp;LH_Sold=1&amp;LH_Complete=1&amp;_sop=13" TargetMode="External" Id="rId180"/><Relationship Type="http://schemas.openxmlformats.org/officeDocument/2006/relationships/hyperlink" Target="https://www.ebay.com/sch/i.html?_nkw=Lugia+VSTAR+(Japanese)+Paradigm+Trigger+JP+PSA+10&amp;LH_Sold=1&amp;LH_Complete=1&amp;_sop=13" TargetMode="External" Id="rId181"/><Relationship Type="http://schemas.openxmlformats.org/officeDocument/2006/relationships/hyperlink" Target="https://www.ebay.com/sch/i.html?_nkw=Trainer's+Card+(Pokemon+Day+JP)+Pokemon+Day+JP+JP+Trophy+PSA+9&amp;LH_Sold=1&amp;LH_Complete=1&amp;_sop=13" TargetMode="External" Id="rId182"/><Relationship Type="http://schemas.openxmlformats.org/officeDocument/2006/relationships/hyperlink" Target="https://www.ebay.com/sch/i.html?_nkw=Mewtwo+Star+(JP+Promo)+Movie+Commemoration+JP+Promo+PSA+9&amp;LH_Sold=1&amp;LH_Complete=1&amp;_sop=13" TargetMode="External" Id="rId183"/><Relationship Type="http://schemas.openxmlformats.org/officeDocument/2006/relationships/hyperlink" Target="https://www.ebay.com/sch/i.html?_nkw=VSTAR+Universe+High-Class+Box+VSTAR+Universe+JP+JP+Box+Sealed&amp;LH_Sold=1&amp;LH_Complete=1&amp;_sop=13" TargetMode="External" Id="rId184"/><Relationship Type="http://schemas.openxmlformats.org/officeDocument/2006/relationships/hyperlink" Target="https://www.ebay.com/sch/i.html?_nkw=Eevee+Heroes+Booster+Box+(JP)+Eevee+Heroes+JP+JP+Box+Sealed&amp;LH_Sold=1&amp;LH_Complete=1&amp;_sop=13" TargetMode="External" Id="rId185"/><Relationship Type="http://schemas.openxmlformats.org/officeDocument/2006/relationships/hyperlink" Target="https://www.ebay.com/sch/i.html?_nkw=Pikachu+Jungle+1st+Edition+60/64+PSA+10&amp;LH_Sold=1&amp;LH_Complete=1&amp;_sop=13" TargetMode="External" Id="rId186"/><Relationship Type="http://schemas.openxmlformats.org/officeDocument/2006/relationships/hyperlink" Target="https://www.ebay.com/sch/i.html?_nkw=Snorlax+Jungle+1st+Edition+11/64+PSA+9&amp;LH_Sold=1&amp;LH_Complete=1&amp;_sop=13" TargetMode="External" Id="rId187"/><Relationship Type="http://schemas.openxmlformats.org/officeDocument/2006/relationships/hyperlink" Target="https://www.ebay.com/sch/i.html?_nkw=Aerodactyl+Fossil+1st+Edition+1/62+PSA+9&amp;LH_Sold=1&amp;LH_Complete=1&amp;_sop=13" TargetMode="External" Id="rId188"/><Relationship Type="http://schemas.openxmlformats.org/officeDocument/2006/relationships/hyperlink" Target="https://www.ebay.com/sch/i.html?_nkw=Gengar+Fossil+1st+Edition+5/62+PSA+9&amp;LH_Sold=1&amp;LH_Complete=1&amp;_sop=13" TargetMode="External" Id="rId189"/><Relationship Type="http://schemas.openxmlformats.org/officeDocument/2006/relationships/hyperlink" Target="https://www.ebay.com/sch/i.html?_nkw=Dark+Charizard+Team+Rocket+1st+Edition+4/82+PSA+10&amp;LH_Sold=1&amp;LH_Complete=1&amp;_sop=13" TargetMode="External" Id="rId190"/><Relationship Type="http://schemas.openxmlformats.org/officeDocument/2006/relationships/hyperlink" Target="https://www.ebay.com/sch/i.html?_nkw=Dark+Blastoise+Team+Rocket+1st+Edition+20/82+PSA+9&amp;LH_Sold=1&amp;LH_Complete=1&amp;_sop=13" TargetMode="External" Id="rId191"/><Relationship Type="http://schemas.openxmlformats.org/officeDocument/2006/relationships/hyperlink" Target="https://www.ebay.com/sch/i.html?_nkw=Suicune+Neo+Revelation+1st+Edition+14/64+PSA+9&amp;LH_Sold=1&amp;LH_Complete=1&amp;_sop=13" TargetMode="External" Id="rId192"/><Relationship Type="http://schemas.openxmlformats.org/officeDocument/2006/relationships/hyperlink" Target="https://www.ebay.com/sch/i.html?_nkw=Ho-Oh+Neo+Revelation+1st+Edition+7/64+PSA+9&amp;LH_Sold=1&amp;LH_Complete=1&amp;_sop=13" TargetMode="External" Id="rId193"/><Relationship Type="http://schemas.openxmlformats.org/officeDocument/2006/relationships/hyperlink" Target="https://www.ebay.com/sch/i.html?_nkw=Erika+SIR+151+207/165+PSA+10&amp;LH_Sold=1&amp;LH_Complete=1&amp;_sop=13" TargetMode="External" Id="rId194"/><Relationship Type="http://schemas.openxmlformats.org/officeDocument/2006/relationships/hyperlink" Target="https://www.ebay.com/sch/i.html?_nkw=Misty's+Tears+Full+Art+Promo+Misty+Promo+PSA+10&amp;LH_Sold=1&amp;LH_Complete=1&amp;_sop=13" TargetMode="External" Id="rId195"/><Relationship Type="http://schemas.openxmlformats.org/officeDocument/2006/relationships/hyperlink" Target="https://www.ebay.com/sch/i.html?_nkw=Latias+and+Latios+GX+Hidden+Fates+169/68+PSA+10&amp;LH_Sold=1&amp;LH_Complete=1&amp;_sop=13" TargetMode="External" Id="rId196"/><Relationship Type="http://schemas.openxmlformats.org/officeDocument/2006/relationships/hyperlink" Target="https://www.ebay.com/sch/i.html?_nkw=Charizard+GX+Hidden+Fates+Shiny+Hidden+Fates+SV49/SV94+PSA+10&amp;LH_Sold=1&amp;LH_Complete=1&amp;_sop=13" TargetMode="External" Id="rId197"/><Relationship Type="http://schemas.openxmlformats.org/officeDocument/2006/relationships/hyperlink" Target="https://www.ebay.com/sch/i.html?_nkw=Mewtwo+and+Mew+GX+Hidden+Fates+Hidden+Fates+SM196+PSA+10&amp;LH_Sold=1&amp;LH_Complete=1&amp;_sop=13" TargetMode="External" Id="rId198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pricecharting.com/console/pokemon-base-set" TargetMode="External" Id="rId1"/><Relationship Type="http://schemas.openxmlformats.org/officeDocument/2006/relationships/hyperlink" Target="https://www.pricecharting.com/console/pokemon-jungle" TargetMode="External" Id="rId2"/><Relationship Type="http://schemas.openxmlformats.org/officeDocument/2006/relationships/hyperlink" Target="https://www.pricecharting.com/console/pokemon-fossil" TargetMode="External" Id="rId3"/><Relationship Type="http://schemas.openxmlformats.org/officeDocument/2006/relationships/hyperlink" Target="https://www.pricecharting.com/console/pokemon-team-rocket" TargetMode="External" Id="rId4"/><Relationship Type="http://schemas.openxmlformats.org/officeDocument/2006/relationships/hyperlink" Target="https://www.pricecharting.com/console/pokemon-gym-heroes" TargetMode="External" Id="rId5"/><Relationship Type="http://schemas.openxmlformats.org/officeDocument/2006/relationships/hyperlink" Target="https://www.pricecharting.com/console/pokemon-neo-genesis" TargetMode="External" Id="rId6"/><Relationship Type="http://schemas.openxmlformats.org/officeDocument/2006/relationships/hyperlink" Target="https://www.pricecharting.com/console/pokemon-neo-destiny" TargetMode="External" Id="rId7"/><Relationship Type="http://schemas.openxmlformats.org/officeDocument/2006/relationships/hyperlink" Target="https://www.pricecharting.com/console/pokemon-neo-revelation" TargetMode="External" Id="rId8"/><Relationship Type="http://schemas.openxmlformats.org/officeDocument/2006/relationships/hyperlink" Target="https://www.pricecharting.com/console/pokemon-dragon-frontiers" TargetMode="External" Id="rId9"/><Relationship Type="http://schemas.openxmlformats.org/officeDocument/2006/relationships/hyperlink" Target="https://www.pricecharting.com/console/pokemon-ex-power-keepers" TargetMode="External" Id="rId10"/><Relationship Type="http://schemas.openxmlformats.org/officeDocument/2006/relationships/hyperlink" Target="https://www.pricecharting.com/console/pokemon-ex-crystal-guardians" TargetMode="External" Id="rId11"/><Relationship Type="http://schemas.openxmlformats.org/officeDocument/2006/relationships/hyperlink" Target="https://www.pricecharting.com/console/pokemon-ex-holon-phantoms" TargetMode="External" Id="rId12"/><Relationship Type="http://schemas.openxmlformats.org/officeDocument/2006/relationships/hyperlink" Target="https://www.pricecharting.com/console/pokemon-ex-deoxys" TargetMode="External" Id="rId13"/><Relationship Type="http://schemas.openxmlformats.org/officeDocument/2006/relationships/hyperlink" Target="https://www.pricecharting.com/console/pokemon-pop-series-5" TargetMode="External" Id="rId14"/><Relationship Type="http://schemas.openxmlformats.org/officeDocument/2006/relationships/hyperlink" Target="https://www.pricecharting.com/console/pokemon-skyridge" TargetMode="External" Id="rId15"/><Relationship Type="http://schemas.openxmlformats.org/officeDocument/2006/relationships/hyperlink" Target="https://www.pricecharting.com/console/pokemon-flashfire" TargetMode="External" Id="rId16"/><Relationship Type="http://schemas.openxmlformats.org/officeDocument/2006/relationships/hyperlink" Target="https://www.pricecharting.com/console/pokemon-roaring-skies" TargetMode="External" Id="rId17"/><Relationship Type="http://schemas.openxmlformats.org/officeDocument/2006/relationships/hyperlink" Target="https://www.pricecharting.com/console/pokemon-hidden-fates" TargetMode="External" Id="rId18"/><Relationship Type="http://schemas.openxmlformats.org/officeDocument/2006/relationships/hyperlink" Target="https://www.pricecharting.com/console/pokemon-champion's-path" TargetMode="External" Id="rId19"/><Relationship Type="http://schemas.openxmlformats.org/officeDocument/2006/relationships/hyperlink" Target="https://www.pricecharting.com/console/pokemon-brilliant-stars" TargetMode="External" Id="rId20"/><Relationship Type="http://schemas.openxmlformats.org/officeDocument/2006/relationships/hyperlink" Target="https://www.pricecharting.com/console/pokemon-astral-radiance" TargetMode="External" Id="rId21"/><Relationship Type="http://schemas.openxmlformats.org/officeDocument/2006/relationships/hyperlink" Target="https://www.pricecharting.com/console/pokemon-lost-origin" TargetMode="External" Id="rId22"/><Relationship Type="http://schemas.openxmlformats.org/officeDocument/2006/relationships/hyperlink" Target="https://www.pricecharting.com/console/pokemon-silver-tempest" TargetMode="External" Id="rId23"/><Relationship Type="http://schemas.openxmlformats.org/officeDocument/2006/relationships/hyperlink" Target="https://www.pricecharting.com/console/pokemon-evolving-skies" TargetMode="External" Id="rId24"/><Relationship Type="http://schemas.openxmlformats.org/officeDocument/2006/relationships/hyperlink" Target="https://www.pricecharting.com/console/pokemon-crown-zenith" TargetMode="External" Id="rId25"/><Relationship Type="http://schemas.openxmlformats.org/officeDocument/2006/relationships/hyperlink" Target="https://www.pricecharting.com/console/pokemon-scarlet-&amp;-violet-151" TargetMode="External" Id="rId26"/><Relationship Type="http://schemas.openxmlformats.org/officeDocument/2006/relationships/hyperlink" Target="https://www.pricecharting.com/console/pokemon-paldea-evolved" TargetMode="External" Id="rId27"/><Relationship Type="http://schemas.openxmlformats.org/officeDocument/2006/relationships/hyperlink" Target="https://www.pricecharting.com/console/pokemon-obsidian-flames" TargetMode="External" Id="rId28"/><Relationship Type="http://schemas.openxmlformats.org/officeDocument/2006/relationships/hyperlink" Target="https://www.pricecharting.com/console/pokemon-paradox-rift" TargetMode="External" Id="rId29"/><Relationship Type="http://schemas.openxmlformats.org/officeDocument/2006/relationships/hyperlink" Target="https://www.pricecharting.com/console/pokemon-paldean-fates" TargetMode="External" Id="rId30"/><Relationship Type="http://schemas.openxmlformats.org/officeDocument/2006/relationships/hyperlink" Target="https://www.pricecharting.com/console/pokemon-twilight-masquerade" TargetMode="External" Id="rId31"/><Relationship Type="http://schemas.openxmlformats.org/officeDocument/2006/relationships/hyperlink" Target="https://www.pricecharting.com/console/pokemon-shrouded-fable" TargetMode="External" Id="rId32"/><Relationship Type="http://schemas.openxmlformats.org/officeDocument/2006/relationships/hyperlink" Target="https://www.pricecharting.com/console/pokemon-stellar-crown" TargetMode="External" Id="rId33"/><Relationship Type="http://schemas.openxmlformats.org/officeDocument/2006/relationships/hyperlink" Target="https://www.pricecharting.com/console/pokemon-surging-sparks" TargetMode="External" Id="rId34"/><Relationship Type="http://schemas.openxmlformats.org/officeDocument/2006/relationships/hyperlink" Target="https://www.pricecharting.com/console/pokemon-prismatic-evolutions" TargetMode="External" Id="rId35"/><Relationship Type="http://schemas.openxmlformats.org/officeDocument/2006/relationships/hyperlink" Target="https://www.pricecharting.com/console/pokemon-journey-together" TargetMode="External" Id="rId36"/><Relationship Type="http://schemas.openxmlformats.org/officeDocument/2006/relationships/hyperlink" Target="https://www.pricecharting.com/console/pokemon-mega-evolution" TargetMode="External" Id="rId37"/><Relationship Type="http://schemas.openxmlformats.org/officeDocument/2006/relationships/hyperlink" Target="https://www.pricecharting.com/console/pokemon-ascended-heroes" TargetMode="External" Id="rId38"/><Relationship Type="http://schemas.openxmlformats.org/officeDocument/2006/relationships/hyperlink" Target="https://www.pricecharting.com/console/pokemon-promo" TargetMode="External" Id="rId39"/><Relationship Type="http://schemas.openxmlformats.org/officeDocument/2006/relationships/hyperlink" Target="https://www.pricecharting.com/console/pokemon-japanese-eevee-heroes" TargetMode="External" Id="rId40"/><Relationship Type="http://schemas.openxmlformats.org/officeDocument/2006/relationships/hyperlink" Target="https://www.pricecharting.com/console/pokemon-japanese-vmax-climax" TargetMode="External" Id="rId41"/><Relationship Type="http://schemas.openxmlformats.org/officeDocument/2006/relationships/hyperlink" Target="https://www.pricecharting.com/console/pokemon-japanese-vstar-universe" TargetMode="External" Id="rId42"/><Relationship Type="http://schemas.openxmlformats.org/officeDocument/2006/relationships/hyperlink" Target="https://www.pricecharting.com/console/pokemon-japanese-paradigm-trigger" TargetMode="External" Id="rId43"/><Relationship Type="http://schemas.openxmlformats.org/officeDocument/2006/relationships/hyperlink" Target="https://www.tcgplayer.com/categories/trading-and-collectible-card-games/pokemon/price-guides" TargetMode="External" Id="rId44"/><Relationship Type="http://schemas.openxmlformats.org/officeDocument/2006/relationships/hyperlink" Target="https://www.pokemonpricetracker.com/api" TargetMode="External" Id="rId45"/><Relationship Type="http://schemas.openxmlformats.org/officeDocument/2006/relationships/hyperlink" Target="https://www.psacard.com/pop" TargetMode="External" Id="rId46"/><Relationship Type="http://schemas.openxmlformats.org/officeDocument/2006/relationships/hyperlink" Target="https://130point.com/" TargetMode="External" Id="rId47"/></Relationships>
</file>

<file path=xl/worksheets/_rels/sheet15.xml.rels><Relationships xmlns="http://schemas.openxmlformats.org/package/2006/relationships"><Relationship Type="http://schemas.openxmlformats.org/officeDocument/2006/relationships/hyperlink" Target="https://pokemoncardvalue.io/blog/best-pokemon-cards-to-invest-2026.html" TargetMode="External" Id="rId1"/><Relationship Type="http://schemas.openxmlformats.org/officeDocument/2006/relationships/hyperlink" Target="https://www.tcgrader.com/blog/best-pokemon-cards-invest-2026" TargetMode="External" Id="rId2"/><Relationship Type="http://schemas.openxmlformats.org/officeDocument/2006/relationships/hyperlink" Target="https://athlonsports.com/collectibles/pokemon-tcg-investing-2026-mega-evolution" TargetMode="External" Id="rId3"/><Relationship Type="http://schemas.openxmlformats.org/officeDocument/2006/relationships/hyperlink" Target="https://hallofcards.app/blog-posts/pokemon-card-market-report-january-2026" TargetMode="External" Id="rId4"/><Relationship Type="http://schemas.openxmlformats.org/officeDocument/2006/relationships/hyperlink" Target="https://www.misprint.com/posts/evolving-skies-booster-box-price-2026" TargetMode="External" Id="rId5"/><Relationship Type="http://schemas.openxmlformats.org/officeDocument/2006/relationships/hyperlink" Target="https://www.cardrake.com/cards/me2pt5-284" TargetMode="External" Id="rId6"/><Relationship Type="http://schemas.openxmlformats.org/officeDocument/2006/relationships/hyperlink" Target="https://www.pricecharting.com/game/pokemon-prismatic-evolutions/umbreon-ex-161" TargetMode="External" Id="rId7"/><Relationship Type="http://schemas.openxmlformats.org/officeDocument/2006/relationships/hyperlink" Target="https://www.pokemonpricetracker.com/blog/posts/prismatic-evolutions-set-review-2026-complete-guide" TargetMode="External" Id="rId8"/><Relationship Type="http://schemas.openxmlformats.org/officeDocument/2006/relationships/hyperlink" Target="https://www.cardsnpacks.com/en/blog/evolution-prix-dracaufeu/" TargetMode="External" Id="rId9"/><Relationship Type="http://schemas.openxmlformats.org/officeDocument/2006/relationships/hyperlink" Target="https://www.pricecharting.com/api-documentation" TargetMode="External" Id="rId10"/><Relationship Type="http://schemas.openxmlformats.org/officeDocument/2006/relationships/hyperlink" Target="https://www.pokemonpricetracker.com/pokemon-card-price-api" TargetMode="External" Id="rId11"/><Relationship Type="http://schemas.openxmlformats.org/officeDocument/2006/relationships/hyperlink" Target="https://www.psacard.com/pop" TargetMode="External" Id="rId12"/><Relationship Type="http://schemas.openxmlformats.org/officeDocument/2006/relationships/hyperlink" Target="https://130point.com/" TargetMode="External" Id="rId13"/></Relationships>
</file>

<file path=xl/worksheets/sheet1.xml><?xml version="1.0" encoding="utf-8"?>
<worksheet xmlns="http://schemas.openxmlformats.org/spreadsheetml/2006/main">
  <sheetPr filterMode="0">
    <tabColor rgb="FFF5C842"/>
    <outlinePr summaryBelow="1" summaryRight="1"/>
    <pageSetUpPr fitToPage="0"/>
  </sheetPr>
  <dimension ref="B2:B6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80" min="1" max="1"/>
    <col width="115" customWidth="1" style="80" min="2" max="2"/>
  </cols>
  <sheetData>
    <row r="2" ht="26.25" customHeight="1" s="81">
      <c r="B2" s="82" t="inlineStr">
        <is>
          <t>POKEMON TCG INVESTMENT WORKBOOK v2</t>
        </is>
      </c>
    </row>
    <row r="3" ht="15" customHeight="1" s="81">
      <c r="B3" s="83" t="inlineStr">
        <is>
          <t>Built May 11 2026 | 198-card watchlist | Quant scoring | Auto Buy/Sell signals | 90-day price history engine</t>
        </is>
      </c>
    </row>
    <row r="5" ht="21.75" customHeight="1" s="81">
      <c r="B5" s="84" t="inlineStr">
        <is>
          <t>v2 — WHAT CHANGED FROM v1</t>
        </is>
      </c>
    </row>
    <row r="6" ht="15" customHeight="1" s="81">
      <c r="B6" s="85" t="inlineStr">
        <is>
          <t>• Watchlist: 25 → 198 cards across vintage / modern / sealed / raw grading / Japanese</t>
        </is>
      </c>
    </row>
    <row r="7" ht="15" customHeight="1" s="81">
      <c r="B7" s="85" t="inlineStr">
        <is>
          <t>• NEW Price History sheet: 90 days of seeded prices per card; refresh script appends new rows</t>
        </is>
      </c>
    </row>
    <row r="8" ht="15" customHeight="1" s="81">
      <c r="B8" s="85" t="inlineStr">
        <is>
          <t>• NEW Quant Scoring: Momentum + Value + Scarcity + Liquidity → 0-100 composite + BUY/HOLD/SELL signal</t>
        </is>
      </c>
    </row>
    <row r="9" ht="15" customHeight="1" s="81">
      <c r="B9" s="85" t="inlineStr">
        <is>
          <t>• NEW Weekly Buy List: auto-generated top 10 buys + top 5 sells every refresh</t>
        </is>
      </c>
    </row>
    <row r="10" ht="15" customHeight="1" s="81">
      <c r="B10" s="85" t="inlineStr">
        <is>
          <t>• NEW Hot Singles: momentum leaders sorted by 7-day price change</t>
        </is>
      </c>
    </row>
    <row r="11" ht="15" customHeight="1" s="81">
      <c r="B11" s="85" t="inlineStr">
        <is>
          <t>• Refresh script v2: appends to Price History + recomputes all signals + outputs weekly digest</t>
        </is>
      </c>
    </row>
    <row r="13" ht="21.75" customHeight="1" s="81">
      <c r="B13" s="84" t="inlineStr">
        <is>
          <t>WHY THE QUANT SCORE WORKS (and why it's not 'AI' but better)</t>
        </is>
      </c>
    </row>
    <row r="14" ht="15" customHeight="1" s="81">
      <c r="B14" s="85" t="inlineStr">
        <is>
          <t>The composite score (0-100) computes from four orthogonal factors every refresh:</t>
        </is>
      </c>
    </row>
    <row r="15" ht="15" customHeight="1" s="81">
      <c r="B15" s="85" t="inlineStr">
        <is>
          <t xml:space="preserve">   Momentum Score (40%) — recent 7D + 30D price change, weighted toward shorter window</t>
        </is>
      </c>
    </row>
    <row r="16" ht="15" customHeight="1" s="81">
      <c r="B16" s="85" t="inlineStr">
        <is>
          <t xml:space="preserve">   Value Score (25%) — current price vs your Target Buy. Cheaper = higher score</t>
        </is>
      </c>
    </row>
    <row r="17" ht="15" customHeight="1" s="81">
      <c r="B17" s="85" t="inlineStr">
        <is>
          <t xml:space="preserve">   Scarcity Score (20%) — inverse log of PSA 10 population. Lower pop = higher score</t>
        </is>
      </c>
    </row>
    <row r="18" ht="15" customHeight="1" s="81">
      <c r="B18" s="85" t="inlineStr">
        <is>
          <t xml:space="preserve">   Liquidity Score (15%) — tier-weighted proxy for trade volume</t>
        </is>
      </c>
    </row>
    <row r="19" ht="15" customHeight="1" s="81">
      <c r="B19" s="85" t="n"/>
    </row>
    <row r="20" ht="15" customHeight="1" s="81">
      <c r="B20" s="85" t="inlineStr">
        <is>
          <t>Signal mapping: &gt;75 = STRONG BUY, 60-75 = BUY, 40-60 = HOLD, 25-40 = TRIM, &lt;25 = SELL</t>
        </is>
      </c>
    </row>
    <row r="21" ht="15" customHeight="1" s="81">
      <c r="B21" s="85" t="n"/>
    </row>
    <row r="22" ht="15" customHeight="1" s="81">
      <c r="B22" s="85" t="inlineStr">
        <is>
          <t>Why this beats ML for this domain: small dataset (198 cards), structurally interpretable</t>
        </is>
      </c>
    </row>
    <row r="23" ht="15" customHeight="1" s="81">
      <c r="B23" s="85" t="inlineStr">
        <is>
          <t>drivers, no black-box risk. The system 'learns' because Price History accumulates real data</t>
        </is>
      </c>
    </row>
    <row r="24" ht="15" customHeight="1" s="81">
      <c r="B24" s="85" t="inlineStr">
        <is>
          <t>every refresh — after 6 months, the trend signals reflect your actual market behavior.</t>
        </is>
      </c>
    </row>
    <row r="26" ht="21.75" customHeight="1" s="81">
      <c r="B26" s="84" t="inlineStr">
        <is>
          <t>WEEKLY WORKFLOW (2-3 hrs/day = full hustle mode)</t>
        </is>
      </c>
    </row>
    <row r="27" ht="15" customHeight="1" s="81">
      <c r="B27" s="85" t="inlineStr">
        <is>
          <t>MON 8AM — Open workbook, hit Refresh (or run refresh_prices.py). Check Weekly Buy List.</t>
        </is>
      </c>
    </row>
    <row r="28" ht="15" customHeight="1" s="81">
      <c r="B28" s="85" t="inlineStr">
        <is>
          <t>MON-FRI EVE — Snipe BUY signals on eBay/Whatnot/130point. PWCC weekly auction Wed close.</t>
        </is>
      </c>
    </row>
    <row r="29" ht="15" customHeight="1" s="81">
      <c r="B29" s="85" t="inlineStr">
        <is>
          <t>WED — Update Inventory after new buys. Check Allocation tab for rebalance flags.</t>
        </is>
      </c>
    </row>
    <row r="30" ht="15" customHeight="1" s="81">
      <c r="B30" s="85" t="inlineStr">
        <is>
          <t>THU — PSA submission day. Bundle anything from Grading Pipeline ready to ship.</t>
        </is>
      </c>
    </row>
    <row r="31" ht="15" customHeight="1" s="81">
      <c r="B31" s="85" t="inlineStr">
        <is>
          <t>FRI — List sells from TRIM/SELL signal list. eBay traffic peaks weekend.</t>
        </is>
      </c>
    </row>
    <row r="32" ht="15" customHeight="1" s="81">
      <c r="B32" s="85" t="inlineStr">
        <is>
          <t>SAT — Local card shops + collector meets in So Cal. Cash deals = no fees.</t>
        </is>
      </c>
    </row>
    <row r="33" ht="15" customHeight="1" s="81">
      <c r="B33" s="85" t="inlineStr">
        <is>
          <t>SUN — Update Inventory, review Realized P&amp;L, plan next week from Allocation actions.</t>
        </is>
      </c>
    </row>
    <row r="35" ht="21.75" customHeight="1" s="81">
      <c r="B35" s="84" t="inlineStr">
        <is>
          <t>WORKBOOK MAP (13 sheets, in order)</t>
        </is>
      </c>
    </row>
    <row r="36" ht="15" customHeight="1" s="81">
      <c r="B36" s="85" t="inlineStr">
        <is>
          <t>1. README — this page</t>
        </is>
      </c>
    </row>
    <row r="37" ht="15" customHeight="1" s="81">
      <c r="B37" s="85" t="inlineStr">
        <is>
          <t>2. Dashboard — portfolio KPIs, allocation vs target, top winners/laggards</t>
        </is>
      </c>
    </row>
    <row r="38" ht="15" customHeight="1" s="81">
      <c r="B38" s="85" t="inlineStr">
        <is>
          <t>3. Weekly Buy List — auto-ranked top 10 buys + top 5 sells (your Monday checklist)</t>
        </is>
      </c>
    </row>
    <row r="39" ht="15" customHeight="1" s="81">
      <c r="B39" s="85" t="inlineStr">
        <is>
          <t>4. Hot Singles — momentum leaders sorted by 7D change</t>
        </is>
      </c>
    </row>
    <row r="40" ht="15" customHeight="1" s="81">
      <c r="B40" s="85" t="inlineStr">
        <is>
          <t>5. Watchlist — 198 cards with quant scores, signals, source URLs</t>
        </is>
      </c>
    </row>
    <row r="41" ht="15" customHeight="1" s="81">
      <c r="B41" s="85" t="inlineStr">
        <is>
          <t>6. Inventory — your active positions with live P&amp;L</t>
        </is>
      </c>
    </row>
    <row r="42" ht="15" customHeight="1" s="81">
      <c r="B42" s="85" t="inlineStr">
        <is>
          <t>7. Grading Pipeline — PSA submissions with EV math</t>
        </is>
      </c>
    </row>
    <row r="43" ht="15" customHeight="1" s="81">
      <c r="B43" s="85" t="inlineStr">
        <is>
          <t>8. Realized P&amp;L — sales log with tax status</t>
        </is>
      </c>
    </row>
    <row r="44" ht="15" customHeight="1" s="81">
      <c r="B44" s="85" t="inlineStr">
        <is>
          <t>9. Allocation — target mix + rebalancing flags</t>
        </is>
      </c>
    </row>
    <row r="45" ht="15" customHeight="1" s="81">
      <c r="B45" s="85" t="inlineStr">
        <is>
          <t>10. Price History — 90-day seeded baseline; refresh script appends new rows</t>
        </is>
      </c>
    </row>
    <row r="46" ht="15" customHeight="1" s="81">
      <c r="B46" s="85" t="inlineStr">
        <is>
          <t>11. Refresh URLs — per-set links for manual / Power Query refresh</t>
        </is>
      </c>
    </row>
    <row r="47" ht="15" customHeight="1" s="81">
      <c r="B47" s="85" t="inlineStr">
        <is>
          <t>12. Research Notes — strategy playbook</t>
        </is>
      </c>
    </row>
    <row r="48" ht="15" customHeight="1" s="81">
      <c r="B48" s="85" t="inlineStr">
        <is>
          <t>13. Sources — research citations</t>
        </is>
      </c>
    </row>
    <row r="50" ht="21.75" customHeight="1" s="81">
      <c r="B50" s="84" t="inlineStr">
        <is>
          <t>REFRESH MECHANICS</t>
        </is>
      </c>
    </row>
    <row r="51" ht="15" customHeight="1" s="81">
      <c r="B51" s="85" t="inlineStr">
        <is>
          <t>Run refresh_prices.py with --source pricecharting (free) or --source api (paid tier).</t>
        </is>
      </c>
    </row>
    <row r="52" ht="15" customHeight="1" s="81">
      <c r="B52" s="85" t="inlineStr">
        <is>
          <t>The script:</t>
        </is>
      </c>
    </row>
    <row r="53" ht="15" customHeight="1" s="81">
      <c r="B53" s="85" t="inlineStr">
        <is>
          <t xml:space="preserve">   1. Fetches current price for each card in Watchlist</t>
        </is>
      </c>
    </row>
    <row r="54" ht="15" customHeight="1" s="81">
      <c r="B54" s="85" t="inlineStr">
        <is>
          <t xml:space="preserve">   2. Writes new price to Watchlist!H (Current Price)</t>
        </is>
      </c>
    </row>
    <row r="55" ht="15" customHeight="1" s="81">
      <c r="B55" s="85" t="inlineStr">
        <is>
          <t xml:space="preserve">   3. Appends one row to Price History with timestamp + every card's price</t>
        </is>
      </c>
    </row>
    <row r="56" ht="15" customHeight="1" s="81">
      <c r="B56" s="85" t="inlineStr">
        <is>
          <t xml:space="preserve">   4. Re-saves the workbook — all formulas (scores, signals, P&amp;L) recompute on open</t>
        </is>
      </c>
    </row>
    <row r="57" ht="15" customHeight="1" s="81">
      <c r="B57" s="85" t="n"/>
    </row>
    <row r="58" ht="15" customHeight="1" s="81">
      <c r="B58" s="85" t="inlineStr">
        <is>
          <t>Schedule via Windows Task Scheduler:  python refresh_prices.py --source pricecharting</t>
        </is>
      </c>
    </row>
    <row r="59" ht="15" customHeight="1" s="81">
      <c r="B59" s="85" t="inlineStr">
        <is>
          <t>Recommended cadence: daily at 7AM PT (before East Coast eBay close traffic)</t>
        </is>
      </c>
    </row>
    <row r="61" ht="21.75" customHeight="1" s="81">
      <c r="B61" s="84" t="inlineStr">
        <is>
          <t>COLOR LEGEND</t>
        </is>
      </c>
    </row>
    <row r="62" ht="15" customHeight="1" s="81">
      <c r="B62" s="85" t="inlineStr">
        <is>
          <t>BLUE text = Input (edit freely)</t>
        </is>
      </c>
    </row>
    <row r="63" ht="15" customHeight="1" s="81">
      <c r="B63" s="85" t="inlineStr">
        <is>
          <t>BLACK text = Formula (don't overwrite)</t>
        </is>
      </c>
    </row>
    <row r="64" ht="15" customHeight="1" s="81">
      <c r="B64" s="85" t="inlineStr">
        <is>
          <t>YELLOW fill = needs regular update</t>
        </is>
      </c>
    </row>
    <row r="65" ht="15" customHeight="1" s="81">
      <c r="B65" s="85" t="inlineStr">
        <is>
          <t>GREEN fill = BUY signal / position in profit</t>
        </is>
      </c>
    </row>
    <row r="66" ht="15" customHeight="1" s="81">
      <c r="B66" s="85" t="inlineStr">
        <is>
          <t>RED fill = SELL signal / position underwater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2A44"/>
    <outlinePr summaryBelow="1" summaryRight="1"/>
    <pageSetUpPr fitToPage="0"/>
  </sheetPr>
  <dimension ref="B2:H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" customWidth="1" style="80" min="1" max="1"/>
    <col width="28" customWidth="1" style="80" min="2" max="2"/>
    <col width="16" customWidth="1" style="80" min="3" max="4"/>
    <col width="6" customWidth="1" style="80" min="5" max="5"/>
    <col width="28" customWidth="1" style="80" min="6" max="6"/>
    <col width="16" customWidth="1" style="80" min="7" max="8"/>
  </cols>
  <sheetData>
    <row r="2" ht="21.75" customHeight="1" s="81">
      <c r="B2" s="86" t="inlineStr">
        <is>
          <t>PORTFOLIO DASHBOARD</t>
        </is>
      </c>
    </row>
    <row r="3" ht="15" customHeight="1" s="81">
      <c r="B3" s="87" t="inlineStr">
        <is>
          <t>Live KPIs from Inventory + Realized P&amp;L. Allocation shows current $ vs target.</t>
        </is>
      </c>
    </row>
    <row r="5" ht="15" customHeight="1" s="81">
      <c r="B5" s="88" t="inlineStr">
        <is>
          <t>PORTFOLIO KPIs</t>
        </is>
      </c>
      <c r="F5" s="88" t="inlineStr">
        <is>
          <t>ALLOCATION SNAPSHOT</t>
        </is>
      </c>
    </row>
    <row r="6" ht="15" customHeight="1" s="81">
      <c r="B6" s="89" t="inlineStr">
        <is>
          <t>Total Cost Basis</t>
        </is>
      </c>
      <c r="D6" s="90">
        <f>SUM(Inventory!H5:H58)</f>
        <v/>
      </c>
      <c r="F6" s="91" t="inlineStr">
        <is>
          <t>Category</t>
        </is>
      </c>
      <c r="G6" s="91" t="inlineStr">
        <is>
          <t>Current $</t>
        </is>
      </c>
      <c r="H6" s="91" t="inlineStr">
        <is>
          <t>% of Port</t>
        </is>
      </c>
    </row>
    <row r="7" ht="15" customHeight="1" s="81">
      <c r="B7" s="89" t="inlineStr">
        <is>
          <t>Total Current Value</t>
        </is>
      </c>
      <c r="D7" s="90">
        <f>SUM(Inventory!K5:K58)</f>
        <v/>
      </c>
      <c r="F7" s="92" t="inlineStr">
        <is>
          <t>Sealed Modern</t>
        </is>
      </c>
      <c r="G7" s="93">
        <f>SUMIFS(Inventory!K:K,Inventory!C:C,F7)</f>
        <v/>
      </c>
      <c r="H7" s="94">
        <f>IFERROR(G7/$D$7,0)</f>
        <v/>
      </c>
    </row>
    <row r="8" ht="15" customHeight="1" s="81">
      <c r="B8" s="89" t="inlineStr">
        <is>
          <t>Unrealized P&amp;L ($)</t>
        </is>
      </c>
      <c r="D8" s="90">
        <f>D7-D6</f>
        <v/>
      </c>
      <c r="F8" s="92" t="inlineStr">
        <is>
          <t>Modern Chase PSA 10</t>
        </is>
      </c>
      <c r="G8" s="93">
        <f>SUMIFS(Inventory!K:K,Inventory!C:C,F8)</f>
        <v/>
      </c>
      <c r="H8" s="94">
        <f>IFERROR(G8/$D$7,0)</f>
        <v/>
      </c>
    </row>
    <row r="9" ht="15" customHeight="1" s="81">
      <c r="B9" s="89" t="inlineStr">
        <is>
          <t>Unrealized P&amp;L (%)</t>
        </is>
      </c>
      <c r="D9" s="95">
        <f>IFERROR(D8/D6,0)</f>
        <v/>
      </c>
      <c r="F9" s="92" t="inlineStr">
        <is>
          <t>Vintage Graded Singles</t>
        </is>
      </c>
      <c r="G9" s="93">
        <f>SUMIFS(Inventory!K:K,Inventory!C:C,F9)</f>
        <v/>
      </c>
      <c r="H9" s="94">
        <f>IFERROR(G9/$D$7,0)</f>
        <v/>
      </c>
    </row>
    <row r="10" ht="15" customHeight="1" s="81">
      <c r="B10" s="89" t="inlineStr">
        <is>
          <t>Realized P&amp;L (lifetime)</t>
        </is>
      </c>
      <c r="D10" s="90">
        <f>SUM('Realized P&amp;L'!K5:K45)</f>
        <v/>
      </c>
    </row>
    <row r="11" ht="15" customHeight="1" s="81">
      <c r="B11" s="89" t="inlineStr">
        <is>
          <t>Realized + Unrealized</t>
        </is>
      </c>
      <c r="D11" s="90">
        <f>D8+D10</f>
        <v/>
      </c>
    </row>
    <row r="12" ht="15" customHeight="1" s="81">
      <c r="B12" s="89" t="inlineStr">
        <is>
          <t># Positions Open</t>
        </is>
      </c>
      <c r="D12" s="96">
        <f>COUNTA(Inventory!B5:B58)</f>
        <v/>
      </c>
    </row>
    <row r="13" ht="15" customHeight="1" s="81">
      <c r="B13" s="89" t="inlineStr">
        <is>
          <t># Cards Sold (lifetime)</t>
        </is>
      </c>
      <c r="D13" s="96">
        <f>COUNTA('Realized P&amp;L'!B5:B45)</f>
        <v/>
      </c>
    </row>
    <row r="14" ht="15" customHeight="1" s="81">
      <c r="B14" s="89" t="inlineStr">
        <is>
          <t>Avg Holding Period (days)</t>
        </is>
      </c>
      <c r="D14" s="96">
        <f>IFERROR(AVERAGEIFS('Realized P&amp;L'!L5:L45,'Realized P&amp;L'!B5:B45,"&lt;&gt;"),0)</f>
        <v/>
      </c>
    </row>
    <row r="15" ht="15" customHeight="1" s="81">
      <c r="B15" s="89" t="inlineStr">
        <is>
          <t>Win Rate %</t>
        </is>
      </c>
      <c r="D15" s="95">
        <f>IFERROR(COUNTIFS('Realized P&amp;L'!K5:K45,"&gt;0",'Realized P&amp;L'!B5:B45,"&lt;&gt;")/COUNTA('Realized P&amp;L'!B5:B45),0)</f>
        <v/>
      </c>
    </row>
    <row r="17" ht="15" customHeight="1" s="81">
      <c r="B17" s="88" t="inlineStr">
        <is>
          <t>MARKET PULSE (from Watchlist)</t>
        </is>
      </c>
      <c r="F17" s="97" t="inlineStr">
        <is>
          <t>TOP 5 UNREALIZED WINNERS</t>
        </is>
      </c>
    </row>
    <row r="18" ht="15" customHeight="1" s="81">
      <c r="B18" s="89" t="inlineStr">
        <is>
          <t>Watchlist Avg Composite</t>
        </is>
      </c>
      <c r="D18" s="98">
        <f>AVERAGE(Watchlist!Y5:Y202)</f>
        <v/>
      </c>
      <c r="F18" s="91" t="inlineStr">
        <is>
          <t>Item</t>
        </is>
      </c>
      <c r="G18" s="91" t="inlineStr">
        <is>
          <t>P&amp;L $</t>
        </is>
      </c>
      <c r="H18" s="91" t="inlineStr">
        <is>
          <t>P&amp;L %</t>
        </is>
      </c>
    </row>
    <row r="19" ht="15" customHeight="1" s="81">
      <c r="B19" s="89" t="inlineStr">
        <is>
          <t># STRONG BUY signals</t>
        </is>
      </c>
      <c r="D19" s="96">
        <f>COUNTIF(Watchlist!Z5:Z202,"STRONG BUY")</f>
        <v/>
      </c>
      <c r="F19" s="92">
        <f>IFERROR(INDEX(Inventory!D:D,MATCH(LARGE(Inventory!L5:L58,1),Inventory!L:L,0)),"")</f>
        <v/>
      </c>
      <c r="G19" s="93">
        <f>IFERROR(LARGE(Inventory!L5:L58,1),0)</f>
        <v/>
      </c>
      <c r="H19" s="94">
        <f>IFERROR(INDEX(Inventory!M:M,MATCH(LARGE(Inventory!L5:L58,1),Inventory!L:L,0)),0)</f>
        <v/>
      </c>
    </row>
    <row r="20" ht="15" customHeight="1" s="81">
      <c r="B20" s="89" t="inlineStr">
        <is>
          <t># BUY signals</t>
        </is>
      </c>
      <c r="D20" s="96">
        <f>COUNTIF(Watchlist!Z5:Z202,"BUY")</f>
        <v/>
      </c>
      <c r="F20" s="92">
        <f>IFERROR(INDEX(Inventory!D:D,MATCH(LARGE(Inventory!L5:L58,2),Inventory!L:L,0)),"")</f>
        <v/>
      </c>
      <c r="G20" s="93">
        <f>IFERROR(LARGE(Inventory!L5:L58,2),0)</f>
        <v/>
      </c>
      <c r="H20" s="94">
        <f>IFERROR(INDEX(Inventory!M:M,MATCH(LARGE(Inventory!L5:L58,2),Inventory!L:L,0)),0)</f>
        <v/>
      </c>
    </row>
    <row r="21" ht="15" customHeight="1" s="81">
      <c r="B21" s="89" t="inlineStr">
        <is>
          <t># HOLD signals</t>
        </is>
      </c>
      <c r="D21" s="96">
        <f>COUNTIF(Watchlist!Z5:Z202,"HOLD")</f>
        <v/>
      </c>
      <c r="F21" s="92">
        <f>IFERROR(INDEX(Inventory!D:D,MATCH(LARGE(Inventory!L5:L58,3),Inventory!L:L,0)),"")</f>
        <v/>
      </c>
      <c r="G21" s="93">
        <f>IFERROR(LARGE(Inventory!L5:L58,3),0)</f>
        <v/>
      </c>
      <c r="H21" s="94">
        <f>IFERROR(INDEX(Inventory!M:M,MATCH(LARGE(Inventory!L5:L58,3),Inventory!L:L,0)),0)</f>
        <v/>
      </c>
    </row>
    <row r="22" ht="15" customHeight="1" s="81">
      <c r="B22" s="89" t="inlineStr">
        <is>
          <t># TRIM signals</t>
        </is>
      </c>
      <c r="D22" s="96">
        <f>COUNTIF(Watchlist!Z5:Z202,"TRIM")</f>
        <v/>
      </c>
      <c r="F22" s="92">
        <f>IFERROR(INDEX(Inventory!D:D,MATCH(LARGE(Inventory!L5:L58,4),Inventory!L:L,0)),"")</f>
        <v/>
      </c>
      <c r="G22" s="93">
        <f>IFERROR(LARGE(Inventory!L5:L58,4),0)</f>
        <v/>
      </c>
      <c r="H22" s="94">
        <f>IFERROR(INDEX(Inventory!M:M,MATCH(LARGE(Inventory!L5:L58,4),Inventory!L:L,0)),0)</f>
        <v/>
      </c>
    </row>
    <row r="23" ht="15" customHeight="1" s="81">
      <c r="B23" s="89" t="inlineStr">
        <is>
          <t># SELL signals</t>
        </is>
      </c>
      <c r="D23" s="96">
        <f>COUNTIF(Watchlist!Z5:Z202,"SELL")</f>
        <v/>
      </c>
      <c r="F23" s="92">
        <f>IFERROR(INDEX(Inventory!D:D,MATCH(LARGE(Inventory!L5:L58,5),Inventory!L:L,0)),"")</f>
        <v/>
      </c>
      <c r="G23" s="93">
        <f>IFERROR(LARGE(Inventory!L5:L58,5),0)</f>
        <v/>
      </c>
      <c r="H23" s="94">
        <f>IFERROR(INDEX(Inventory!M:M,MATCH(LARGE(Inventory!L5:L58,5),Inventory!L:L,0)),0)</f>
        <v/>
      </c>
    </row>
    <row r="24" ht="15" customHeight="1" s="81">
      <c r="B24" s="89" t="inlineStr">
        <is>
          <t>Avg 30D Trend (watchlist)</t>
        </is>
      </c>
      <c r="D24" s="95">
        <f>AVERAGE(Watchlist!N5:N202)</f>
        <v/>
      </c>
    </row>
  </sheetData>
  <mergeCells count="4">
    <mergeCell ref="B17:D17"/>
    <mergeCell ref="B5:D5"/>
    <mergeCell ref="F17:H17"/>
    <mergeCell ref="F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63BE7B"/>
    <outlinePr summaryBelow="1" summaryRight="1"/>
    <pageSetUpPr fitToPage="0"/>
  </sheetPr>
  <dimension ref="B2:K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" customWidth="1" style="80" min="1" max="1"/>
    <col width="8" customWidth="1" style="80" min="2" max="2"/>
    <col width="30" customWidth="1" style="80" min="3" max="3"/>
    <col width="14" customWidth="1" style="80" min="4" max="6"/>
    <col width="12" customWidth="1" style="80" min="7" max="7"/>
    <col width="10" customWidth="1" style="80" min="8" max="8"/>
    <col width="9" customWidth="1" style="80" min="9" max="9"/>
    <col width="12" customWidth="1" style="80" min="10" max="10"/>
    <col width="30" customWidth="1" style="80" min="11" max="11"/>
  </cols>
  <sheetData>
    <row r="2" ht="21.75" customHeight="1" s="81">
      <c r="B2" s="86" t="inlineStr">
        <is>
          <t>WEEKLY BUY LIST — Auto-Generated</t>
        </is>
      </c>
    </row>
    <row r="3" ht="15" customHeight="1" s="81">
      <c r="B3" s="87" t="inlineStr">
        <is>
          <t>Refreshed: Mon May 11, 2026. Top 10 BUY signals + Top 5 SELL signals. This is your Monday morning shopping list.</t>
        </is>
      </c>
    </row>
    <row r="5" ht="15" customHeight="1" s="81">
      <c r="B5" s="97" t="inlineStr">
        <is>
          <t>TOP 10 BUY SIGNALS</t>
        </is>
      </c>
    </row>
    <row r="6" ht="27.75" customHeight="1" s="81">
      <c r="B6" s="91" t="inlineStr">
        <is>
          <t>CardID</t>
        </is>
      </c>
      <c r="C6" s="91" t="inlineStr">
        <is>
          <t>Card Name</t>
        </is>
      </c>
      <c r="D6" s="91" t="inlineStr">
        <is>
          <t>Set</t>
        </is>
      </c>
      <c r="E6" s="91" t="inlineStr">
        <is>
          <t>Current Price</t>
        </is>
      </c>
      <c r="F6" s="91" t="inlineStr">
        <is>
          <t>Target Buy</t>
        </is>
      </c>
      <c r="G6" s="91" t="inlineStr">
        <is>
          <t>Upside to Sell</t>
        </is>
      </c>
      <c r="H6" s="91" t="inlineStr">
        <is>
          <t>30D %</t>
        </is>
      </c>
      <c r="I6" s="91" t="inlineStr">
        <is>
          <t>Score</t>
        </is>
      </c>
      <c r="J6" s="91" t="inlineStr">
        <is>
          <t>Signal</t>
        </is>
      </c>
      <c r="K6" s="91" t="inlineStr">
        <is>
          <t>Why</t>
        </is>
      </c>
    </row>
    <row r="7" ht="27.75" customHeight="1" s="81">
      <c r="B7" s="99">
        <f>IFERROR(INDEX(Watchlist!A:A,MATCH(LARGE(Watchlist!Y5:Y202,1),Watchlist!Y:Y,0)),"")</f>
        <v/>
      </c>
      <c r="C7" s="92">
        <f>IFERROR(INDEX(Watchlist!D:D,MATCH(LARGE(Watchlist!Y5:Y202,1),Watchlist!Y:Y,0)),"")</f>
        <v/>
      </c>
      <c r="D7" s="92">
        <f>IFERROR(INDEX(Watchlist!E:E,MATCH(LARGE(Watchlist!Y5:Y202,1),Watchlist!Y:Y,0)),"")</f>
        <v/>
      </c>
      <c r="E7" s="93">
        <f>IFERROR(INDEX(Watchlist!H:H,MATCH(LARGE(Watchlist!Y5:Y202,1),Watchlist!Y:Y,0)),0)</f>
        <v/>
      </c>
      <c r="F7" s="93">
        <f>IFERROR(INDEX(Watchlist!P:P,MATCH(LARGE(Watchlist!Y5:Y202,1),Watchlist!Y:Y,0)),0)</f>
        <v/>
      </c>
      <c r="G7" s="94">
        <f>IFERROR((INDEX(Watchlist!Q:Q,MATCH(LARGE(Watchlist!Y5:Y202,1),Watchlist!Y:Y,0))/E7)-1,0)</f>
        <v/>
      </c>
      <c r="H7" s="94">
        <f>IFERROR(INDEX(Watchlist!N:N,MATCH(LARGE(Watchlist!Y5:Y202,1),Watchlist!Y:Y,0)),0)</f>
        <v/>
      </c>
      <c r="I7" s="100">
        <f>IFERROR(LARGE(Watchlist!Y5:Y202,1),0)</f>
        <v/>
      </c>
      <c r="J7" s="101">
        <f>IFERROR(INDEX(Watchlist!Z:Z,MATCH(LARGE(Watchlist!Y5:Y202,1),Watchlist!Y:Y,0)),"")</f>
        <v/>
      </c>
      <c r="K7" s="102">
        <f>IFERROR(LEFT(INDEX(Watchlist!AB:AB,MATCH(LARGE(Watchlist!Y5:Y202,1),Watchlist!Y:Y,0)),80),"")</f>
        <v/>
      </c>
    </row>
    <row r="8" ht="27.75" customHeight="1" s="81">
      <c r="B8" s="99">
        <f>IFERROR(INDEX(Watchlist!A:A,MATCH(LARGE(Watchlist!Y5:Y202,2),Watchlist!Y:Y,0)),"")</f>
        <v/>
      </c>
      <c r="C8" s="92">
        <f>IFERROR(INDEX(Watchlist!D:D,MATCH(LARGE(Watchlist!Y5:Y202,2),Watchlist!Y:Y,0)),"")</f>
        <v/>
      </c>
      <c r="D8" s="92">
        <f>IFERROR(INDEX(Watchlist!E:E,MATCH(LARGE(Watchlist!Y5:Y202,2),Watchlist!Y:Y,0)),"")</f>
        <v/>
      </c>
      <c r="E8" s="93">
        <f>IFERROR(INDEX(Watchlist!H:H,MATCH(LARGE(Watchlist!Y5:Y202,2),Watchlist!Y:Y,0)),0)</f>
        <v/>
      </c>
      <c r="F8" s="93">
        <f>IFERROR(INDEX(Watchlist!P:P,MATCH(LARGE(Watchlist!Y5:Y202,2),Watchlist!Y:Y,0)),0)</f>
        <v/>
      </c>
      <c r="G8" s="94">
        <f>IFERROR((INDEX(Watchlist!Q:Q,MATCH(LARGE(Watchlist!Y5:Y202,2),Watchlist!Y:Y,0))/E8)-1,0)</f>
        <v/>
      </c>
      <c r="H8" s="94">
        <f>IFERROR(INDEX(Watchlist!N:N,MATCH(LARGE(Watchlist!Y5:Y202,2),Watchlist!Y:Y,0)),0)</f>
        <v/>
      </c>
      <c r="I8" s="100">
        <f>IFERROR(LARGE(Watchlist!Y5:Y202,2),0)</f>
        <v/>
      </c>
      <c r="J8" s="101">
        <f>IFERROR(INDEX(Watchlist!Z:Z,MATCH(LARGE(Watchlist!Y5:Y202,2),Watchlist!Y:Y,0)),"")</f>
        <v/>
      </c>
      <c r="K8" s="102">
        <f>IFERROR(LEFT(INDEX(Watchlist!AB:AB,MATCH(LARGE(Watchlist!Y5:Y202,2),Watchlist!Y:Y,0)),80),"")</f>
        <v/>
      </c>
    </row>
    <row r="9" ht="27.75" customHeight="1" s="81">
      <c r="B9" s="99">
        <f>IFERROR(INDEX(Watchlist!A:A,MATCH(LARGE(Watchlist!Y5:Y202,3),Watchlist!Y:Y,0)),"")</f>
        <v/>
      </c>
      <c r="C9" s="92">
        <f>IFERROR(INDEX(Watchlist!D:D,MATCH(LARGE(Watchlist!Y5:Y202,3),Watchlist!Y:Y,0)),"")</f>
        <v/>
      </c>
      <c r="D9" s="92">
        <f>IFERROR(INDEX(Watchlist!E:E,MATCH(LARGE(Watchlist!Y5:Y202,3),Watchlist!Y:Y,0)),"")</f>
        <v/>
      </c>
      <c r="E9" s="93">
        <f>IFERROR(INDEX(Watchlist!H:H,MATCH(LARGE(Watchlist!Y5:Y202,3),Watchlist!Y:Y,0)),0)</f>
        <v/>
      </c>
      <c r="F9" s="93">
        <f>IFERROR(INDEX(Watchlist!P:P,MATCH(LARGE(Watchlist!Y5:Y202,3),Watchlist!Y:Y,0)),0)</f>
        <v/>
      </c>
      <c r="G9" s="94">
        <f>IFERROR((INDEX(Watchlist!Q:Q,MATCH(LARGE(Watchlist!Y5:Y202,3),Watchlist!Y:Y,0))/E9)-1,0)</f>
        <v/>
      </c>
      <c r="H9" s="94">
        <f>IFERROR(INDEX(Watchlist!N:N,MATCH(LARGE(Watchlist!Y5:Y202,3),Watchlist!Y:Y,0)),0)</f>
        <v/>
      </c>
      <c r="I9" s="100">
        <f>IFERROR(LARGE(Watchlist!Y5:Y202,3),0)</f>
        <v/>
      </c>
      <c r="J9" s="101">
        <f>IFERROR(INDEX(Watchlist!Z:Z,MATCH(LARGE(Watchlist!Y5:Y202,3),Watchlist!Y:Y,0)),"")</f>
        <v/>
      </c>
      <c r="K9" s="102">
        <f>IFERROR(LEFT(INDEX(Watchlist!AB:AB,MATCH(LARGE(Watchlist!Y5:Y202,3),Watchlist!Y:Y,0)),80),"")</f>
        <v/>
      </c>
    </row>
    <row r="10" ht="27.75" customHeight="1" s="81">
      <c r="B10" s="99">
        <f>IFERROR(INDEX(Watchlist!A:A,MATCH(LARGE(Watchlist!Y5:Y202,4),Watchlist!Y:Y,0)),"")</f>
        <v/>
      </c>
      <c r="C10" s="92">
        <f>IFERROR(INDEX(Watchlist!D:D,MATCH(LARGE(Watchlist!Y5:Y202,4),Watchlist!Y:Y,0)),"")</f>
        <v/>
      </c>
      <c r="D10" s="92">
        <f>IFERROR(INDEX(Watchlist!E:E,MATCH(LARGE(Watchlist!Y5:Y202,4),Watchlist!Y:Y,0)),"")</f>
        <v/>
      </c>
      <c r="E10" s="93">
        <f>IFERROR(INDEX(Watchlist!H:H,MATCH(LARGE(Watchlist!Y5:Y202,4),Watchlist!Y:Y,0)),0)</f>
        <v/>
      </c>
      <c r="F10" s="93">
        <f>IFERROR(INDEX(Watchlist!P:P,MATCH(LARGE(Watchlist!Y5:Y202,4),Watchlist!Y:Y,0)),0)</f>
        <v/>
      </c>
      <c r="G10" s="94">
        <f>IFERROR((INDEX(Watchlist!Q:Q,MATCH(LARGE(Watchlist!Y5:Y202,4),Watchlist!Y:Y,0))/E10)-1,0)</f>
        <v/>
      </c>
      <c r="H10" s="94">
        <f>IFERROR(INDEX(Watchlist!N:N,MATCH(LARGE(Watchlist!Y5:Y202,4),Watchlist!Y:Y,0)),0)</f>
        <v/>
      </c>
      <c r="I10" s="100">
        <f>IFERROR(LARGE(Watchlist!Y5:Y202,4),0)</f>
        <v/>
      </c>
      <c r="J10" s="101">
        <f>IFERROR(INDEX(Watchlist!Z:Z,MATCH(LARGE(Watchlist!Y5:Y202,4),Watchlist!Y:Y,0)),"")</f>
        <v/>
      </c>
      <c r="K10" s="102">
        <f>IFERROR(LEFT(INDEX(Watchlist!AB:AB,MATCH(LARGE(Watchlist!Y5:Y202,4),Watchlist!Y:Y,0)),80),"")</f>
        <v/>
      </c>
    </row>
    <row r="11" ht="27.75" customHeight="1" s="81">
      <c r="B11" s="99">
        <f>IFERROR(INDEX(Watchlist!A:A,MATCH(LARGE(Watchlist!Y5:Y202,5),Watchlist!Y:Y,0)),"")</f>
        <v/>
      </c>
      <c r="C11" s="92">
        <f>IFERROR(INDEX(Watchlist!D:D,MATCH(LARGE(Watchlist!Y5:Y202,5),Watchlist!Y:Y,0)),"")</f>
        <v/>
      </c>
      <c r="D11" s="92">
        <f>IFERROR(INDEX(Watchlist!E:E,MATCH(LARGE(Watchlist!Y5:Y202,5),Watchlist!Y:Y,0)),"")</f>
        <v/>
      </c>
      <c r="E11" s="93">
        <f>IFERROR(INDEX(Watchlist!H:H,MATCH(LARGE(Watchlist!Y5:Y202,5),Watchlist!Y:Y,0)),0)</f>
        <v/>
      </c>
      <c r="F11" s="93">
        <f>IFERROR(INDEX(Watchlist!P:P,MATCH(LARGE(Watchlist!Y5:Y202,5),Watchlist!Y:Y,0)),0)</f>
        <v/>
      </c>
      <c r="G11" s="94">
        <f>IFERROR((INDEX(Watchlist!Q:Q,MATCH(LARGE(Watchlist!Y5:Y202,5),Watchlist!Y:Y,0))/E11)-1,0)</f>
        <v/>
      </c>
      <c r="H11" s="94">
        <f>IFERROR(INDEX(Watchlist!N:N,MATCH(LARGE(Watchlist!Y5:Y202,5),Watchlist!Y:Y,0)),0)</f>
        <v/>
      </c>
      <c r="I11" s="100">
        <f>IFERROR(LARGE(Watchlist!Y5:Y202,5),0)</f>
        <v/>
      </c>
      <c r="J11" s="101">
        <f>IFERROR(INDEX(Watchlist!Z:Z,MATCH(LARGE(Watchlist!Y5:Y202,5),Watchlist!Y:Y,0)),"")</f>
        <v/>
      </c>
      <c r="K11" s="102">
        <f>IFERROR(LEFT(INDEX(Watchlist!AB:AB,MATCH(LARGE(Watchlist!Y5:Y202,5),Watchlist!Y:Y,0)),80),"")</f>
        <v/>
      </c>
    </row>
    <row r="12" ht="27.75" customHeight="1" s="81">
      <c r="B12" s="99">
        <f>IFERROR(INDEX(Watchlist!A:A,MATCH(LARGE(Watchlist!Y5:Y202,6),Watchlist!Y:Y,0)),"")</f>
        <v/>
      </c>
      <c r="C12" s="92">
        <f>IFERROR(INDEX(Watchlist!D:D,MATCH(LARGE(Watchlist!Y5:Y202,6),Watchlist!Y:Y,0)),"")</f>
        <v/>
      </c>
      <c r="D12" s="92">
        <f>IFERROR(INDEX(Watchlist!E:E,MATCH(LARGE(Watchlist!Y5:Y202,6),Watchlist!Y:Y,0)),"")</f>
        <v/>
      </c>
      <c r="E12" s="93">
        <f>IFERROR(INDEX(Watchlist!H:H,MATCH(LARGE(Watchlist!Y5:Y202,6),Watchlist!Y:Y,0)),0)</f>
        <v/>
      </c>
      <c r="F12" s="93">
        <f>IFERROR(INDEX(Watchlist!P:P,MATCH(LARGE(Watchlist!Y5:Y202,6),Watchlist!Y:Y,0)),0)</f>
        <v/>
      </c>
      <c r="G12" s="94">
        <f>IFERROR((INDEX(Watchlist!Q:Q,MATCH(LARGE(Watchlist!Y5:Y202,6),Watchlist!Y:Y,0))/E12)-1,0)</f>
        <v/>
      </c>
      <c r="H12" s="94">
        <f>IFERROR(INDEX(Watchlist!N:N,MATCH(LARGE(Watchlist!Y5:Y202,6),Watchlist!Y:Y,0)),0)</f>
        <v/>
      </c>
      <c r="I12" s="100">
        <f>IFERROR(LARGE(Watchlist!Y5:Y202,6),0)</f>
        <v/>
      </c>
      <c r="J12" s="101">
        <f>IFERROR(INDEX(Watchlist!Z:Z,MATCH(LARGE(Watchlist!Y5:Y202,6),Watchlist!Y:Y,0)),"")</f>
        <v/>
      </c>
      <c r="K12" s="102">
        <f>IFERROR(LEFT(INDEX(Watchlist!AB:AB,MATCH(LARGE(Watchlist!Y5:Y202,6),Watchlist!Y:Y,0)),80),"")</f>
        <v/>
      </c>
    </row>
    <row r="13" ht="27.75" customHeight="1" s="81">
      <c r="B13" s="99">
        <f>IFERROR(INDEX(Watchlist!A:A,MATCH(LARGE(Watchlist!Y5:Y202,7),Watchlist!Y:Y,0)),"")</f>
        <v/>
      </c>
      <c r="C13" s="92">
        <f>IFERROR(INDEX(Watchlist!D:D,MATCH(LARGE(Watchlist!Y5:Y202,7),Watchlist!Y:Y,0)),"")</f>
        <v/>
      </c>
      <c r="D13" s="92">
        <f>IFERROR(INDEX(Watchlist!E:E,MATCH(LARGE(Watchlist!Y5:Y202,7),Watchlist!Y:Y,0)),"")</f>
        <v/>
      </c>
      <c r="E13" s="93">
        <f>IFERROR(INDEX(Watchlist!H:H,MATCH(LARGE(Watchlist!Y5:Y202,7),Watchlist!Y:Y,0)),0)</f>
        <v/>
      </c>
      <c r="F13" s="93">
        <f>IFERROR(INDEX(Watchlist!P:P,MATCH(LARGE(Watchlist!Y5:Y202,7),Watchlist!Y:Y,0)),0)</f>
        <v/>
      </c>
      <c r="G13" s="94">
        <f>IFERROR((INDEX(Watchlist!Q:Q,MATCH(LARGE(Watchlist!Y5:Y202,7),Watchlist!Y:Y,0))/E13)-1,0)</f>
        <v/>
      </c>
      <c r="H13" s="94">
        <f>IFERROR(INDEX(Watchlist!N:N,MATCH(LARGE(Watchlist!Y5:Y202,7),Watchlist!Y:Y,0)),0)</f>
        <v/>
      </c>
      <c r="I13" s="100">
        <f>IFERROR(LARGE(Watchlist!Y5:Y202,7),0)</f>
        <v/>
      </c>
      <c r="J13" s="101">
        <f>IFERROR(INDEX(Watchlist!Z:Z,MATCH(LARGE(Watchlist!Y5:Y202,7),Watchlist!Y:Y,0)),"")</f>
        <v/>
      </c>
      <c r="K13" s="102">
        <f>IFERROR(LEFT(INDEX(Watchlist!AB:AB,MATCH(LARGE(Watchlist!Y5:Y202,7),Watchlist!Y:Y,0)),80),"")</f>
        <v/>
      </c>
    </row>
    <row r="14" ht="27.75" customHeight="1" s="81">
      <c r="B14" s="99">
        <f>IFERROR(INDEX(Watchlist!A:A,MATCH(LARGE(Watchlist!Y5:Y202,8),Watchlist!Y:Y,0)),"")</f>
        <v/>
      </c>
      <c r="C14" s="92">
        <f>IFERROR(INDEX(Watchlist!D:D,MATCH(LARGE(Watchlist!Y5:Y202,8),Watchlist!Y:Y,0)),"")</f>
        <v/>
      </c>
      <c r="D14" s="92">
        <f>IFERROR(INDEX(Watchlist!E:E,MATCH(LARGE(Watchlist!Y5:Y202,8),Watchlist!Y:Y,0)),"")</f>
        <v/>
      </c>
      <c r="E14" s="93">
        <f>IFERROR(INDEX(Watchlist!H:H,MATCH(LARGE(Watchlist!Y5:Y202,8),Watchlist!Y:Y,0)),0)</f>
        <v/>
      </c>
      <c r="F14" s="93">
        <f>IFERROR(INDEX(Watchlist!P:P,MATCH(LARGE(Watchlist!Y5:Y202,8),Watchlist!Y:Y,0)),0)</f>
        <v/>
      </c>
      <c r="G14" s="94">
        <f>IFERROR((INDEX(Watchlist!Q:Q,MATCH(LARGE(Watchlist!Y5:Y202,8),Watchlist!Y:Y,0))/E14)-1,0)</f>
        <v/>
      </c>
      <c r="H14" s="94">
        <f>IFERROR(INDEX(Watchlist!N:N,MATCH(LARGE(Watchlist!Y5:Y202,8),Watchlist!Y:Y,0)),0)</f>
        <v/>
      </c>
      <c r="I14" s="100">
        <f>IFERROR(LARGE(Watchlist!Y5:Y202,8),0)</f>
        <v/>
      </c>
      <c r="J14" s="101">
        <f>IFERROR(INDEX(Watchlist!Z:Z,MATCH(LARGE(Watchlist!Y5:Y202,8),Watchlist!Y:Y,0)),"")</f>
        <v/>
      </c>
      <c r="K14" s="102">
        <f>IFERROR(LEFT(INDEX(Watchlist!AB:AB,MATCH(LARGE(Watchlist!Y5:Y202,8),Watchlist!Y:Y,0)),80),"")</f>
        <v/>
      </c>
    </row>
    <row r="15" ht="27.75" customHeight="1" s="81">
      <c r="B15" s="99">
        <f>IFERROR(INDEX(Watchlist!A:A,MATCH(LARGE(Watchlist!Y5:Y202,9),Watchlist!Y:Y,0)),"")</f>
        <v/>
      </c>
      <c r="C15" s="92">
        <f>IFERROR(INDEX(Watchlist!D:D,MATCH(LARGE(Watchlist!Y5:Y202,9),Watchlist!Y:Y,0)),"")</f>
        <v/>
      </c>
      <c r="D15" s="92">
        <f>IFERROR(INDEX(Watchlist!E:E,MATCH(LARGE(Watchlist!Y5:Y202,9),Watchlist!Y:Y,0)),"")</f>
        <v/>
      </c>
      <c r="E15" s="93">
        <f>IFERROR(INDEX(Watchlist!H:H,MATCH(LARGE(Watchlist!Y5:Y202,9),Watchlist!Y:Y,0)),0)</f>
        <v/>
      </c>
      <c r="F15" s="93">
        <f>IFERROR(INDEX(Watchlist!P:P,MATCH(LARGE(Watchlist!Y5:Y202,9),Watchlist!Y:Y,0)),0)</f>
        <v/>
      </c>
      <c r="G15" s="94">
        <f>IFERROR((INDEX(Watchlist!Q:Q,MATCH(LARGE(Watchlist!Y5:Y202,9),Watchlist!Y:Y,0))/E15)-1,0)</f>
        <v/>
      </c>
      <c r="H15" s="94">
        <f>IFERROR(INDEX(Watchlist!N:N,MATCH(LARGE(Watchlist!Y5:Y202,9),Watchlist!Y:Y,0)),0)</f>
        <v/>
      </c>
      <c r="I15" s="100">
        <f>IFERROR(LARGE(Watchlist!Y5:Y202,9),0)</f>
        <v/>
      </c>
      <c r="J15" s="101">
        <f>IFERROR(INDEX(Watchlist!Z:Z,MATCH(LARGE(Watchlist!Y5:Y202,9),Watchlist!Y:Y,0)),"")</f>
        <v/>
      </c>
      <c r="K15" s="102">
        <f>IFERROR(LEFT(INDEX(Watchlist!AB:AB,MATCH(LARGE(Watchlist!Y5:Y202,9),Watchlist!Y:Y,0)),80),"")</f>
        <v/>
      </c>
    </row>
    <row r="16" ht="27.75" customHeight="1" s="81">
      <c r="B16" s="99">
        <f>IFERROR(INDEX(Watchlist!A:A,MATCH(LARGE(Watchlist!Y5:Y202,10),Watchlist!Y:Y,0)),"")</f>
        <v/>
      </c>
      <c r="C16" s="92">
        <f>IFERROR(INDEX(Watchlist!D:D,MATCH(LARGE(Watchlist!Y5:Y202,10),Watchlist!Y:Y,0)),"")</f>
        <v/>
      </c>
      <c r="D16" s="92">
        <f>IFERROR(INDEX(Watchlist!E:E,MATCH(LARGE(Watchlist!Y5:Y202,10),Watchlist!Y:Y,0)),"")</f>
        <v/>
      </c>
      <c r="E16" s="93">
        <f>IFERROR(INDEX(Watchlist!H:H,MATCH(LARGE(Watchlist!Y5:Y202,10),Watchlist!Y:Y,0)),0)</f>
        <v/>
      </c>
      <c r="F16" s="93">
        <f>IFERROR(INDEX(Watchlist!P:P,MATCH(LARGE(Watchlist!Y5:Y202,10),Watchlist!Y:Y,0)),0)</f>
        <v/>
      </c>
      <c r="G16" s="94">
        <f>IFERROR((INDEX(Watchlist!Q:Q,MATCH(LARGE(Watchlist!Y5:Y202,10),Watchlist!Y:Y,0))/E16)-1,0)</f>
        <v/>
      </c>
      <c r="H16" s="94">
        <f>IFERROR(INDEX(Watchlist!N:N,MATCH(LARGE(Watchlist!Y5:Y202,10),Watchlist!Y:Y,0)),0)</f>
        <v/>
      </c>
      <c r="I16" s="100">
        <f>IFERROR(LARGE(Watchlist!Y5:Y202,10),0)</f>
        <v/>
      </c>
      <c r="J16" s="101">
        <f>IFERROR(INDEX(Watchlist!Z:Z,MATCH(LARGE(Watchlist!Y5:Y202,10),Watchlist!Y:Y,0)),"")</f>
        <v/>
      </c>
      <c r="K16" s="102">
        <f>IFERROR(LEFT(INDEX(Watchlist!AB:AB,MATCH(LARGE(Watchlist!Y5:Y202,10),Watchlist!Y:Y,0)),80),"")</f>
        <v/>
      </c>
    </row>
    <row r="18" ht="15" customHeight="1" s="81">
      <c r="B18" s="103" t="inlineStr">
        <is>
          <t>TOP 5 SELL / TRIM SIGNALS</t>
        </is>
      </c>
    </row>
    <row r="19" ht="27.75" customHeight="1" s="81">
      <c r="B19" s="91" t="inlineStr">
        <is>
          <t>CardID</t>
        </is>
      </c>
      <c r="C19" s="91" t="inlineStr">
        <is>
          <t>Card Name</t>
        </is>
      </c>
      <c r="D19" s="91" t="inlineStr">
        <is>
          <t>Set</t>
        </is>
      </c>
      <c r="E19" s="91" t="inlineStr">
        <is>
          <t>Current Price</t>
        </is>
      </c>
      <c r="F19" s="91" t="inlineStr">
        <is>
          <t>Target Buy</t>
        </is>
      </c>
      <c r="G19" s="91" t="inlineStr">
        <is>
          <t>Upside to Sell</t>
        </is>
      </c>
      <c r="H19" s="91" t="inlineStr">
        <is>
          <t>30D %</t>
        </is>
      </c>
      <c r="I19" s="91" t="inlineStr">
        <is>
          <t>Score</t>
        </is>
      </c>
      <c r="J19" s="91" t="inlineStr">
        <is>
          <t>Signal</t>
        </is>
      </c>
      <c r="K19" s="91" t="inlineStr">
        <is>
          <t>Why</t>
        </is>
      </c>
    </row>
    <row r="20" ht="27.75" customHeight="1" s="81">
      <c r="B20" s="99">
        <f>IFERROR(INDEX(Watchlist!A:A,MATCH(SMALL(Watchlist!Y5:Y202,1),Watchlist!Y:Y,0)),"")</f>
        <v/>
      </c>
      <c r="C20" s="92">
        <f>IFERROR(INDEX(Watchlist!D:D,MATCH(SMALL(Watchlist!Y5:Y202,1),Watchlist!Y:Y,0)),"")</f>
        <v/>
      </c>
      <c r="D20" s="92">
        <f>IFERROR(INDEX(Watchlist!E:E,MATCH(SMALL(Watchlist!Y5:Y202,1),Watchlist!Y:Y,0)),"")</f>
        <v/>
      </c>
      <c r="E20" s="93">
        <f>IFERROR(INDEX(Watchlist!H:H,MATCH(SMALL(Watchlist!Y5:Y202,1),Watchlist!Y:Y,0)),0)</f>
        <v/>
      </c>
      <c r="F20" s="93">
        <f>IFERROR(INDEX(Watchlist!P:P,MATCH(SMALL(Watchlist!Y5:Y202,1),Watchlist!Y:Y,0)),0)</f>
        <v/>
      </c>
      <c r="G20" s="94">
        <f>IFERROR((INDEX(Watchlist!Q:Q,MATCH(SMALL(Watchlist!Y5:Y202,1),Watchlist!Y:Y,0))/E20)-1,0)</f>
        <v/>
      </c>
      <c r="H20" s="94">
        <f>IFERROR(INDEX(Watchlist!N:N,MATCH(SMALL(Watchlist!Y5:Y202,1),Watchlist!Y:Y,0)),0)</f>
        <v/>
      </c>
      <c r="I20" s="100">
        <f>IFERROR(SMALL(Watchlist!Y5:Y202,1),0)</f>
        <v/>
      </c>
      <c r="J20" s="101">
        <f>IFERROR(INDEX(Watchlist!Z:Z,MATCH(SMALL(Watchlist!Y5:Y202,1),Watchlist!Y:Y,0)),"")</f>
        <v/>
      </c>
      <c r="K20" s="102">
        <f>IFERROR(LEFT(INDEX(Watchlist!AB:AB,MATCH(SMALL(Watchlist!Y5:Y202,1),Watchlist!Y:Y,0)),80),"")</f>
        <v/>
      </c>
    </row>
    <row r="21" ht="27.75" customHeight="1" s="81">
      <c r="B21" s="99">
        <f>IFERROR(INDEX(Watchlist!A:A,MATCH(SMALL(Watchlist!Y5:Y202,2),Watchlist!Y:Y,0)),"")</f>
        <v/>
      </c>
      <c r="C21" s="92">
        <f>IFERROR(INDEX(Watchlist!D:D,MATCH(SMALL(Watchlist!Y5:Y202,2),Watchlist!Y:Y,0)),"")</f>
        <v/>
      </c>
      <c r="D21" s="92">
        <f>IFERROR(INDEX(Watchlist!E:E,MATCH(SMALL(Watchlist!Y5:Y202,2),Watchlist!Y:Y,0)),"")</f>
        <v/>
      </c>
      <c r="E21" s="93">
        <f>IFERROR(INDEX(Watchlist!H:H,MATCH(SMALL(Watchlist!Y5:Y202,2),Watchlist!Y:Y,0)),0)</f>
        <v/>
      </c>
      <c r="F21" s="93">
        <f>IFERROR(INDEX(Watchlist!P:P,MATCH(SMALL(Watchlist!Y5:Y202,2),Watchlist!Y:Y,0)),0)</f>
        <v/>
      </c>
      <c r="G21" s="94">
        <f>IFERROR((INDEX(Watchlist!Q:Q,MATCH(SMALL(Watchlist!Y5:Y202,2),Watchlist!Y:Y,0))/E21)-1,0)</f>
        <v/>
      </c>
      <c r="H21" s="94">
        <f>IFERROR(INDEX(Watchlist!N:N,MATCH(SMALL(Watchlist!Y5:Y202,2),Watchlist!Y:Y,0)),0)</f>
        <v/>
      </c>
      <c r="I21" s="100">
        <f>IFERROR(SMALL(Watchlist!Y5:Y202,2),0)</f>
        <v/>
      </c>
      <c r="J21" s="101">
        <f>IFERROR(INDEX(Watchlist!Z:Z,MATCH(SMALL(Watchlist!Y5:Y202,2),Watchlist!Y:Y,0)),"")</f>
        <v/>
      </c>
      <c r="K21" s="102">
        <f>IFERROR(LEFT(INDEX(Watchlist!AB:AB,MATCH(SMALL(Watchlist!Y5:Y202,2),Watchlist!Y:Y,0)),80),"")</f>
        <v/>
      </c>
    </row>
    <row r="22" ht="27.75" customHeight="1" s="81">
      <c r="B22" s="99">
        <f>IFERROR(INDEX(Watchlist!A:A,MATCH(SMALL(Watchlist!Y5:Y202,3),Watchlist!Y:Y,0)),"")</f>
        <v/>
      </c>
      <c r="C22" s="92">
        <f>IFERROR(INDEX(Watchlist!D:D,MATCH(SMALL(Watchlist!Y5:Y202,3),Watchlist!Y:Y,0)),"")</f>
        <v/>
      </c>
      <c r="D22" s="92">
        <f>IFERROR(INDEX(Watchlist!E:E,MATCH(SMALL(Watchlist!Y5:Y202,3),Watchlist!Y:Y,0)),"")</f>
        <v/>
      </c>
      <c r="E22" s="93">
        <f>IFERROR(INDEX(Watchlist!H:H,MATCH(SMALL(Watchlist!Y5:Y202,3),Watchlist!Y:Y,0)),0)</f>
        <v/>
      </c>
      <c r="F22" s="93">
        <f>IFERROR(INDEX(Watchlist!P:P,MATCH(SMALL(Watchlist!Y5:Y202,3),Watchlist!Y:Y,0)),0)</f>
        <v/>
      </c>
      <c r="G22" s="94">
        <f>IFERROR((INDEX(Watchlist!Q:Q,MATCH(SMALL(Watchlist!Y5:Y202,3),Watchlist!Y:Y,0))/E22)-1,0)</f>
        <v/>
      </c>
      <c r="H22" s="94">
        <f>IFERROR(INDEX(Watchlist!N:N,MATCH(SMALL(Watchlist!Y5:Y202,3),Watchlist!Y:Y,0)),0)</f>
        <v/>
      </c>
      <c r="I22" s="100">
        <f>IFERROR(SMALL(Watchlist!Y5:Y202,3),0)</f>
        <v/>
      </c>
      <c r="J22" s="101">
        <f>IFERROR(INDEX(Watchlist!Z:Z,MATCH(SMALL(Watchlist!Y5:Y202,3),Watchlist!Y:Y,0)),"")</f>
        <v/>
      </c>
      <c r="K22" s="102">
        <f>IFERROR(LEFT(INDEX(Watchlist!AB:AB,MATCH(SMALL(Watchlist!Y5:Y202,3),Watchlist!Y:Y,0)),80),"")</f>
        <v/>
      </c>
    </row>
    <row r="23" ht="27.75" customHeight="1" s="81">
      <c r="B23" s="99">
        <f>IFERROR(INDEX(Watchlist!A:A,MATCH(SMALL(Watchlist!Y5:Y202,4),Watchlist!Y:Y,0)),"")</f>
        <v/>
      </c>
      <c r="C23" s="92">
        <f>IFERROR(INDEX(Watchlist!D:D,MATCH(SMALL(Watchlist!Y5:Y202,4),Watchlist!Y:Y,0)),"")</f>
        <v/>
      </c>
      <c r="D23" s="92">
        <f>IFERROR(INDEX(Watchlist!E:E,MATCH(SMALL(Watchlist!Y5:Y202,4),Watchlist!Y:Y,0)),"")</f>
        <v/>
      </c>
      <c r="E23" s="93">
        <f>IFERROR(INDEX(Watchlist!H:H,MATCH(SMALL(Watchlist!Y5:Y202,4),Watchlist!Y:Y,0)),0)</f>
        <v/>
      </c>
      <c r="F23" s="93">
        <f>IFERROR(INDEX(Watchlist!P:P,MATCH(SMALL(Watchlist!Y5:Y202,4),Watchlist!Y:Y,0)),0)</f>
        <v/>
      </c>
      <c r="G23" s="94">
        <f>IFERROR((INDEX(Watchlist!Q:Q,MATCH(SMALL(Watchlist!Y5:Y202,4),Watchlist!Y:Y,0))/E23)-1,0)</f>
        <v/>
      </c>
      <c r="H23" s="94">
        <f>IFERROR(INDEX(Watchlist!N:N,MATCH(SMALL(Watchlist!Y5:Y202,4),Watchlist!Y:Y,0)),0)</f>
        <v/>
      </c>
      <c r="I23" s="100">
        <f>IFERROR(SMALL(Watchlist!Y5:Y202,4),0)</f>
        <v/>
      </c>
      <c r="J23" s="101">
        <f>IFERROR(INDEX(Watchlist!Z:Z,MATCH(SMALL(Watchlist!Y5:Y202,4),Watchlist!Y:Y,0)),"")</f>
        <v/>
      </c>
      <c r="K23" s="102">
        <f>IFERROR(LEFT(INDEX(Watchlist!AB:AB,MATCH(SMALL(Watchlist!Y5:Y202,4),Watchlist!Y:Y,0)),80),"")</f>
        <v/>
      </c>
    </row>
    <row r="24" ht="27.75" customHeight="1" s="81">
      <c r="B24" s="99">
        <f>IFERROR(INDEX(Watchlist!A:A,MATCH(SMALL(Watchlist!Y5:Y202,5),Watchlist!Y:Y,0)),"")</f>
        <v/>
      </c>
      <c r="C24" s="92">
        <f>IFERROR(INDEX(Watchlist!D:D,MATCH(SMALL(Watchlist!Y5:Y202,5),Watchlist!Y:Y,0)),"")</f>
        <v/>
      </c>
      <c r="D24" s="92">
        <f>IFERROR(INDEX(Watchlist!E:E,MATCH(SMALL(Watchlist!Y5:Y202,5),Watchlist!Y:Y,0)),"")</f>
        <v/>
      </c>
      <c r="E24" s="93">
        <f>IFERROR(INDEX(Watchlist!H:H,MATCH(SMALL(Watchlist!Y5:Y202,5),Watchlist!Y:Y,0)),0)</f>
        <v/>
      </c>
      <c r="F24" s="93">
        <f>IFERROR(INDEX(Watchlist!P:P,MATCH(SMALL(Watchlist!Y5:Y202,5),Watchlist!Y:Y,0)),0)</f>
        <v/>
      </c>
      <c r="G24" s="94">
        <f>IFERROR((INDEX(Watchlist!Q:Q,MATCH(SMALL(Watchlist!Y5:Y202,5),Watchlist!Y:Y,0))/E24)-1,0)</f>
        <v/>
      </c>
      <c r="H24" s="94">
        <f>IFERROR(INDEX(Watchlist!N:N,MATCH(SMALL(Watchlist!Y5:Y202,5),Watchlist!Y:Y,0)),0)</f>
        <v/>
      </c>
      <c r="I24" s="100">
        <f>IFERROR(SMALL(Watchlist!Y5:Y202,5),0)</f>
        <v/>
      </c>
      <c r="J24" s="101">
        <f>IFERROR(INDEX(Watchlist!Z:Z,MATCH(SMALL(Watchlist!Y5:Y202,5),Watchlist!Y:Y,0)),"")</f>
        <v/>
      </c>
      <c r="K24" s="102">
        <f>IFERROR(LEFT(INDEX(Watchlist!AB:AB,MATCH(SMALL(Watchlist!Y5:Y202,5),Watchlist!Y:Y,0)),80),"")</f>
        <v/>
      </c>
    </row>
    <row r="27" ht="15" customHeight="1" s="81">
      <c r="B27" s="88" t="inlineStr">
        <is>
          <t>WEEKLY DEPLOYMENT SUMMARY</t>
        </is>
      </c>
    </row>
    <row r="28" ht="15" customHeight="1" s="81">
      <c r="B28" s="104" t="inlineStr">
        <is>
          <t>Available Cash this Week</t>
        </is>
      </c>
      <c r="C28" s="105" t="n">
        <v>1500</v>
      </c>
      <c r="D28" s="106" t="inlineStr">
        <is>
          <t>← edit to your weekly contribution</t>
        </is>
      </c>
    </row>
    <row r="29" ht="15" customHeight="1" s="81">
      <c r="B29" s="104" t="inlineStr">
        <is>
          <t># Strong Buy signals on Watchlist</t>
        </is>
      </c>
      <c r="C29" s="107">
        <f>COUNTIF(Watchlist!Z5:Z202,"STRONG BUY")</f>
        <v/>
      </c>
    </row>
    <row r="30" ht="15" customHeight="1" s="81">
      <c r="B30" s="104" t="inlineStr">
        <is>
          <t># Buy signals on Watchlist</t>
        </is>
      </c>
      <c r="C30" s="107">
        <f>COUNTIF(Watchlist!Z5:Z202,"BUY")</f>
        <v/>
      </c>
    </row>
    <row r="31" ht="15" customHeight="1" s="81">
      <c r="B31" s="104" t="inlineStr">
        <is>
          <t># Trim/Sell signals on Watchlist</t>
        </is>
      </c>
      <c r="C31" s="107">
        <f>COUNTIF(Watchlist!Z5:Z202,"TRIM")+COUNTIF(Watchlist!Z5:Z202,"SELL")</f>
        <v/>
      </c>
    </row>
    <row r="32" ht="15" customHeight="1" s="81">
      <c r="B32" s="104" t="inlineStr">
        <is>
          <t>Avg Composite Score (all 198)</t>
        </is>
      </c>
      <c r="C32" s="108">
        <f>AVERAGE(Watchlist!Y5:Y202)</f>
        <v/>
      </c>
    </row>
    <row r="33" ht="15" customHeight="1" s="81">
      <c r="B33" s="104" t="inlineStr">
        <is>
          <t>Market Heat Reading</t>
        </is>
      </c>
      <c r="C33" s="109">
        <f>IF(C32&gt;=65,"HOT - selective buying",IF(C32&gt;=50,"BALANCED",IF(C32&gt;=40,"COOL - load up","FROZEN - bargain hunt")))</f>
        <v/>
      </c>
    </row>
  </sheetData>
  <mergeCells count="3">
    <mergeCell ref="B18:K18"/>
    <mergeCell ref="B5:K5"/>
    <mergeCell ref="B27:K27"/>
  </mergeCells>
  <conditionalFormatting sqref="J7:J16">
    <cfRule type="expression" rank="0" priority="2" equalAverage="0" aboveAverage="0" dxfId="0" text="" percent="0" bottom="0">
      <formula>$J7="STRONG BUY"</formula>
    </cfRule>
    <cfRule type="expression" rank="0" priority="3" equalAverage="0" aboveAverage="0" dxfId="1" text="" percent="0" bottom="0">
      <formula>$J7="BUY"</formula>
    </cfRule>
  </conditionalFormatting>
  <conditionalFormatting sqref="J20:J24">
    <cfRule type="expression" rank="0" priority="4" equalAverage="0" aboveAverage="0" dxfId="2" text="" percent="0" bottom="0">
      <formula>$J20="SELL"</formula>
    </cfRule>
    <cfRule type="expression" rank="0" priority="5" equalAverage="0" aboveAverage="0" dxfId="3" text="" percent="0" bottom="0">
      <formula>$J20="TRIM"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F6B6B"/>
    <outlinePr summaryBelow="1" summaryRight="1"/>
    <pageSetUpPr fitToPage="0"/>
  </sheetPr>
  <dimension ref="B2:K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80" min="1" max="1"/>
    <col width="8" customWidth="1" style="80" min="2" max="2"/>
    <col width="30" customWidth="1" style="80" min="3" max="3"/>
    <col width="22" customWidth="1" style="80" min="4" max="4"/>
    <col width="13" customWidth="1" style="80" min="5" max="5"/>
    <col width="12" customWidth="1" style="80" min="6" max="6"/>
    <col width="9" customWidth="1" style="80" min="7" max="10"/>
    <col width="10" customWidth="1" style="80" min="11" max="11"/>
  </cols>
  <sheetData>
    <row r="2" ht="21.75" customHeight="1" s="81">
      <c r="B2" s="86" t="inlineStr">
        <is>
          <t>HOT SINGLES — Momentum Leaders</t>
        </is>
      </c>
    </row>
    <row r="3" ht="15" customHeight="1" s="81">
      <c r="B3" s="87" t="inlineStr">
        <is>
          <t>Top 20 cards sorted by 30-day price change. Refreshes when Price History updates.</t>
        </is>
      </c>
    </row>
    <row r="5" ht="15" customHeight="1" s="81">
      <c r="B5" s="97" t="inlineStr">
        <is>
          <t>TOP 20 MOMENTUM (by 30D %)</t>
        </is>
      </c>
    </row>
    <row r="6" ht="27.75" customHeight="1" s="81">
      <c r="B6" s="91" t="inlineStr">
        <is>
          <t>CardID</t>
        </is>
      </c>
      <c r="C6" s="91" t="inlineStr">
        <is>
          <t>Card Name</t>
        </is>
      </c>
      <c r="D6" s="91" t="inlineStr">
        <is>
          <t>Set</t>
        </is>
      </c>
      <c r="E6" s="91" t="inlineStr">
        <is>
          <t>Current Price</t>
        </is>
      </c>
      <c r="F6" s="91" t="inlineStr">
        <is>
          <t>Variant</t>
        </is>
      </c>
      <c r="G6" s="91" t="inlineStr">
        <is>
          <t>7D %</t>
        </is>
      </c>
      <c r="H6" s="91" t="inlineStr">
        <is>
          <t>30D %</t>
        </is>
      </c>
      <c r="I6" s="91" t="inlineStr">
        <is>
          <t>90D %</t>
        </is>
      </c>
      <c r="J6" s="91" t="inlineStr">
        <is>
          <t>Score</t>
        </is>
      </c>
      <c r="K6" s="91" t="inlineStr">
        <is>
          <t>Signal</t>
        </is>
      </c>
    </row>
    <row r="7" ht="15" customHeight="1" s="81">
      <c r="B7" s="99">
        <f>IFERROR(INDEX(Watchlist!A:A,MATCH(LARGE(Watchlist!N5:N202,1),Watchlist!N:N,0)),"")</f>
        <v/>
      </c>
      <c r="C7" s="92">
        <f>IFERROR(INDEX(Watchlist!D:D,MATCH(LARGE(Watchlist!N5:N202,1),Watchlist!N:N,0)),"")</f>
        <v/>
      </c>
      <c r="D7" s="92">
        <f>IFERROR(INDEX(Watchlist!E:E,MATCH(LARGE(Watchlist!N5:N202,1),Watchlist!N:N,0)),"")</f>
        <v/>
      </c>
      <c r="E7" s="93">
        <f>IFERROR(INDEX(Watchlist!H:H,MATCH(LARGE(Watchlist!N5:N202,1),Watchlist!N:N,0)),0)</f>
        <v/>
      </c>
      <c r="F7" s="110">
        <f>IFERROR(INDEX(Watchlist!G:G,MATCH(LARGE(Watchlist!N5:N202,1),Watchlist!N:N,0)),"")</f>
        <v/>
      </c>
      <c r="G7" s="94">
        <f>IFERROR(INDEX(Watchlist!M:M,MATCH(LARGE(Watchlist!N5:N202,1),Watchlist!N:N,0)),0)</f>
        <v/>
      </c>
      <c r="H7" s="111">
        <f>IFERROR(LARGE(Watchlist!N5:N202,1),0)</f>
        <v/>
      </c>
      <c r="I7" s="94">
        <f>IFERROR(INDEX(Watchlist!O:O,MATCH(LARGE(Watchlist!N5:N202,1),Watchlist!N:N,0)),0)</f>
        <v/>
      </c>
      <c r="J7" s="112">
        <f>IFERROR(INDEX(Watchlist!Y:Y,MATCH(LARGE(Watchlist!N5:N202,1),Watchlist!N:N,0)),0)</f>
        <v/>
      </c>
      <c r="K7" s="101">
        <f>IFERROR(INDEX(Watchlist!Z:Z,MATCH(LARGE(Watchlist!N5:N202,1),Watchlist!N:N,0)),"")</f>
        <v/>
      </c>
    </row>
    <row r="8" ht="15" customHeight="1" s="81">
      <c r="B8" s="99">
        <f>IFERROR(INDEX(Watchlist!A:A,MATCH(LARGE(Watchlist!N5:N202,2),Watchlist!N:N,0)),"")</f>
        <v/>
      </c>
      <c r="C8" s="92">
        <f>IFERROR(INDEX(Watchlist!D:D,MATCH(LARGE(Watchlist!N5:N202,2),Watchlist!N:N,0)),"")</f>
        <v/>
      </c>
      <c r="D8" s="92">
        <f>IFERROR(INDEX(Watchlist!E:E,MATCH(LARGE(Watchlist!N5:N202,2),Watchlist!N:N,0)),"")</f>
        <v/>
      </c>
      <c r="E8" s="93">
        <f>IFERROR(INDEX(Watchlist!H:H,MATCH(LARGE(Watchlist!N5:N202,2),Watchlist!N:N,0)),0)</f>
        <v/>
      </c>
      <c r="F8" s="110">
        <f>IFERROR(INDEX(Watchlist!G:G,MATCH(LARGE(Watchlist!N5:N202,2),Watchlist!N:N,0)),"")</f>
        <v/>
      </c>
      <c r="G8" s="94">
        <f>IFERROR(INDEX(Watchlist!M:M,MATCH(LARGE(Watchlist!N5:N202,2),Watchlist!N:N,0)),0)</f>
        <v/>
      </c>
      <c r="H8" s="111">
        <f>IFERROR(LARGE(Watchlist!N5:N202,2),0)</f>
        <v/>
      </c>
      <c r="I8" s="94">
        <f>IFERROR(INDEX(Watchlist!O:O,MATCH(LARGE(Watchlist!N5:N202,2),Watchlist!N:N,0)),0)</f>
        <v/>
      </c>
      <c r="J8" s="112">
        <f>IFERROR(INDEX(Watchlist!Y:Y,MATCH(LARGE(Watchlist!N5:N202,2),Watchlist!N:N,0)),0)</f>
        <v/>
      </c>
      <c r="K8" s="101">
        <f>IFERROR(INDEX(Watchlist!Z:Z,MATCH(LARGE(Watchlist!N5:N202,2),Watchlist!N:N,0)),"")</f>
        <v/>
      </c>
    </row>
    <row r="9" ht="15" customHeight="1" s="81">
      <c r="B9" s="99">
        <f>IFERROR(INDEX(Watchlist!A:A,MATCH(LARGE(Watchlist!N5:N202,3),Watchlist!N:N,0)),"")</f>
        <v/>
      </c>
      <c r="C9" s="92">
        <f>IFERROR(INDEX(Watchlist!D:D,MATCH(LARGE(Watchlist!N5:N202,3),Watchlist!N:N,0)),"")</f>
        <v/>
      </c>
      <c r="D9" s="92">
        <f>IFERROR(INDEX(Watchlist!E:E,MATCH(LARGE(Watchlist!N5:N202,3),Watchlist!N:N,0)),"")</f>
        <v/>
      </c>
      <c r="E9" s="93">
        <f>IFERROR(INDEX(Watchlist!H:H,MATCH(LARGE(Watchlist!N5:N202,3),Watchlist!N:N,0)),0)</f>
        <v/>
      </c>
      <c r="F9" s="110">
        <f>IFERROR(INDEX(Watchlist!G:G,MATCH(LARGE(Watchlist!N5:N202,3),Watchlist!N:N,0)),"")</f>
        <v/>
      </c>
      <c r="G9" s="94">
        <f>IFERROR(INDEX(Watchlist!M:M,MATCH(LARGE(Watchlist!N5:N202,3),Watchlist!N:N,0)),0)</f>
        <v/>
      </c>
      <c r="H9" s="111">
        <f>IFERROR(LARGE(Watchlist!N5:N202,3),0)</f>
        <v/>
      </c>
      <c r="I9" s="94">
        <f>IFERROR(INDEX(Watchlist!O:O,MATCH(LARGE(Watchlist!N5:N202,3),Watchlist!N:N,0)),0)</f>
        <v/>
      </c>
      <c r="J9" s="112">
        <f>IFERROR(INDEX(Watchlist!Y:Y,MATCH(LARGE(Watchlist!N5:N202,3),Watchlist!N:N,0)),0)</f>
        <v/>
      </c>
      <c r="K9" s="101">
        <f>IFERROR(INDEX(Watchlist!Z:Z,MATCH(LARGE(Watchlist!N5:N202,3),Watchlist!N:N,0)),"")</f>
        <v/>
      </c>
    </row>
    <row r="10" ht="15" customHeight="1" s="81">
      <c r="B10" s="99">
        <f>IFERROR(INDEX(Watchlist!A:A,MATCH(LARGE(Watchlist!N5:N202,4),Watchlist!N:N,0)),"")</f>
        <v/>
      </c>
      <c r="C10" s="92">
        <f>IFERROR(INDEX(Watchlist!D:D,MATCH(LARGE(Watchlist!N5:N202,4),Watchlist!N:N,0)),"")</f>
        <v/>
      </c>
      <c r="D10" s="92">
        <f>IFERROR(INDEX(Watchlist!E:E,MATCH(LARGE(Watchlist!N5:N202,4),Watchlist!N:N,0)),"")</f>
        <v/>
      </c>
      <c r="E10" s="93">
        <f>IFERROR(INDEX(Watchlist!H:H,MATCH(LARGE(Watchlist!N5:N202,4),Watchlist!N:N,0)),0)</f>
        <v/>
      </c>
      <c r="F10" s="110">
        <f>IFERROR(INDEX(Watchlist!G:G,MATCH(LARGE(Watchlist!N5:N202,4),Watchlist!N:N,0)),"")</f>
        <v/>
      </c>
      <c r="G10" s="94">
        <f>IFERROR(INDEX(Watchlist!M:M,MATCH(LARGE(Watchlist!N5:N202,4),Watchlist!N:N,0)),0)</f>
        <v/>
      </c>
      <c r="H10" s="111">
        <f>IFERROR(LARGE(Watchlist!N5:N202,4),0)</f>
        <v/>
      </c>
      <c r="I10" s="94">
        <f>IFERROR(INDEX(Watchlist!O:O,MATCH(LARGE(Watchlist!N5:N202,4),Watchlist!N:N,0)),0)</f>
        <v/>
      </c>
      <c r="J10" s="112">
        <f>IFERROR(INDEX(Watchlist!Y:Y,MATCH(LARGE(Watchlist!N5:N202,4),Watchlist!N:N,0)),0)</f>
        <v/>
      </c>
      <c r="K10" s="101">
        <f>IFERROR(INDEX(Watchlist!Z:Z,MATCH(LARGE(Watchlist!N5:N202,4),Watchlist!N:N,0)),"")</f>
        <v/>
      </c>
    </row>
    <row r="11" ht="15" customHeight="1" s="81">
      <c r="B11" s="99">
        <f>IFERROR(INDEX(Watchlist!A:A,MATCH(LARGE(Watchlist!N5:N202,5),Watchlist!N:N,0)),"")</f>
        <v/>
      </c>
      <c r="C11" s="92">
        <f>IFERROR(INDEX(Watchlist!D:D,MATCH(LARGE(Watchlist!N5:N202,5),Watchlist!N:N,0)),"")</f>
        <v/>
      </c>
      <c r="D11" s="92">
        <f>IFERROR(INDEX(Watchlist!E:E,MATCH(LARGE(Watchlist!N5:N202,5),Watchlist!N:N,0)),"")</f>
        <v/>
      </c>
      <c r="E11" s="93">
        <f>IFERROR(INDEX(Watchlist!H:H,MATCH(LARGE(Watchlist!N5:N202,5),Watchlist!N:N,0)),0)</f>
        <v/>
      </c>
      <c r="F11" s="110">
        <f>IFERROR(INDEX(Watchlist!G:G,MATCH(LARGE(Watchlist!N5:N202,5),Watchlist!N:N,0)),"")</f>
        <v/>
      </c>
      <c r="G11" s="94">
        <f>IFERROR(INDEX(Watchlist!M:M,MATCH(LARGE(Watchlist!N5:N202,5),Watchlist!N:N,0)),0)</f>
        <v/>
      </c>
      <c r="H11" s="111">
        <f>IFERROR(LARGE(Watchlist!N5:N202,5),0)</f>
        <v/>
      </c>
      <c r="I11" s="94">
        <f>IFERROR(INDEX(Watchlist!O:O,MATCH(LARGE(Watchlist!N5:N202,5),Watchlist!N:N,0)),0)</f>
        <v/>
      </c>
      <c r="J11" s="112">
        <f>IFERROR(INDEX(Watchlist!Y:Y,MATCH(LARGE(Watchlist!N5:N202,5),Watchlist!N:N,0)),0)</f>
        <v/>
      </c>
      <c r="K11" s="101">
        <f>IFERROR(INDEX(Watchlist!Z:Z,MATCH(LARGE(Watchlist!N5:N202,5),Watchlist!N:N,0)),"")</f>
        <v/>
      </c>
    </row>
    <row r="12" ht="15" customHeight="1" s="81">
      <c r="B12" s="99">
        <f>IFERROR(INDEX(Watchlist!A:A,MATCH(LARGE(Watchlist!N5:N202,6),Watchlist!N:N,0)),"")</f>
        <v/>
      </c>
      <c r="C12" s="92">
        <f>IFERROR(INDEX(Watchlist!D:D,MATCH(LARGE(Watchlist!N5:N202,6),Watchlist!N:N,0)),"")</f>
        <v/>
      </c>
      <c r="D12" s="92">
        <f>IFERROR(INDEX(Watchlist!E:E,MATCH(LARGE(Watchlist!N5:N202,6),Watchlist!N:N,0)),"")</f>
        <v/>
      </c>
      <c r="E12" s="93">
        <f>IFERROR(INDEX(Watchlist!H:H,MATCH(LARGE(Watchlist!N5:N202,6),Watchlist!N:N,0)),0)</f>
        <v/>
      </c>
      <c r="F12" s="110">
        <f>IFERROR(INDEX(Watchlist!G:G,MATCH(LARGE(Watchlist!N5:N202,6),Watchlist!N:N,0)),"")</f>
        <v/>
      </c>
      <c r="G12" s="94">
        <f>IFERROR(INDEX(Watchlist!M:M,MATCH(LARGE(Watchlist!N5:N202,6),Watchlist!N:N,0)),0)</f>
        <v/>
      </c>
      <c r="H12" s="111">
        <f>IFERROR(LARGE(Watchlist!N5:N202,6),0)</f>
        <v/>
      </c>
      <c r="I12" s="94">
        <f>IFERROR(INDEX(Watchlist!O:O,MATCH(LARGE(Watchlist!N5:N202,6),Watchlist!N:N,0)),0)</f>
        <v/>
      </c>
      <c r="J12" s="112">
        <f>IFERROR(INDEX(Watchlist!Y:Y,MATCH(LARGE(Watchlist!N5:N202,6),Watchlist!N:N,0)),0)</f>
        <v/>
      </c>
      <c r="K12" s="101">
        <f>IFERROR(INDEX(Watchlist!Z:Z,MATCH(LARGE(Watchlist!N5:N202,6),Watchlist!N:N,0)),"")</f>
        <v/>
      </c>
    </row>
    <row r="13" ht="15" customHeight="1" s="81">
      <c r="B13" s="99">
        <f>IFERROR(INDEX(Watchlist!A:A,MATCH(LARGE(Watchlist!N5:N202,7),Watchlist!N:N,0)),"")</f>
        <v/>
      </c>
      <c r="C13" s="92">
        <f>IFERROR(INDEX(Watchlist!D:D,MATCH(LARGE(Watchlist!N5:N202,7),Watchlist!N:N,0)),"")</f>
        <v/>
      </c>
      <c r="D13" s="92">
        <f>IFERROR(INDEX(Watchlist!E:E,MATCH(LARGE(Watchlist!N5:N202,7),Watchlist!N:N,0)),"")</f>
        <v/>
      </c>
      <c r="E13" s="93">
        <f>IFERROR(INDEX(Watchlist!H:H,MATCH(LARGE(Watchlist!N5:N202,7),Watchlist!N:N,0)),0)</f>
        <v/>
      </c>
      <c r="F13" s="110">
        <f>IFERROR(INDEX(Watchlist!G:G,MATCH(LARGE(Watchlist!N5:N202,7),Watchlist!N:N,0)),"")</f>
        <v/>
      </c>
      <c r="G13" s="94">
        <f>IFERROR(INDEX(Watchlist!M:M,MATCH(LARGE(Watchlist!N5:N202,7),Watchlist!N:N,0)),0)</f>
        <v/>
      </c>
      <c r="H13" s="111">
        <f>IFERROR(LARGE(Watchlist!N5:N202,7),0)</f>
        <v/>
      </c>
      <c r="I13" s="94">
        <f>IFERROR(INDEX(Watchlist!O:O,MATCH(LARGE(Watchlist!N5:N202,7),Watchlist!N:N,0)),0)</f>
        <v/>
      </c>
      <c r="J13" s="112">
        <f>IFERROR(INDEX(Watchlist!Y:Y,MATCH(LARGE(Watchlist!N5:N202,7),Watchlist!N:N,0)),0)</f>
        <v/>
      </c>
      <c r="K13" s="101">
        <f>IFERROR(INDEX(Watchlist!Z:Z,MATCH(LARGE(Watchlist!N5:N202,7),Watchlist!N:N,0)),"")</f>
        <v/>
      </c>
    </row>
    <row r="14" ht="15" customHeight="1" s="81">
      <c r="B14" s="99">
        <f>IFERROR(INDEX(Watchlist!A:A,MATCH(LARGE(Watchlist!N5:N202,8),Watchlist!N:N,0)),"")</f>
        <v/>
      </c>
      <c r="C14" s="92">
        <f>IFERROR(INDEX(Watchlist!D:D,MATCH(LARGE(Watchlist!N5:N202,8),Watchlist!N:N,0)),"")</f>
        <v/>
      </c>
      <c r="D14" s="92">
        <f>IFERROR(INDEX(Watchlist!E:E,MATCH(LARGE(Watchlist!N5:N202,8),Watchlist!N:N,0)),"")</f>
        <v/>
      </c>
      <c r="E14" s="93">
        <f>IFERROR(INDEX(Watchlist!H:H,MATCH(LARGE(Watchlist!N5:N202,8),Watchlist!N:N,0)),0)</f>
        <v/>
      </c>
      <c r="F14" s="110">
        <f>IFERROR(INDEX(Watchlist!G:G,MATCH(LARGE(Watchlist!N5:N202,8),Watchlist!N:N,0)),"")</f>
        <v/>
      </c>
      <c r="G14" s="94">
        <f>IFERROR(INDEX(Watchlist!M:M,MATCH(LARGE(Watchlist!N5:N202,8),Watchlist!N:N,0)),0)</f>
        <v/>
      </c>
      <c r="H14" s="111">
        <f>IFERROR(LARGE(Watchlist!N5:N202,8),0)</f>
        <v/>
      </c>
      <c r="I14" s="94">
        <f>IFERROR(INDEX(Watchlist!O:O,MATCH(LARGE(Watchlist!N5:N202,8),Watchlist!N:N,0)),0)</f>
        <v/>
      </c>
      <c r="J14" s="112">
        <f>IFERROR(INDEX(Watchlist!Y:Y,MATCH(LARGE(Watchlist!N5:N202,8),Watchlist!N:N,0)),0)</f>
        <v/>
      </c>
      <c r="K14" s="101">
        <f>IFERROR(INDEX(Watchlist!Z:Z,MATCH(LARGE(Watchlist!N5:N202,8),Watchlist!N:N,0)),"")</f>
        <v/>
      </c>
    </row>
    <row r="15" ht="15" customHeight="1" s="81">
      <c r="B15" s="99">
        <f>IFERROR(INDEX(Watchlist!A:A,MATCH(LARGE(Watchlist!N5:N202,9),Watchlist!N:N,0)),"")</f>
        <v/>
      </c>
      <c r="C15" s="92">
        <f>IFERROR(INDEX(Watchlist!D:D,MATCH(LARGE(Watchlist!N5:N202,9),Watchlist!N:N,0)),"")</f>
        <v/>
      </c>
      <c r="D15" s="92">
        <f>IFERROR(INDEX(Watchlist!E:E,MATCH(LARGE(Watchlist!N5:N202,9),Watchlist!N:N,0)),"")</f>
        <v/>
      </c>
      <c r="E15" s="93">
        <f>IFERROR(INDEX(Watchlist!H:H,MATCH(LARGE(Watchlist!N5:N202,9),Watchlist!N:N,0)),0)</f>
        <v/>
      </c>
      <c r="F15" s="110">
        <f>IFERROR(INDEX(Watchlist!G:G,MATCH(LARGE(Watchlist!N5:N202,9),Watchlist!N:N,0)),"")</f>
        <v/>
      </c>
      <c r="G15" s="94">
        <f>IFERROR(INDEX(Watchlist!M:M,MATCH(LARGE(Watchlist!N5:N202,9),Watchlist!N:N,0)),0)</f>
        <v/>
      </c>
      <c r="H15" s="111">
        <f>IFERROR(LARGE(Watchlist!N5:N202,9),0)</f>
        <v/>
      </c>
      <c r="I15" s="94">
        <f>IFERROR(INDEX(Watchlist!O:O,MATCH(LARGE(Watchlist!N5:N202,9),Watchlist!N:N,0)),0)</f>
        <v/>
      </c>
      <c r="J15" s="112">
        <f>IFERROR(INDEX(Watchlist!Y:Y,MATCH(LARGE(Watchlist!N5:N202,9),Watchlist!N:N,0)),0)</f>
        <v/>
      </c>
      <c r="K15" s="101">
        <f>IFERROR(INDEX(Watchlist!Z:Z,MATCH(LARGE(Watchlist!N5:N202,9),Watchlist!N:N,0)),"")</f>
        <v/>
      </c>
    </row>
    <row r="16" ht="15" customHeight="1" s="81">
      <c r="B16" s="99">
        <f>IFERROR(INDEX(Watchlist!A:A,MATCH(LARGE(Watchlist!N5:N202,10),Watchlist!N:N,0)),"")</f>
        <v/>
      </c>
      <c r="C16" s="92">
        <f>IFERROR(INDEX(Watchlist!D:D,MATCH(LARGE(Watchlist!N5:N202,10),Watchlist!N:N,0)),"")</f>
        <v/>
      </c>
      <c r="D16" s="92">
        <f>IFERROR(INDEX(Watchlist!E:E,MATCH(LARGE(Watchlist!N5:N202,10),Watchlist!N:N,0)),"")</f>
        <v/>
      </c>
      <c r="E16" s="93">
        <f>IFERROR(INDEX(Watchlist!H:H,MATCH(LARGE(Watchlist!N5:N202,10),Watchlist!N:N,0)),0)</f>
        <v/>
      </c>
      <c r="F16" s="110">
        <f>IFERROR(INDEX(Watchlist!G:G,MATCH(LARGE(Watchlist!N5:N202,10),Watchlist!N:N,0)),"")</f>
        <v/>
      </c>
      <c r="G16" s="94">
        <f>IFERROR(INDEX(Watchlist!M:M,MATCH(LARGE(Watchlist!N5:N202,10),Watchlist!N:N,0)),0)</f>
        <v/>
      </c>
      <c r="H16" s="111">
        <f>IFERROR(LARGE(Watchlist!N5:N202,10),0)</f>
        <v/>
      </c>
      <c r="I16" s="94">
        <f>IFERROR(INDEX(Watchlist!O:O,MATCH(LARGE(Watchlist!N5:N202,10),Watchlist!N:N,0)),0)</f>
        <v/>
      </c>
      <c r="J16" s="112">
        <f>IFERROR(INDEX(Watchlist!Y:Y,MATCH(LARGE(Watchlist!N5:N202,10),Watchlist!N:N,0)),0)</f>
        <v/>
      </c>
      <c r="K16" s="101">
        <f>IFERROR(INDEX(Watchlist!Z:Z,MATCH(LARGE(Watchlist!N5:N202,10),Watchlist!N:N,0)),"")</f>
        <v/>
      </c>
    </row>
    <row r="17" ht="15" customHeight="1" s="81">
      <c r="B17" s="99">
        <f>IFERROR(INDEX(Watchlist!A:A,MATCH(LARGE(Watchlist!N5:N202,11),Watchlist!N:N,0)),"")</f>
        <v/>
      </c>
      <c r="C17" s="92">
        <f>IFERROR(INDEX(Watchlist!D:D,MATCH(LARGE(Watchlist!N5:N202,11),Watchlist!N:N,0)),"")</f>
        <v/>
      </c>
      <c r="D17" s="92">
        <f>IFERROR(INDEX(Watchlist!E:E,MATCH(LARGE(Watchlist!N5:N202,11),Watchlist!N:N,0)),"")</f>
        <v/>
      </c>
      <c r="E17" s="93">
        <f>IFERROR(INDEX(Watchlist!H:H,MATCH(LARGE(Watchlist!N5:N202,11),Watchlist!N:N,0)),0)</f>
        <v/>
      </c>
      <c r="F17" s="110">
        <f>IFERROR(INDEX(Watchlist!G:G,MATCH(LARGE(Watchlist!N5:N202,11),Watchlist!N:N,0)),"")</f>
        <v/>
      </c>
      <c r="G17" s="94">
        <f>IFERROR(INDEX(Watchlist!M:M,MATCH(LARGE(Watchlist!N5:N202,11),Watchlist!N:N,0)),0)</f>
        <v/>
      </c>
      <c r="H17" s="111">
        <f>IFERROR(LARGE(Watchlist!N5:N202,11),0)</f>
        <v/>
      </c>
      <c r="I17" s="94">
        <f>IFERROR(INDEX(Watchlist!O:O,MATCH(LARGE(Watchlist!N5:N202,11),Watchlist!N:N,0)),0)</f>
        <v/>
      </c>
      <c r="J17" s="112">
        <f>IFERROR(INDEX(Watchlist!Y:Y,MATCH(LARGE(Watchlist!N5:N202,11),Watchlist!N:N,0)),0)</f>
        <v/>
      </c>
      <c r="K17" s="101">
        <f>IFERROR(INDEX(Watchlist!Z:Z,MATCH(LARGE(Watchlist!N5:N202,11),Watchlist!N:N,0)),"")</f>
        <v/>
      </c>
    </row>
    <row r="18" ht="15" customHeight="1" s="81">
      <c r="B18" s="99">
        <f>IFERROR(INDEX(Watchlist!A:A,MATCH(LARGE(Watchlist!N5:N202,12),Watchlist!N:N,0)),"")</f>
        <v/>
      </c>
      <c r="C18" s="92">
        <f>IFERROR(INDEX(Watchlist!D:D,MATCH(LARGE(Watchlist!N5:N202,12),Watchlist!N:N,0)),"")</f>
        <v/>
      </c>
      <c r="D18" s="92">
        <f>IFERROR(INDEX(Watchlist!E:E,MATCH(LARGE(Watchlist!N5:N202,12),Watchlist!N:N,0)),"")</f>
        <v/>
      </c>
      <c r="E18" s="93">
        <f>IFERROR(INDEX(Watchlist!H:H,MATCH(LARGE(Watchlist!N5:N202,12),Watchlist!N:N,0)),0)</f>
        <v/>
      </c>
      <c r="F18" s="110">
        <f>IFERROR(INDEX(Watchlist!G:G,MATCH(LARGE(Watchlist!N5:N202,12),Watchlist!N:N,0)),"")</f>
        <v/>
      </c>
      <c r="G18" s="94">
        <f>IFERROR(INDEX(Watchlist!M:M,MATCH(LARGE(Watchlist!N5:N202,12),Watchlist!N:N,0)),0)</f>
        <v/>
      </c>
      <c r="H18" s="111">
        <f>IFERROR(LARGE(Watchlist!N5:N202,12),0)</f>
        <v/>
      </c>
      <c r="I18" s="94">
        <f>IFERROR(INDEX(Watchlist!O:O,MATCH(LARGE(Watchlist!N5:N202,12),Watchlist!N:N,0)),0)</f>
        <v/>
      </c>
      <c r="J18" s="112">
        <f>IFERROR(INDEX(Watchlist!Y:Y,MATCH(LARGE(Watchlist!N5:N202,12),Watchlist!N:N,0)),0)</f>
        <v/>
      </c>
      <c r="K18" s="101">
        <f>IFERROR(INDEX(Watchlist!Z:Z,MATCH(LARGE(Watchlist!N5:N202,12),Watchlist!N:N,0)),"")</f>
        <v/>
      </c>
    </row>
    <row r="19" ht="15" customHeight="1" s="81">
      <c r="B19" s="99">
        <f>IFERROR(INDEX(Watchlist!A:A,MATCH(LARGE(Watchlist!N5:N202,13),Watchlist!N:N,0)),"")</f>
        <v/>
      </c>
      <c r="C19" s="92">
        <f>IFERROR(INDEX(Watchlist!D:D,MATCH(LARGE(Watchlist!N5:N202,13),Watchlist!N:N,0)),"")</f>
        <v/>
      </c>
      <c r="D19" s="92">
        <f>IFERROR(INDEX(Watchlist!E:E,MATCH(LARGE(Watchlist!N5:N202,13),Watchlist!N:N,0)),"")</f>
        <v/>
      </c>
      <c r="E19" s="93">
        <f>IFERROR(INDEX(Watchlist!H:H,MATCH(LARGE(Watchlist!N5:N202,13),Watchlist!N:N,0)),0)</f>
        <v/>
      </c>
      <c r="F19" s="110">
        <f>IFERROR(INDEX(Watchlist!G:G,MATCH(LARGE(Watchlist!N5:N202,13),Watchlist!N:N,0)),"")</f>
        <v/>
      </c>
      <c r="G19" s="94">
        <f>IFERROR(INDEX(Watchlist!M:M,MATCH(LARGE(Watchlist!N5:N202,13),Watchlist!N:N,0)),0)</f>
        <v/>
      </c>
      <c r="H19" s="111">
        <f>IFERROR(LARGE(Watchlist!N5:N202,13),0)</f>
        <v/>
      </c>
      <c r="I19" s="94">
        <f>IFERROR(INDEX(Watchlist!O:O,MATCH(LARGE(Watchlist!N5:N202,13),Watchlist!N:N,0)),0)</f>
        <v/>
      </c>
      <c r="J19" s="112">
        <f>IFERROR(INDEX(Watchlist!Y:Y,MATCH(LARGE(Watchlist!N5:N202,13),Watchlist!N:N,0)),0)</f>
        <v/>
      </c>
      <c r="K19" s="101">
        <f>IFERROR(INDEX(Watchlist!Z:Z,MATCH(LARGE(Watchlist!N5:N202,13),Watchlist!N:N,0)),"")</f>
        <v/>
      </c>
    </row>
    <row r="20" ht="15" customHeight="1" s="81">
      <c r="B20" s="99">
        <f>IFERROR(INDEX(Watchlist!A:A,MATCH(LARGE(Watchlist!N5:N202,14),Watchlist!N:N,0)),"")</f>
        <v/>
      </c>
      <c r="C20" s="92">
        <f>IFERROR(INDEX(Watchlist!D:D,MATCH(LARGE(Watchlist!N5:N202,14),Watchlist!N:N,0)),"")</f>
        <v/>
      </c>
      <c r="D20" s="92">
        <f>IFERROR(INDEX(Watchlist!E:E,MATCH(LARGE(Watchlist!N5:N202,14),Watchlist!N:N,0)),"")</f>
        <v/>
      </c>
      <c r="E20" s="93">
        <f>IFERROR(INDEX(Watchlist!H:H,MATCH(LARGE(Watchlist!N5:N202,14),Watchlist!N:N,0)),0)</f>
        <v/>
      </c>
      <c r="F20" s="110">
        <f>IFERROR(INDEX(Watchlist!G:G,MATCH(LARGE(Watchlist!N5:N202,14),Watchlist!N:N,0)),"")</f>
        <v/>
      </c>
      <c r="G20" s="94">
        <f>IFERROR(INDEX(Watchlist!M:M,MATCH(LARGE(Watchlist!N5:N202,14),Watchlist!N:N,0)),0)</f>
        <v/>
      </c>
      <c r="H20" s="111">
        <f>IFERROR(LARGE(Watchlist!N5:N202,14),0)</f>
        <v/>
      </c>
      <c r="I20" s="94">
        <f>IFERROR(INDEX(Watchlist!O:O,MATCH(LARGE(Watchlist!N5:N202,14),Watchlist!N:N,0)),0)</f>
        <v/>
      </c>
      <c r="J20" s="112">
        <f>IFERROR(INDEX(Watchlist!Y:Y,MATCH(LARGE(Watchlist!N5:N202,14),Watchlist!N:N,0)),0)</f>
        <v/>
      </c>
      <c r="K20" s="101">
        <f>IFERROR(INDEX(Watchlist!Z:Z,MATCH(LARGE(Watchlist!N5:N202,14),Watchlist!N:N,0)),"")</f>
        <v/>
      </c>
    </row>
    <row r="21" ht="23.25" customHeight="1" s="81">
      <c r="B21" s="99">
        <f>IFERROR(INDEX(Watchlist!A:A,MATCH(LARGE(Watchlist!N5:N202,15),Watchlist!N:N,0)),"")</f>
        <v/>
      </c>
      <c r="C21" s="92">
        <f>IFERROR(INDEX(Watchlist!D:D,MATCH(LARGE(Watchlist!N5:N202,15),Watchlist!N:N,0)),"")</f>
        <v/>
      </c>
      <c r="D21" s="92">
        <f>IFERROR(INDEX(Watchlist!E:E,MATCH(LARGE(Watchlist!N5:N202,15),Watchlist!N:N,0)),"")</f>
        <v/>
      </c>
      <c r="E21" s="93">
        <f>IFERROR(INDEX(Watchlist!H:H,MATCH(LARGE(Watchlist!N5:N202,15),Watchlist!N:N,0)),0)</f>
        <v/>
      </c>
      <c r="F21" s="110">
        <f>IFERROR(INDEX(Watchlist!G:G,MATCH(LARGE(Watchlist!N5:N202,15),Watchlist!N:N,0)),"")</f>
        <v/>
      </c>
      <c r="G21" s="94">
        <f>IFERROR(INDEX(Watchlist!M:M,MATCH(LARGE(Watchlist!N5:N202,15),Watchlist!N:N,0)),0)</f>
        <v/>
      </c>
      <c r="H21" s="111">
        <f>IFERROR(LARGE(Watchlist!N5:N202,15),0)</f>
        <v/>
      </c>
      <c r="I21" s="94">
        <f>IFERROR(INDEX(Watchlist!O:O,MATCH(LARGE(Watchlist!N5:N202,15),Watchlist!N:N,0)),0)</f>
        <v/>
      </c>
      <c r="J21" s="112">
        <f>IFERROR(INDEX(Watchlist!Y:Y,MATCH(LARGE(Watchlist!N5:N202,15),Watchlist!N:N,0)),0)</f>
        <v/>
      </c>
      <c r="K21" s="101">
        <f>IFERROR(INDEX(Watchlist!Z:Z,MATCH(LARGE(Watchlist!N5:N202,15),Watchlist!N:N,0)),"")</f>
        <v/>
      </c>
    </row>
    <row r="22" ht="15" customHeight="1" s="81">
      <c r="B22" s="99">
        <f>IFERROR(INDEX(Watchlist!A:A,MATCH(LARGE(Watchlist!N5:N202,16),Watchlist!N:N,0)),"")</f>
        <v/>
      </c>
      <c r="C22" s="92">
        <f>IFERROR(INDEX(Watchlist!D:D,MATCH(LARGE(Watchlist!N5:N202,16),Watchlist!N:N,0)),"")</f>
        <v/>
      </c>
      <c r="D22" s="92">
        <f>IFERROR(INDEX(Watchlist!E:E,MATCH(LARGE(Watchlist!N5:N202,16),Watchlist!N:N,0)),"")</f>
        <v/>
      </c>
      <c r="E22" s="93">
        <f>IFERROR(INDEX(Watchlist!H:H,MATCH(LARGE(Watchlist!N5:N202,16),Watchlist!N:N,0)),0)</f>
        <v/>
      </c>
      <c r="F22" s="110">
        <f>IFERROR(INDEX(Watchlist!G:G,MATCH(LARGE(Watchlist!N5:N202,16),Watchlist!N:N,0)),"")</f>
        <v/>
      </c>
      <c r="G22" s="94">
        <f>IFERROR(INDEX(Watchlist!M:M,MATCH(LARGE(Watchlist!N5:N202,16),Watchlist!N:N,0)),0)</f>
        <v/>
      </c>
      <c r="H22" s="111">
        <f>IFERROR(LARGE(Watchlist!N5:N202,16),0)</f>
        <v/>
      </c>
      <c r="I22" s="94">
        <f>IFERROR(INDEX(Watchlist!O:O,MATCH(LARGE(Watchlist!N5:N202,16),Watchlist!N:N,0)),0)</f>
        <v/>
      </c>
      <c r="J22" s="112">
        <f>IFERROR(INDEX(Watchlist!Y:Y,MATCH(LARGE(Watchlist!N5:N202,16),Watchlist!N:N,0)),0)</f>
        <v/>
      </c>
      <c r="K22" s="101">
        <f>IFERROR(INDEX(Watchlist!Z:Z,MATCH(LARGE(Watchlist!N5:N202,16),Watchlist!N:N,0)),"")</f>
        <v/>
      </c>
    </row>
    <row r="23" ht="23.25" customHeight="1" s="81">
      <c r="B23" s="99">
        <f>IFERROR(INDEX(Watchlist!A:A,MATCH(LARGE(Watchlist!N5:N202,17),Watchlist!N:N,0)),"")</f>
        <v/>
      </c>
      <c r="C23" s="92">
        <f>IFERROR(INDEX(Watchlist!D:D,MATCH(LARGE(Watchlist!N5:N202,17),Watchlist!N:N,0)),"")</f>
        <v/>
      </c>
      <c r="D23" s="92">
        <f>IFERROR(INDEX(Watchlist!E:E,MATCH(LARGE(Watchlist!N5:N202,17),Watchlist!N:N,0)),"")</f>
        <v/>
      </c>
      <c r="E23" s="93">
        <f>IFERROR(INDEX(Watchlist!H:H,MATCH(LARGE(Watchlist!N5:N202,17),Watchlist!N:N,0)),0)</f>
        <v/>
      </c>
      <c r="F23" s="110">
        <f>IFERROR(INDEX(Watchlist!G:G,MATCH(LARGE(Watchlist!N5:N202,17),Watchlist!N:N,0)),"")</f>
        <v/>
      </c>
      <c r="G23" s="94">
        <f>IFERROR(INDEX(Watchlist!M:M,MATCH(LARGE(Watchlist!N5:N202,17),Watchlist!N:N,0)),0)</f>
        <v/>
      </c>
      <c r="H23" s="111">
        <f>IFERROR(LARGE(Watchlist!N5:N202,17),0)</f>
        <v/>
      </c>
      <c r="I23" s="94">
        <f>IFERROR(INDEX(Watchlist!O:O,MATCH(LARGE(Watchlist!N5:N202,17),Watchlist!N:N,0)),0)</f>
        <v/>
      </c>
      <c r="J23" s="112">
        <f>IFERROR(INDEX(Watchlist!Y:Y,MATCH(LARGE(Watchlist!N5:N202,17),Watchlist!N:N,0)),0)</f>
        <v/>
      </c>
      <c r="K23" s="101">
        <f>IFERROR(INDEX(Watchlist!Z:Z,MATCH(LARGE(Watchlist!N5:N202,17),Watchlist!N:N,0)),"")</f>
        <v/>
      </c>
    </row>
    <row r="24" ht="15" customHeight="1" s="81">
      <c r="B24" s="99">
        <f>IFERROR(INDEX(Watchlist!A:A,MATCH(LARGE(Watchlist!N5:N202,18),Watchlist!N:N,0)),"")</f>
        <v/>
      </c>
      <c r="C24" s="92">
        <f>IFERROR(INDEX(Watchlist!D:D,MATCH(LARGE(Watchlist!N5:N202,18),Watchlist!N:N,0)),"")</f>
        <v/>
      </c>
      <c r="D24" s="92">
        <f>IFERROR(INDEX(Watchlist!E:E,MATCH(LARGE(Watchlist!N5:N202,18),Watchlist!N:N,0)),"")</f>
        <v/>
      </c>
      <c r="E24" s="93">
        <f>IFERROR(INDEX(Watchlist!H:H,MATCH(LARGE(Watchlist!N5:N202,18),Watchlist!N:N,0)),0)</f>
        <v/>
      </c>
      <c r="F24" s="110">
        <f>IFERROR(INDEX(Watchlist!G:G,MATCH(LARGE(Watchlist!N5:N202,18),Watchlist!N:N,0)),"")</f>
        <v/>
      </c>
      <c r="G24" s="94">
        <f>IFERROR(INDEX(Watchlist!M:M,MATCH(LARGE(Watchlist!N5:N202,18),Watchlist!N:N,0)),0)</f>
        <v/>
      </c>
      <c r="H24" s="111">
        <f>IFERROR(LARGE(Watchlist!N5:N202,18),0)</f>
        <v/>
      </c>
      <c r="I24" s="94">
        <f>IFERROR(INDEX(Watchlist!O:O,MATCH(LARGE(Watchlist!N5:N202,18),Watchlist!N:N,0)),0)</f>
        <v/>
      </c>
      <c r="J24" s="112">
        <f>IFERROR(INDEX(Watchlist!Y:Y,MATCH(LARGE(Watchlist!N5:N202,18),Watchlist!N:N,0)),0)</f>
        <v/>
      </c>
      <c r="K24" s="101">
        <f>IFERROR(INDEX(Watchlist!Z:Z,MATCH(LARGE(Watchlist!N5:N202,18),Watchlist!N:N,0)),"")</f>
        <v/>
      </c>
    </row>
    <row r="25" ht="15" customHeight="1" s="81">
      <c r="B25" s="99">
        <f>IFERROR(INDEX(Watchlist!A:A,MATCH(LARGE(Watchlist!N5:N202,19),Watchlist!N:N,0)),"")</f>
        <v/>
      </c>
      <c r="C25" s="92">
        <f>IFERROR(INDEX(Watchlist!D:D,MATCH(LARGE(Watchlist!N5:N202,19),Watchlist!N:N,0)),"")</f>
        <v/>
      </c>
      <c r="D25" s="92">
        <f>IFERROR(INDEX(Watchlist!E:E,MATCH(LARGE(Watchlist!N5:N202,19),Watchlist!N:N,0)),"")</f>
        <v/>
      </c>
      <c r="E25" s="93">
        <f>IFERROR(INDEX(Watchlist!H:H,MATCH(LARGE(Watchlist!N5:N202,19),Watchlist!N:N,0)),0)</f>
        <v/>
      </c>
      <c r="F25" s="110">
        <f>IFERROR(INDEX(Watchlist!G:G,MATCH(LARGE(Watchlist!N5:N202,19),Watchlist!N:N,0)),"")</f>
        <v/>
      </c>
      <c r="G25" s="94">
        <f>IFERROR(INDEX(Watchlist!M:M,MATCH(LARGE(Watchlist!N5:N202,19),Watchlist!N:N,0)),0)</f>
        <v/>
      </c>
      <c r="H25" s="111">
        <f>IFERROR(LARGE(Watchlist!N5:N202,19),0)</f>
        <v/>
      </c>
      <c r="I25" s="94">
        <f>IFERROR(INDEX(Watchlist!O:O,MATCH(LARGE(Watchlist!N5:N202,19),Watchlist!N:N,0)),0)</f>
        <v/>
      </c>
      <c r="J25" s="112">
        <f>IFERROR(INDEX(Watchlist!Y:Y,MATCH(LARGE(Watchlist!N5:N202,19),Watchlist!N:N,0)),0)</f>
        <v/>
      </c>
      <c r="K25" s="101">
        <f>IFERROR(INDEX(Watchlist!Z:Z,MATCH(LARGE(Watchlist!N5:N202,19),Watchlist!N:N,0)),"")</f>
        <v/>
      </c>
    </row>
    <row r="26" ht="15" customHeight="1" s="81">
      <c r="B26" s="99">
        <f>IFERROR(INDEX(Watchlist!A:A,MATCH(LARGE(Watchlist!N5:N202,20),Watchlist!N:N,0)),"")</f>
        <v/>
      </c>
      <c r="C26" s="92">
        <f>IFERROR(INDEX(Watchlist!D:D,MATCH(LARGE(Watchlist!N5:N202,20),Watchlist!N:N,0)),"")</f>
        <v/>
      </c>
      <c r="D26" s="92">
        <f>IFERROR(INDEX(Watchlist!E:E,MATCH(LARGE(Watchlist!N5:N202,20),Watchlist!N:N,0)),"")</f>
        <v/>
      </c>
      <c r="E26" s="93">
        <f>IFERROR(INDEX(Watchlist!H:H,MATCH(LARGE(Watchlist!N5:N202,20),Watchlist!N:N,0)),0)</f>
        <v/>
      </c>
      <c r="F26" s="110">
        <f>IFERROR(INDEX(Watchlist!G:G,MATCH(LARGE(Watchlist!N5:N202,20),Watchlist!N:N,0)),"")</f>
        <v/>
      </c>
      <c r="G26" s="94">
        <f>IFERROR(INDEX(Watchlist!M:M,MATCH(LARGE(Watchlist!N5:N202,20),Watchlist!N:N,0)),0)</f>
        <v/>
      </c>
      <c r="H26" s="111">
        <f>IFERROR(LARGE(Watchlist!N5:N202,20),0)</f>
        <v/>
      </c>
      <c r="I26" s="94">
        <f>IFERROR(INDEX(Watchlist!O:O,MATCH(LARGE(Watchlist!N5:N202,20),Watchlist!N:N,0)),0)</f>
        <v/>
      </c>
      <c r="J26" s="112">
        <f>IFERROR(INDEX(Watchlist!Y:Y,MATCH(LARGE(Watchlist!N5:N202,20),Watchlist!N:N,0)),0)</f>
        <v/>
      </c>
      <c r="K26" s="101">
        <f>IFERROR(INDEX(Watchlist!Z:Z,MATCH(LARGE(Watchlist!N5:N202,20),Watchlist!N:N,0)),"")</f>
        <v/>
      </c>
    </row>
    <row r="28" ht="15" customHeight="1" s="81">
      <c r="B28" s="103" t="inlineStr">
        <is>
          <t>OVERSOLD / TURNAROUND CANDIDATES (Bottom 10 by 30D %)</t>
        </is>
      </c>
    </row>
    <row r="29" ht="27.75" customHeight="1" s="81">
      <c r="B29" s="91" t="inlineStr">
        <is>
          <t>CardID</t>
        </is>
      </c>
      <c r="C29" s="91" t="inlineStr">
        <is>
          <t>Card Name</t>
        </is>
      </c>
      <c r="D29" s="91" t="inlineStr">
        <is>
          <t>Set</t>
        </is>
      </c>
      <c r="E29" s="91" t="inlineStr">
        <is>
          <t>Current Price</t>
        </is>
      </c>
      <c r="F29" s="91" t="inlineStr">
        <is>
          <t>Variant</t>
        </is>
      </c>
      <c r="G29" s="91" t="inlineStr">
        <is>
          <t>7D %</t>
        </is>
      </c>
      <c r="H29" s="91" t="inlineStr">
        <is>
          <t>30D %</t>
        </is>
      </c>
      <c r="I29" s="91" t="inlineStr">
        <is>
          <t>90D %</t>
        </is>
      </c>
      <c r="J29" s="91" t="inlineStr">
        <is>
          <t>Score</t>
        </is>
      </c>
      <c r="K29" s="91" t="inlineStr">
        <is>
          <t>Signal</t>
        </is>
      </c>
    </row>
    <row r="30" ht="15" customHeight="1" s="81">
      <c r="B30" s="99">
        <f>IFERROR(INDEX(Watchlist!A:A,MATCH(SMALL(Watchlist!N5:N202,1),Watchlist!N:N,0)),"")</f>
        <v/>
      </c>
      <c r="C30" s="92">
        <f>IFERROR(INDEX(Watchlist!D:D,MATCH(SMALL(Watchlist!N5:N202,1),Watchlist!N:N,0)),"")</f>
        <v/>
      </c>
      <c r="D30" s="92">
        <f>IFERROR(INDEX(Watchlist!E:E,MATCH(SMALL(Watchlist!N5:N202,1),Watchlist!N:N,0)),"")</f>
        <v/>
      </c>
      <c r="E30" s="93">
        <f>IFERROR(INDEX(Watchlist!H:H,MATCH(SMALL(Watchlist!N5:N202,1),Watchlist!N:N,0)),0)</f>
        <v/>
      </c>
      <c r="F30" s="110">
        <f>IFERROR(INDEX(Watchlist!G:G,MATCH(SMALL(Watchlist!N5:N202,1),Watchlist!N:N,0)),"")</f>
        <v/>
      </c>
      <c r="G30" s="94">
        <f>IFERROR(INDEX(Watchlist!M:M,MATCH(SMALL(Watchlist!N5:N202,1),Watchlist!N:N,0)),0)</f>
        <v/>
      </c>
      <c r="H30" s="111">
        <f>IFERROR(SMALL(Watchlist!N5:N202,1),0)</f>
        <v/>
      </c>
      <c r="I30" s="94">
        <f>IFERROR(INDEX(Watchlist!O:O,MATCH(SMALL(Watchlist!N5:N202,1),Watchlist!N:N,0)),0)</f>
        <v/>
      </c>
      <c r="J30" s="112">
        <f>IFERROR(INDEX(Watchlist!Y:Y,MATCH(SMALL(Watchlist!N5:N202,1),Watchlist!N:N,0)),0)</f>
        <v/>
      </c>
      <c r="K30" s="101">
        <f>IFERROR(INDEX(Watchlist!Z:Z,MATCH(SMALL(Watchlist!N5:N202,1),Watchlist!N:N,0)),"")</f>
        <v/>
      </c>
    </row>
    <row r="31" ht="15" customHeight="1" s="81">
      <c r="B31" s="99">
        <f>IFERROR(INDEX(Watchlist!A:A,MATCH(SMALL(Watchlist!N5:N202,2),Watchlist!N:N,0)),"")</f>
        <v/>
      </c>
      <c r="C31" s="92">
        <f>IFERROR(INDEX(Watchlist!D:D,MATCH(SMALL(Watchlist!N5:N202,2),Watchlist!N:N,0)),"")</f>
        <v/>
      </c>
      <c r="D31" s="92">
        <f>IFERROR(INDEX(Watchlist!E:E,MATCH(SMALL(Watchlist!N5:N202,2),Watchlist!N:N,0)),"")</f>
        <v/>
      </c>
      <c r="E31" s="93">
        <f>IFERROR(INDEX(Watchlist!H:H,MATCH(SMALL(Watchlist!N5:N202,2),Watchlist!N:N,0)),0)</f>
        <v/>
      </c>
      <c r="F31" s="110">
        <f>IFERROR(INDEX(Watchlist!G:G,MATCH(SMALL(Watchlist!N5:N202,2),Watchlist!N:N,0)),"")</f>
        <v/>
      </c>
      <c r="G31" s="94">
        <f>IFERROR(INDEX(Watchlist!M:M,MATCH(SMALL(Watchlist!N5:N202,2),Watchlist!N:N,0)),0)</f>
        <v/>
      </c>
      <c r="H31" s="111">
        <f>IFERROR(SMALL(Watchlist!N5:N202,2),0)</f>
        <v/>
      </c>
      <c r="I31" s="94">
        <f>IFERROR(INDEX(Watchlist!O:O,MATCH(SMALL(Watchlist!N5:N202,2),Watchlist!N:N,0)),0)</f>
        <v/>
      </c>
      <c r="J31" s="112">
        <f>IFERROR(INDEX(Watchlist!Y:Y,MATCH(SMALL(Watchlist!N5:N202,2),Watchlist!N:N,0)),0)</f>
        <v/>
      </c>
      <c r="K31" s="101">
        <f>IFERROR(INDEX(Watchlist!Z:Z,MATCH(SMALL(Watchlist!N5:N202,2),Watchlist!N:N,0)),"")</f>
        <v/>
      </c>
    </row>
    <row r="32" ht="15" customHeight="1" s="81">
      <c r="B32" s="99">
        <f>IFERROR(INDEX(Watchlist!A:A,MATCH(SMALL(Watchlist!N5:N202,3),Watchlist!N:N,0)),"")</f>
        <v/>
      </c>
      <c r="C32" s="92">
        <f>IFERROR(INDEX(Watchlist!D:D,MATCH(SMALL(Watchlist!N5:N202,3),Watchlist!N:N,0)),"")</f>
        <v/>
      </c>
      <c r="D32" s="92">
        <f>IFERROR(INDEX(Watchlist!E:E,MATCH(SMALL(Watchlist!N5:N202,3),Watchlist!N:N,0)),"")</f>
        <v/>
      </c>
      <c r="E32" s="93">
        <f>IFERROR(INDEX(Watchlist!H:H,MATCH(SMALL(Watchlist!N5:N202,3),Watchlist!N:N,0)),0)</f>
        <v/>
      </c>
      <c r="F32" s="110">
        <f>IFERROR(INDEX(Watchlist!G:G,MATCH(SMALL(Watchlist!N5:N202,3),Watchlist!N:N,0)),"")</f>
        <v/>
      </c>
      <c r="G32" s="94">
        <f>IFERROR(INDEX(Watchlist!M:M,MATCH(SMALL(Watchlist!N5:N202,3),Watchlist!N:N,0)),0)</f>
        <v/>
      </c>
      <c r="H32" s="111">
        <f>IFERROR(SMALL(Watchlist!N5:N202,3),0)</f>
        <v/>
      </c>
      <c r="I32" s="94">
        <f>IFERROR(INDEX(Watchlist!O:O,MATCH(SMALL(Watchlist!N5:N202,3),Watchlist!N:N,0)),0)</f>
        <v/>
      </c>
      <c r="J32" s="112">
        <f>IFERROR(INDEX(Watchlist!Y:Y,MATCH(SMALL(Watchlist!N5:N202,3),Watchlist!N:N,0)),0)</f>
        <v/>
      </c>
      <c r="K32" s="101">
        <f>IFERROR(INDEX(Watchlist!Z:Z,MATCH(SMALL(Watchlist!N5:N202,3),Watchlist!N:N,0)),"")</f>
        <v/>
      </c>
    </row>
    <row r="33" ht="15" customHeight="1" s="81">
      <c r="B33" s="99">
        <f>IFERROR(INDEX(Watchlist!A:A,MATCH(SMALL(Watchlist!N5:N202,4),Watchlist!N:N,0)),"")</f>
        <v/>
      </c>
      <c r="C33" s="92">
        <f>IFERROR(INDEX(Watchlist!D:D,MATCH(SMALL(Watchlist!N5:N202,4),Watchlist!N:N,0)),"")</f>
        <v/>
      </c>
      <c r="D33" s="92">
        <f>IFERROR(INDEX(Watchlist!E:E,MATCH(SMALL(Watchlist!N5:N202,4),Watchlist!N:N,0)),"")</f>
        <v/>
      </c>
      <c r="E33" s="93">
        <f>IFERROR(INDEX(Watchlist!H:H,MATCH(SMALL(Watchlist!N5:N202,4),Watchlist!N:N,0)),0)</f>
        <v/>
      </c>
      <c r="F33" s="110">
        <f>IFERROR(INDEX(Watchlist!G:G,MATCH(SMALL(Watchlist!N5:N202,4),Watchlist!N:N,0)),"")</f>
        <v/>
      </c>
      <c r="G33" s="94">
        <f>IFERROR(INDEX(Watchlist!M:M,MATCH(SMALL(Watchlist!N5:N202,4),Watchlist!N:N,0)),0)</f>
        <v/>
      </c>
      <c r="H33" s="111">
        <f>IFERROR(SMALL(Watchlist!N5:N202,4),0)</f>
        <v/>
      </c>
      <c r="I33" s="94">
        <f>IFERROR(INDEX(Watchlist!O:O,MATCH(SMALL(Watchlist!N5:N202,4),Watchlist!N:N,0)),0)</f>
        <v/>
      </c>
      <c r="J33" s="112">
        <f>IFERROR(INDEX(Watchlist!Y:Y,MATCH(SMALL(Watchlist!N5:N202,4),Watchlist!N:N,0)),0)</f>
        <v/>
      </c>
      <c r="K33" s="101">
        <f>IFERROR(INDEX(Watchlist!Z:Z,MATCH(SMALL(Watchlist!N5:N202,4),Watchlist!N:N,0)),"")</f>
        <v/>
      </c>
    </row>
    <row r="34" ht="15" customHeight="1" s="81">
      <c r="B34" s="99">
        <f>IFERROR(INDEX(Watchlist!A:A,MATCH(SMALL(Watchlist!N5:N202,5),Watchlist!N:N,0)),"")</f>
        <v/>
      </c>
      <c r="C34" s="92">
        <f>IFERROR(INDEX(Watchlist!D:D,MATCH(SMALL(Watchlist!N5:N202,5),Watchlist!N:N,0)),"")</f>
        <v/>
      </c>
      <c r="D34" s="92">
        <f>IFERROR(INDEX(Watchlist!E:E,MATCH(SMALL(Watchlist!N5:N202,5),Watchlist!N:N,0)),"")</f>
        <v/>
      </c>
      <c r="E34" s="93">
        <f>IFERROR(INDEX(Watchlist!H:H,MATCH(SMALL(Watchlist!N5:N202,5),Watchlist!N:N,0)),0)</f>
        <v/>
      </c>
      <c r="F34" s="110">
        <f>IFERROR(INDEX(Watchlist!G:G,MATCH(SMALL(Watchlist!N5:N202,5),Watchlist!N:N,0)),"")</f>
        <v/>
      </c>
      <c r="G34" s="94">
        <f>IFERROR(INDEX(Watchlist!M:M,MATCH(SMALL(Watchlist!N5:N202,5),Watchlist!N:N,0)),0)</f>
        <v/>
      </c>
      <c r="H34" s="111">
        <f>IFERROR(SMALL(Watchlist!N5:N202,5),0)</f>
        <v/>
      </c>
      <c r="I34" s="94">
        <f>IFERROR(INDEX(Watchlist!O:O,MATCH(SMALL(Watchlist!N5:N202,5),Watchlist!N:N,0)),0)</f>
        <v/>
      </c>
      <c r="J34" s="112">
        <f>IFERROR(INDEX(Watchlist!Y:Y,MATCH(SMALL(Watchlist!N5:N202,5),Watchlist!N:N,0)),0)</f>
        <v/>
      </c>
      <c r="K34" s="101">
        <f>IFERROR(INDEX(Watchlist!Z:Z,MATCH(SMALL(Watchlist!N5:N202,5),Watchlist!N:N,0)),"")</f>
        <v/>
      </c>
    </row>
    <row r="35" ht="15" customHeight="1" s="81">
      <c r="B35" s="99">
        <f>IFERROR(INDEX(Watchlist!A:A,MATCH(SMALL(Watchlist!N5:N202,6),Watchlist!N:N,0)),"")</f>
        <v/>
      </c>
      <c r="C35" s="92">
        <f>IFERROR(INDEX(Watchlist!D:D,MATCH(SMALL(Watchlist!N5:N202,6),Watchlist!N:N,0)),"")</f>
        <v/>
      </c>
      <c r="D35" s="92">
        <f>IFERROR(INDEX(Watchlist!E:E,MATCH(SMALL(Watchlist!N5:N202,6),Watchlist!N:N,0)),"")</f>
        <v/>
      </c>
      <c r="E35" s="93">
        <f>IFERROR(INDEX(Watchlist!H:H,MATCH(SMALL(Watchlist!N5:N202,6),Watchlist!N:N,0)),0)</f>
        <v/>
      </c>
      <c r="F35" s="110">
        <f>IFERROR(INDEX(Watchlist!G:G,MATCH(SMALL(Watchlist!N5:N202,6),Watchlist!N:N,0)),"")</f>
        <v/>
      </c>
      <c r="G35" s="94">
        <f>IFERROR(INDEX(Watchlist!M:M,MATCH(SMALL(Watchlist!N5:N202,6),Watchlist!N:N,0)),0)</f>
        <v/>
      </c>
      <c r="H35" s="111">
        <f>IFERROR(SMALL(Watchlist!N5:N202,6),0)</f>
        <v/>
      </c>
      <c r="I35" s="94">
        <f>IFERROR(INDEX(Watchlist!O:O,MATCH(SMALL(Watchlist!N5:N202,6),Watchlist!N:N,0)),0)</f>
        <v/>
      </c>
      <c r="J35" s="112">
        <f>IFERROR(INDEX(Watchlist!Y:Y,MATCH(SMALL(Watchlist!N5:N202,6),Watchlist!N:N,0)),0)</f>
        <v/>
      </c>
      <c r="K35" s="101">
        <f>IFERROR(INDEX(Watchlist!Z:Z,MATCH(SMALL(Watchlist!N5:N202,6),Watchlist!N:N,0)),"")</f>
        <v/>
      </c>
    </row>
    <row r="36" ht="15" customHeight="1" s="81">
      <c r="B36" s="99">
        <f>IFERROR(INDEX(Watchlist!A:A,MATCH(SMALL(Watchlist!N5:N202,7),Watchlist!N:N,0)),"")</f>
        <v/>
      </c>
      <c r="C36" s="92">
        <f>IFERROR(INDEX(Watchlist!D:D,MATCH(SMALL(Watchlist!N5:N202,7),Watchlist!N:N,0)),"")</f>
        <v/>
      </c>
      <c r="D36" s="92">
        <f>IFERROR(INDEX(Watchlist!E:E,MATCH(SMALL(Watchlist!N5:N202,7),Watchlist!N:N,0)),"")</f>
        <v/>
      </c>
      <c r="E36" s="93">
        <f>IFERROR(INDEX(Watchlist!H:H,MATCH(SMALL(Watchlist!N5:N202,7),Watchlist!N:N,0)),0)</f>
        <v/>
      </c>
      <c r="F36" s="110">
        <f>IFERROR(INDEX(Watchlist!G:G,MATCH(SMALL(Watchlist!N5:N202,7),Watchlist!N:N,0)),"")</f>
        <v/>
      </c>
      <c r="G36" s="94">
        <f>IFERROR(INDEX(Watchlist!M:M,MATCH(SMALL(Watchlist!N5:N202,7),Watchlist!N:N,0)),0)</f>
        <v/>
      </c>
      <c r="H36" s="111">
        <f>IFERROR(SMALL(Watchlist!N5:N202,7),0)</f>
        <v/>
      </c>
      <c r="I36" s="94">
        <f>IFERROR(INDEX(Watchlist!O:O,MATCH(SMALL(Watchlist!N5:N202,7),Watchlist!N:N,0)),0)</f>
        <v/>
      </c>
      <c r="J36" s="112">
        <f>IFERROR(INDEX(Watchlist!Y:Y,MATCH(SMALL(Watchlist!N5:N202,7),Watchlist!N:N,0)),0)</f>
        <v/>
      </c>
      <c r="K36" s="101">
        <f>IFERROR(INDEX(Watchlist!Z:Z,MATCH(SMALL(Watchlist!N5:N202,7),Watchlist!N:N,0)),"")</f>
        <v/>
      </c>
    </row>
    <row r="37" ht="15" customHeight="1" s="81">
      <c r="B37" s="99">
        <f>IFERROR(INDEX(Watchlist!A:A,MATCH(SMALL(Watchlist!N5:N202,8),Watchlist!N:N,0)),"")</f>
        <v/>
      </c>
      <c r="C37" s="92">
        <f>IFERROR(INDEX(Watchlist!D:D,MATCH(SMALL(Watchlist!N5:N202,8),Watchlist!N:N,0)),"")</f>
        <v/>
      </c>
      <c r="D37" s="92">
        <f>IFERROR(INDEX(Watchlist!E:E,MATCH(SMALL(Watchlist!N5:N202,8),Watchlist!N:N,0)),"")</f>
        <v/>
      </c>
      <c r="E37" s="93">
        <f>IFERROR(INDEX(Watchlist!H:H,MATCH(SMALL(Watchlist!N5:N202,8),Watchlist!N:N,0)),0)</f>
        <v/>
      </c>
      <c r="F37" s="110">
        <f>IFERROR(INDEX(Watchlist!G:G,MATCH(SMALL(Watchlist!N5:N202,8),Watchlist!N:N,0)),"")</f>
        <v/>
      </c>
      <c r="G37" s="94">
        <f>IFERROR(INDEX(Watchlist!M:M,MATCH(SMALL(Watchlist!N5:N202,8),Watchlist!N:N,0)),0)</f>
        <v/>
      </c>
      <c r="H37" s="111">
        <f>IFERROR(SMALL(Watchlist!N5:N202,8),0)</f>
        <v/>
      </c>
      <c r="I37" s="94">
        <f>IFERROR(INDEX(Watchlist!O:O,MATCH(SMALL(Watchlist!N5:N202,8),Watchlist!N:N,0)),0)</f>
        <v/>
      </c>
      <c r="J37" s="112">
        <f>IFERROR(INDEX(Watchlist!Y:Y,MATCH(SMALL(Watchlist!N5:N202,8),Watchlist!N:N,0)),0)</f>
        <v/>
      </c>
      <c r="K37" s="101">
        <f>IFERROR(INDEX(Watchlist!Z:Z,MATCH(SMALL(Watchlist!N5:N202,8),Watchlist!N:N,0)),"")</f>
        <v/>
      </c>
    </row>
    <row r="38" ht="15" customHeight="1" s="81">
      <c r="B38" s="99">
        <f>IFERROR(INDEX(Watchlist!A:A,MATCH(SMALL(Watchlist!N5:N202,9),Watchlist!N:N,0)),"")</f>
        <v/>
      </c>
      <c r="C38" s="92">
        <f>IFERROR(INDEX(Watchlist!D:D,MATCH(SMALL(Watchlist!N5:N202,9),Watchlist!N:N,0)),"")</f>
        <v/>
      </c>
      <c r="D38" s="92">
        <f>IFERROR(INDEX(Watchlist!E:E,MATCH(SMALL(Watchlist!N5:N202,9),Watchlist!N:N,0)),"")</f>
        <v/>
      </c>
      <c r="E38" s="93">
        <f>IFERROR(INDEX(Watchlist!H:H,MATCH(SMALL(Watchlist!N5:N202,9),Watchlist!N:N,0)),0)</f>
        <v/>
      </c>
      <c r="F38" s="110">
        <f>IFERROR(INDEX(Watchlist!G:G,MATCH(SMALL(Watchlist!N5:N202,9),Watchlist!N:N,0)),"")</f>
        <v/>
      </c>
      <c r="G38" s="94">
        <f>IFERROR(INDEX(Watchlist!M:M,MATCH(SMALL(Watchlist!N5:N202,9),Watchlist!N:N,0)),0)</f>
        <v/>
      </c>
      <c r="H38" s="111">
        <f>IFERROR(SMALL(Watchlist!N5:N202,9),0)</f>
        <v/>
      </c>
      <c r="I38" s="94">
        <f>IFERROR(INDEX(Watchlist!O:O,MATCH(SMALL(Watchlist!N5:N202,9),Watchlist!N:N,0)),0)</f>
        <v/>
      </c>
      <c r="J38" s="112">
        <f>IFERROR(INDEX(Watchlist!Y:Y,MATCH(SMALL(Watchlist!N5:N202,9),Watchlist!N:N,0)),0)</f>
        <v/>
      </c>
      <c r="K38" s="101">
        <f>IFERROR(INDEX(Watchlist!Z:Z,MATCH(SMALL(Watchlist!N5:N202,9),Watchlist!N:N,0)),"")</f>
        <v/>
      </c>
    </row>
    <row r="39" ht="15" customHeight="1" s="81">
      <c r="B39" s="99">
        <f>IFERROR(INDEX(Watchlist!A:A,MATCH(SMALL(Watchlist!N5:N202,10),Watchlist!N:N,0)),"")</f>
        <v/>
      </c>
      <c r="C39" s="92">
        <f>IFERROR(INDEX(Watchlist!D:D,MATCH(SMALL(Watchlist!N5:N202,10),Watchlist!N:N,0)),"")</f>
        <v/>
      </c>
      <c r="D39" s="92">
        <f>IFERROR(INDEX(Watchlist!E:E,MATCH(SMALL(Watchlist!N5:N202,10),Watchlist!N:N,0)),"")</f>
        <v/>
      </c>
      <c r="E39" s="93">
        <f>IFERROR(INDEX(Watchlist!H:H,MATCH(SMALL(Watchlist!N5:N202,10),Watchlist!N:N,0)),0)</f>
        <v/>
      </c>
      <c r="F39" s="110">
        <f>IFERROR(INDEX(Watchlist!G:G,MATCH(SMALL(Watchlist!N5:N202,10),Watchlist!N:N,0)),"")</f>
        <v/>
      </c>
      <c r="G39" s="94">
        <f>IFERROR(INDEX(Watchlist!M:M,MATCH(SMALL(Watchlist!N5:N202,10),Watchlist!N:N,0)),0)</f>
        <v/>
      </c>
      <c r="H39" s="111">
        <f>IFERROR(SMALL(Watchlist!N5:N202,10),0)</f>
        <v/>
      </c>
      <c r="I39" s="94">
        <f>IFERROR(INDEX(Watchlist!O:O,MATCH(SMALL(Watchlist!N5:N202,10),Watchlist!N:N,0)),0)</f>
        <v/>
      </c>
      <c r="J39" s="112">
        <f>IFERROR(INDEX(Watchlist!Y:Y,MATCH(SMALL(Watchlist!N5:N202,10),Watchlist!N:N,0)),0)</f>
        <v/>
      </c>
      <c r="K39" s="101">
        <f>IFERROR(INDEX(Watchlist!Z:Z,MATCH(SMALL(Watchlist!N5:N202,10),Watchlist!N:N,0)),"")</f>
        <v/>
      </c>
    </row>
  </sheetData>
  <mergeCells count="2">
    <mergeCell ref="B28:K28"/>
    <mergeCell ref="B5:K5"/>
  </mergeCells>
  <conditionalFormatting sqref="H7:H26">
    <cfRule type="expression" rank="0" priority="2" equalAverage="0" aboveAverage="0" dxfId="0" text="" percent="0" bottom="0">
      <formula>$H7&gt;=0.15</formula>
    </cfRule>
    <cfRule type="expression" rank="0" priority="3" equalAverage="0" aboveAverage="0" dxfId="1" text="" percent="0" bottom="0">
      <formula>AND($H7&gt;=0.05,$H7&lt;0.15)</formula>
    </cfRule>
  </conditionalFormatting>
  <conditionalFormatting sqref="H30:H39">
    <cfRule type="expression" rank="0" priority="4" equalAverage="0" aboveAverage="0" dxfId="2" text="" percent="0" bottom="0">
      <formula>$H30&lt;=-0.1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3B5998"/>
    <outlinePr summaryBelow="1" summaryRight="1"/>
    <pageSetUpPr fitToPage="0"/>
  </sheetPr>
  <dimension ref="A1:AB67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80" min="1" max="1"/>
    <col width="18" customWidth="1" style="80" min="2" max="2"/>
    <col width="5" customWidth="1" style="80" min="3" max="3"/>
    <col width="30" customWidth="1" style="80" min="4" max="4"/>
    <col width="22" customWidth="1" style="80" min="5" max="5"/>
    <col width="9" customWidth="1" style="80" min="6" max="6"/>
    <col width="16" customWidth="1" style="80" min="7" max="7"/>
    <col width="12" customWidth="1" style="80" min="8" max="8"/>
    <col width="11" customWidth="1" style="80" min="9" max="12"/>
    <col width="8" customWidth="1" style="80" min="13" max="15"/>
    <col width="11" customWidth="1" style="80" min="16" max="17"/>
    <col width="10" customWidth="1" style="80" min="18" max="18"/>
    <col width="5" customWidth="1" style="80" min="19" max="19"/>
    <col width="9" customWidth="1" style="80" min="20" max="24"/>
    <col width="10" customWidth="1" style="80" min="25" max="25"/>
    <col width="11" customWidth="1" style="80" min="26" max="26"/>
    <col width="42" customWidth="1" style="80" min="27" max="28"/>
  </cols>
  <sheetData>
    <row r="1" ht="21.75" customHeight="1" s="81">
      <c r="A1" s="86" t="inlineStr">
        <is>
          <t>WATCHLIST — 674 Cards with Quant Scoring (May 12, 2026)</t>
        </is>
      </c>
    </row>
    <row r="2" ht="15" customHeight="1" s="81">
      <c r="A2" s="87" t="inlineStr">
        <is>
          <t>Composite Score = 0.4×Momentum + 0.25×Value + 0.2×Scarcity + 0.15×Liquidity. Signals refresh automatically when prices update.</t>
        </is>
      </c>
    </row>
    <row r="4" ht="36" customHeight="1" s="81">
      <c r="A4" s="91" t="inlineStr">
        <is>
          <t>CardID</t>
        </is>
      </c>
      <c r="B4" s="91" t="inlineStr">
        <is>
          <t>Category</t>
        </is>
      </c>
      <c r="C4" s="91" t="inlineStr">
        <is>
          <t>Tier</t>
        </is>
      </c>
      <c r="D4" s="91" t="inlineStr">
        <is>
          <t>Card Name</t>
        </is>
      </c>
      <c r="E4" s="91" t="inlineStr">
        <is>
          <t>Set</t>
        </is>
      </c>
      <c r="F4" s="91" t="inlineStr">
        <is>
          <t>Card #</t>
        </is>
      </c>
      <c r="G4" s="91" t="inlineStr">
        <is>
          <t>Variant / Grade</t>
        </is>
      </c>
      <c r="H4" s="91" t="inlineStr">
        <is>
          <t>Current Price</t>
        </is>
      </c>
      <c r="I4" s="91" t="inlineStr">
        <is>
          <t>Last Updated</t>
        </is>
      </c>
      <c r="J4" s="91" t="inlineStr">
        <is>
          <t>Price 7D Ago</t>
        </is>
      </c>
      <c r="K4" s="91" t="inlineStr">
        <is>
          <t>Price 30D Ago</t>
        </is>
      </c>
      <c r="L4" s="91" t="inlineStr">
        <is>
          <t>Price 90D Ago</t>
        </is>
      </c>
      <c r="M4" s="91" t="inlineStr">
        <is>
          <t>7D %</t>
        </is>
      </c>
      <c r="N4" s="91" t="inlineStr">
        <is>
          <t>30D %</t>
        </is>
      </c>
      <c r="O4" s="91" t="inlineStr">
        <is>
          <t>90D %</t>
        </is>
      </c>
      <c r="P4" s="91" t="inlineStr">
        <is>
          <t>Target Buy</t>
        </is>
      </c>
      <c r="Q4" s="91" t="inlineStr">
        <is>
          <t>Target Sell</t>
        </is>
      </c>
      <c r="R4" s="91" t="inlineStr">
        <is>
          <t>Horizon</t>
        </is>
      </c>
      <c r="S4" s="91" t="inlineStr">
        <is>
          <t>Conf</t>
        </is>
      </c>
      <c r="T4" s="91" t="inlineStr">
        <is>
          <t>Pop PSA10</t>
        </is>
      </c>
      <c r="U4" s="91" t="inlineStr">
        <is>
          <t>Momentum</t>
        </is>
      </c>
      <c r="V4" s="91" t="inlineStr">
        <is>
          <t>Value</t>
        </is>
      </c>
      <c r="W4" s="91" t="inlineStr">
        <is>
          <t>Scarcity</t>
        </is>
      </c>
      <c r="X4" s="91" t="inlineStr">
        <is>
          <t>Liquidity</t>
        </is>
      </c>
      <c r="Y4" s="91" t="inlineStr">
        <is>
          <t>Composite</t>
        </is>
      </c>
      <c r="Z4" s="91" t="inlineStr">
        <is>
          <t>Signal</t>
        </is>
      </c>
      <c r="AA4" s="91" t="inlineStr">
        <is>
          <t>Source URL</t>
        </is>
      </c>
      <c r="AB4" s="91" t="inlineStr">
        <is>
          <t>Notes</t>
        </is>
      </c>
    </row>
    <row r="5" ht="23.25" customHeight="1" s="81">
      <c r="A5" s="99" t="inlineStr">
        <is>
          <t>V001</t>
        </is>
      </c>
      <c r="B5" s="92" t="inlineStr">
        <is>
          <t>Vintage Graded Singles</t>
        </is>
      </c>
      <c r="C5" s="110" t="inlineStr">
        <is>
          <t>T1</t>
        </is>
      </c>
      <c r="D5" s="92" t="inlineStr">
        <is>
          <t>Charizard</t>
        </is>
      </c>
      <c r="E5" s="92" t="inlineStr">
        <is>
          <t>Base Set 1st Edition Shadowless</t>
        </is>
      </c>
      <c r="F5" s="110" t="inlineStr">
        <is>
          <t>4/102</t>
        </is>
      </c>
      <c r="G5" s="110" t="inlineStr">
        <is>
          <t>PSA 9</t>
        </is>
      </c>
      <c r="H5" s="113" t="n">
        <v>32000</v>
      </c>
      <c r="I5" s="114" t="n">
        <v>46153</v>
      </c>
      <c r="J5" s="115" t="n">
        <v>32360.48</v>
      </c>
      <c r="K5" s="115" t="n">
        <v>31986.85</v>
      </c>
      <c r="L5" s="115" t="n">
        <v>30646.16</v>
      </c>
      <c r="M5" s="94">
        <f>IFERROR((H5-J5)/J5,0)</f>
        <v/>
      </c>
      <c r="N5" s="94">
        <f>IFERROR((H5-K5)/K5,0)</f>
        <v/>
      </c>
      <c r="O5" s="94">
        <f>IFERROR((H5-L5)/L5,0)</f>
        <v/>
      </c>
      <c r="P5" s="113" t="n">
        <v>25000</v>
      </c>
      <c r="Q5" s="113" t="n">
        <v>45000</v>
      </c>
      <c r="R5" s="110" t="inlineStr">
        <is>
          <t>5-10yr</t>
        </is>
      </c>
      <c r="S5" s="110" t="n">
        <v>5</v>
      </c>
      <c r="T5" s="116" t="n">
        <v>121</v>
      </c>
      <c r="U5" s="117">
        <f>MAX(0,MIN(100,50+((M5*0.6)+(N5*0.4))*200))</f>
        <v/>
      </c>
      <c r="V5" s="117">
        <f>MAX(20,MIN(100,50+(P5-H5)/P5*100))</f>
        <v/>
      </c>
      <c r="W5" s="117">
        <f>IFERROR(MAX(0,MIN(100,100-LOG10(T5)*16)),60)</f>
        <v/>
      </c>
      <c r="X5" s="117">
        <f>IF(C5="T2",85,IF(C5="T4",70,IF(C5="T1",65,IF(C5="T3",55,45))))</f>
        <v/>
      </c>
      <c r="Y5" s="118">
        <f>U5*0.55+W5*0.20+V5*0.15+X5*0.10+ROW()/1000000</f>
        <v/>
      </c>
      <c r="Z5" s="101">
        <f>IF(Y5&gt;=75,"STRONG BUY",IF(Y5&gt;=60,"BUY",IF(Y5&gt;=40,"HOLD",IF(Y5&gt;=25,"TRIM","SELL"))))</f>
        <v/>
      </c>
      <c r="AA5" s="119" t="inlineStr">
        <is>
          <t>https://www.pricecharting.com/game/pokemon-base-set/charizard-1st-edition-4</t>
        </is>
      </c>
      <c r="AB5" s="102" t="inlineStr">
        <is>
          <t>Crown jewel. PSA 10 is $200K+. Pop ~121 PSA 9 = institutional grade.</t>
        </is>
      </c>
    </row>
    <row r="6" ht="15" customHeight="1" s="81">
      <c r="A6" s="99" t="inlineStr">
        <is>
          <t>V002</t>
        </is>
      </c>
      <c r="B6" s="92" t="inlineStr">
        <is>
          <t>Vintage Graded Singles</t>
        </is>
      </c>
      <c r="C6" s="110" t="inlineStr">
        <is>
          <t>T1</t>
        </is>
      </c>
      <c r="D6" s="92" t="inlineStr">
        <is>
          <t>Charizard</t>
        </is>
      </c>
      <c r="E6" s="92" t="inlineStr">
        <is>
          <t>Base Set 1st Edition Shadowless</t>
        </is>
      </c>
      <c r="F6" s="110" t="inlineStr">
        <is>
          <t>4/102</t>
        </is>
      </c>
      <c r="G6" s="110" t="inlineStr">
        <is>
          <t>PSA 8</t>
        </is>
      </c>
      <c r="H6" s="113" t="n">
        <v>9500</v>
      </c>
      <c r="I6" s="114" t="n">
        <v>46153</v>
      </c>
      <c r="J6" s="115" t="n">
        <v>9551.49</v>
      </c>
      <c r="K6" s="115" t="n">
        <v>9278.6</v>
      </c>
      <c r="L6" s="115" t="n">
        <v>8882.26</v>
      </c>
      <c r="M6" s="94">
        <f>IFERROR((H6-J6)/J6,0)</f>
        <v/>
      </c>
      <c r="N6" s="94">
        <f>IFERROR((H6-K6)/K6,0)</f>
        <v/>
      </c>
      <c r="O6" s="94">
        <f>IFERROR((H6-L6)/L6,0)</f>
        <v/>
      </c>
      <c r="P6" s="113" t="n">
        <v>7500</v>
      </c>
      <c r="Q6" s="113" t="n">
        <v>13000</v>
      </c>
      <c r="R6" s="110" t="inlineStr">
        <is>
          <t>5-10yr</t>
        </is>
      </c>
      <c r="S6" s="110" t="n">
        <v>5</v>
      </c>
      <c r="T6" s="116" t="n">
        <v>980</v>
      </c>
      <c r="U6" s="117">
        <f>MAX(0,MIN(100,50+((M6*0.6)+(N6*0.4))*200))</f>
        <v/>
      </c>
      <c r="V6" s="117">
        <f>MAX(20,MIN(100,50+(P6-H6)/P6*100))</f>
        <v/>
      </c>
      <c r="W6" s="117">
        <f>IFERROR(MAX(0,MIN(100,100-LOG10(T6)*16)),60)</f>
        <v/>
      </c>
      <c r="X6" s="117">
        <f>IF(C6="T2",85,IF(C6="T4",70,IF(C6="T1",65,IF(C6="T3",55,45))))</f>
        <v/>
      </c>
      <c r="Y6" s="118">
        <f>U6*0.55+W6*0.20+V6*0.15+X6*0.10+ROW()/1000000</f>
        <v/>
      </c>
      <c r="Z6" s="101">
        <f>IF(Y6&gt;=75,"STRONG BUY",IF(Y6&gt;=60,"BUY",IF(Y6&gt;=40,"HOLD",IF(Y6&gt;=25,"TRIM","SELL"))))</f>
        <v/>
      </c>
      <c r="AA6" s="119" t="inlineStr">
        <is>
          <t>https://www.pricecharting.com/game/pokemon-base-set/charizard-1st-edition-4</t>
        </is>
      </c>
      <c r="AB6" s="102" t="inlineStr">
        <is>
          <t>PSA 8 entry-tier to 1st Ed Charizard. More liquid.</t>
        </is>
      </c>
    </row>
    <row r="7" ht="23.25" customHeight="1" s="81">
      <c r="A7" s="99" t="inlineStr">
        <is>
          <t>V003</t>
        </is>
      </c>
      <c r="B7" s="92" t="inlineStr">
        <is>
          <t>Vintage Graded Singles</t>
        </is>
      </c>
      <c r="C7" s="110" t="inlineStr">
        <is>
          <t>T1</t>
        </is>
      </c>
      <c r="D7" s="92" t="inlineStr">
        <is>
          <t>Charizard</t>
        </is>
      </c>
      <c r="E7" s="92" t="inlineStr">
        <is>
          <t>Base Set Shadowless</t>
        </is>
      </c>
      <c r="F7" s="110" t="inlineStr">
        <is>
          <t>4/102</t>
        </is>
      </c>
      <c r="G7" s="110" t="inlineStr">
        <is>
          <t>PSA 9</t>
        </is>
      </c>
      <c r="H7" s="113" t="n">
        <v>9500</v>
      </c>
      <c r="I7" s="114" t="n">
        <v>46153</v>
      </c>
      <c r="J7" s="115" t="n">
        <v>9491.389999999999</v>
      </c>
      <c r="K7" s="115" t="n">
        <v>9142.940000000001</v>
      </c>
      <c r="L7" s="115" t="n">
        <v>8803.620000000001</v>
      </c>
      <c r="M7" s="94">
        <f>IFERROR((H7-J7)/J7,0)</f>
        <v/>
      </c>
      <c r="N7" s="94">
        <f>IFERROR((H7-K7)/K7,0)</f>
        <v/>
      </c>
      <c r="O7" s="94">
        <f>IFERROR((H7-L7)/L7,0)</f>
        <v/>
      </c>
      <c r="P7" s="113" t="n">
        <v>7500</v>
      </c>
      <c r="Q7" s="113" t="n">
        <v>13000</v>
      </c>
      <c r="R7" s="110" t="inlineStr">
        <is>
          <t>5-10yr</t>
        </is>
      </c>
      <c r="S7" s="110" t="n">
        <v>5</v>
      </c>
      <c r="T7" s="116" t="n">
        <v>600</v>
      </c>
      <c r="U7" s="117">
        <f>MAX(0,MIN(100,50+((M7*0.6)+(N7*0.4))*200))</f>
        <v/>
      </c>
      <c r="V7" s="117">
        <f>MAX(20,MIN(100,50+(P7-H7)/P7*100))</f>
        <v/>
      </c>
      <c r="W7" s="117">
        <f>IFERROR(MAX(0,MIN(100,100-LOG10(T7)*16)),60)</f>
        <v/>
      </c>
      <c r="X7" s="117">
        <f>IF(C7="T2",85,IF(C7="T4",70,IF(C7="T1",65,IF(C7="T3",55,45))))</f>
        <v/>
      </c>
      <c r="Y7" s="118">
        <f>U7*0.55+W7*0.20+V7*0.15+X7*0.10+ROW()/1000000</f>
        <v/>
      </c>
      <c r="Z7" s="101">
        <f>IF(Y7&gt;=75,"STRONG BUY",IF(Y7&gt;=60,"BUY",IF(Y7&gt;=40,"HOLD",IF(Y7&gt;=25,"TRIM","SELL"))))</f>
        <v/>
      </c>
      <c r="AA7" s="119" t="inlineStr">
        <is>
          <t>https://www.pricecharting.com/game/pokemon-base-set/charizard-shadowless-4</t>
        </is>
      </c>
      <c r="AB7" s="102" t="inlineStr">
        <is>
          <t>Shadowless (no 1st Ed stamp). Affordable Charizard institutional play.</t>
        </is>
      </c>
    </row>
    <row r="8" ht="23.25" customHeight="1" s="81">
      <c r="A8" s="99" t="inlineStr">
        <is>
          <t>V004</t>
        </is>
      </c>
      <c r="B8" s="92" t="inlineStr">
        <is>
          <t>Vintage Graded Singles</t>
        </is>
      </c>
      <c r="C8" s="110" t="inlineStr">
        <is>
          <t>T1</t>
        </is>
      </c>
      <c r="D8" s="92" t="inlineStr">
        <is>
          <t>Charizard</t>
        </is>
      </c>
      <c r="E8" s="92" t="inlineStr">
        <is>
          <t>Base Set Unlimited</t>
        </is>
      </c>
      <c r="F8" s="110" t="inlineStr">
        <is>
          <t>4/102</t>
        </is>
      </c>
      <c r="G8" s="110" t="inlineStr">
        <is>
          <t>PSA 10</t>
        </is>
      </c>
      <c r="H8" s="113" t="n">
        <v>8000</v>
      </c>
      <c r="I8" s="114" t="n">
        <v>46153</v>
      </c>
      <c r="J8" s="115" t="n">
        <v>8057.48</v>
      </c>
      <c r="K8" s="115" t="n">
        <v>7499.61</v>
      </c>
      <c r="L8" s="115" t="n">
        <v>7235.96</v>
      </c>
      <c r="M8" s="94">
        <f>IFERROR((H8-J8)/J8,0)</f>
        <v/>
      </c>
      <c r="N8" s="94">
        <f>IFERROR((H8-K8)/K8,0)</f>
        <v/>
      </c>
      <c r="O8" s="94">
        <f>IFERROR((H8-L8)/L8,0)</f>
        <v/>
      </c>
      <c r="P8" s="113" t="n">
        <v>6000</v>
      </c>
      <c r="Q8" s="113" t="n">
        <v>11000</v>
      </c>
      <c r="R8" s="110" t="inlineStr">
        <is>
          <t>5-10yr</t>
        </is>
      </c>
      <c r="S8" s="110" t="n">
        <v>4</v>
      </c>
      <c r="T8" s="116" t="n">
        <v>1800</v>
      </c>
      <c r="U8" s="117">
        <f>MAX(0,MIN(100,50+((M8*0.6)+(N8*0.4))*200))</f>
        <v/>
      </c>
      <c r="V8" s="117">
        <f>MAX(20,MIN(100,50+(P8-H8)/P8*100))</f>
        <v/>
      </c>
      <c r="W8" s="117">
        <f>IFERROR(MAX(0,MIN(100,100-LOG10(T8)*16)),60)</f>
        <v/>
      </c>
      <c r="X8" s="117">
        <f>IF(C8="T2",85,IF(C8="T4",70,IF(C8="T1",65,IF(C8="T3",55,45))))</f>
        <v/>
      </c>
      <c r="Y8" s="118">
        <f>U8*0.55+W8*0.20+V8*0.15+X8*0.10+ROW()/1000000</f>
        <v/>
      </c>
      <c r="Z8" s="101">
        <f>IF(Y8&gt;=75,"STRONG BUY",IF(Y8&gt;=60,"BUY",IF(Y8&gt;=40,"HOLD",IF(Y8&gt;=25,"TRIM","SELL"))))</f>
        <v/>
      </c>
      <c r="AA8" s="119" t="inlineStr">
        <is>
          <t>https://www.pricecharting.com/game/pokemon-base-set/charizard-4</t>
        </is>
      </c>
      <c r="AB8" s="102" t="inlineStr">
        <is>
          <t>Unlimited PSA 10 ceiling. Recent climb on Mega Charizard reintroduction.</t>
        </is>
      </c>
    </row>
    <row r="9" ht="23.25" customHeight="1" s="81">
      <c r="A9" s="99" t="inlineStr">
        <is>
          <t>V005</t>
        </is>
      </c>
      <c r="B9" s="92" t="inlineStr">
        <is>
          <t>Vintage Graded Singles</t>
        </is>
      </c>
      <c r="C9" s="110" t="inlineStr">
        <is>
          <t>T1</t>
        </is>
      </c>
      <c r="D9" s="92" t="inlineStr">
        <is>
          <t>Charizard</t>
        </is>
      </c>
      <c r="E9" s="92" t="inlineStr">
        <is>
          <t>Base Set Unlimited</t>
        </is>
      </c>
      <c r="F9" s="110" t="inlineStr">
        <is>
          <t>4/102</t>
        </is>
      </c>
      <c r="G9" s="110" t="inlineStr">
        <is>
          <t>PSA 9</t>
        </is>
      </c>
      <c r="H9" s="113" t="n">
        <v>3126</v>
      </c>
      <c r="I9" s="114" t="n">
        <v>46153</v>
      </c>
      <c r="J9" s="115" t="n">
        <v>1776.57</v>
      </c>
      <c r="K9" s="115" t="n">
        <v>1697.73</v>
      </c>
      <c r="L9" s="115" t="n">
        <v>1558.03</v>
      </c>
      <c r="M9" s="94">
        <f>IFERROR((H9-J9)/J9,0)</f>
        <v/>
      </c>
      <c r="N9" s="94">
        <f>IFERROR((H9-K9)/K9,0)</f>
        <v/>
      </c>
      <c r="O9" s="94">
        <f>IFERROR((H9-L9)/L9,0)</f>
        <v/>
      </c>
      <c r="P9" s="113" t="n">
        <v>2300</v>
      </c>
      <c r="Q9" s="113" t="n">
        <v>4700</v>
      </c>
      <c r="R9" s="110" t="inlineStr">
        <is>
          <t>5-10yr</t>
        </is>
      </c>
      <c r="S9" s="110" t="n">
        <v>4</v>
      </c>
      <c r="T9" s="116" t="n">
        <v>4500</v>
      </c>
      <c r="U9" s="117">
        <f>MAX(0,MIN(100,50+((M9*0.6)+(N9*0.4))*200))</f>
        <v/>
      </c>
      <c r="V9" s="117">
        <f>MAX(20,MIN(100,50+(P9-H9)/P9*100))</f>
        <v/>
      </c>
      <c r="W9" s="117">
        <f>IFERROR(MAX(0,MIN(100,100-LOG10(T9)*16)),60)</f>
        <v/>
      </c>
      <c r="X9" s="117">
        <f>IF(C9="T2",85,IF(C9="T4",70,IF(C9="T1",65,IF(C9="T3",55,45))))</f>
        <v/>
      </c>
      <c r="Y9" s="118">
        <f>U9*0.55+W9*0.20+V9*0.15+X9*0.10+ROW()/1000000</f>
        <v/>
      </c>
      <c r="Z9" s="101">
        <f>IF(Y9&gt;=75,"STRONG BUY",IF(Y9&gt;=60,"BUY",IF(Y9&gt;=40,"HOLD",IF(Y9&gt;=25,"TRIM","SELL"))))</f>
        <v/>
      </c>
      <c r="AA9" s="119" t="inlineStr">
        <is>
          <t>https://www.pricecharting.com/game/pokemon-base-set/charizard-4</t>
        </is>
      </c>
      <c r="AB9" s="102" t="inlineStr">
        <is>
          <t>Most accessible holo Charizard. Rides Charizard tide.</t>
        </is>
      </c>
    </row>
    <row r="10" ht="23.25" customHeight="1" s="81">
      <c r="A10" s="99" t="inlineStr">
        <is>
          <t>V006</t>
        </is>
      </c>
      <c r="B10" s="92" t="inlineStr">
        <is>
          <t>Vintage Graded Singles</t>
        </is>
      </c>
      <c r="C10" s="110" t="inlineStr">
        <is>
          <t>T1</t>
        </is>
      </c>
      <c r="D10" s="92" t="inlineStr">
        <is>
          <t>Blastoise</t>
        </is>
      </c>
      <c r="E10" s="92" t="inlineStr">
        <is>
          <t>Base Set 1st Edition Shadowless</t>
        </is>
      </c>
      <c r="F10" s="110" t="inlineStr">
        <is>
          <t>2/102</t>
        </is>
      </c>
      <c r="G10" s="110" t="inlineStr">
        <is>
          <t>PSA 9</t>
        </is>
      </c>
      <c r="H10" s="113" t="n">
        <v>6500</v>
      </c>
      <c r="I10" s="114" t="n">
        <v>46153</v>
      </c>
      <c r="J10" s="115" t="n">
        <v>6519.85</v>
      </c>
      <c r="K10" s="115" t="n">
        <v>6394.47</v>
      </c>
      <c r="L10" s="115" t="n">
        <v>6079.81</v>
      </c>
      <c r="M10" s="94">
        <f>IFERROR((H10-J10)/J10,0)</f>
        <v/>
      </c>
      <c r="N10" s="94">
        <f>IFERROR((H10-K10)/K10,0)</f>
        <v/>
      </c>
      <c r="O10" s="94">
        <f>IFERROR((H10-L10)/L10,0)</f>
        <v/>
      </c>
      <c r="P10" s="113" t="n">
        <v>5000</v>
      </c>
      <c r="Q10" s="113" t="n">
        <v>9000</v>
      </c>
      <c r="R10" s="110" t="inlineStr">
        <is>
          <t>5-10yr</t>
        </is>
      </c>
      <c r="S10" s="110" t="n">
        <v>4</v>
      </c>
      <c r="T10" s="116" t="n">
        <v>280</v>
      </c>
      <c r="U10" s="117">
        <f>MAX(0,MIN(100,50+((M10*0.6)+(N10*0.4))*200))</f>
        <v/>
      </c>
      <c r="V10" s="117">
        <f>MAX(20,MIN(100,50+(P10-H10)/P10*100))</f>
        <v/>
      </c>
      <c r="W10" s="117">
        <f>IFERROR(MAX(0,MIN(100,100-LOG10(T10)*16)),60)</f>
        <v/>
      </c>
      <c r="X10" s="117">
        <f>IF(C10="T2",85,IF(C10="T4",70,IF(C10="T1",65,IF(C10="T3",55,45))))</f>
        <v/>
      </c>
      <c r="Y10" s="118">
        <f>U10*0.55+W10*0.20+V10*0.15+X10*0.10+ROW()/1000000</f>
        <v/>
      </c>
      <c r="Z10" s="101">
        <f>IF(Y10&gt;=75,"STRONG BUY",IF(Y10&gt;=60,"BUY",IF(Y10&gt;=40,"HOLD",IF(Y10&gt;=25,"TRIM","SELL"))))</f>
        <v/>
      </c>
      <c r="AA10" s="119" t="inlineStr">
        <is>
          <t>https://www.pricecharting.com/game/pokemon-base-set/blastoise-1st-edition-2</t>
        </is>
      </c>
      <c r="AB10" s="102" t="inlineStr">
        <is>
          <t>Original starter holo. Less Charizard correlation = portfolio diversifier.</t>
        </is>
      </c>
    </row>
    <row r="11" ht="23.25" customHeight="1" s="81">
      <c r="A11" s="99" t="inlineStr">
        <is>
          <t>V007</t>
        </is>
      </c>
      <c r="B11" s="92" t="inlineStr">
        <is>
          <t>Vintage Graded Singles</t>
        </is>
      </c>
      <c r="C11" s="110" t="inlineStr">
        <is>
          <t>T1</t>
        </is>
      </c>
      <c r="D11" s="92" t="inlineStr">
        <is>
          <t>Venusaur</t>
        </is>
      </c>
      <c r="E11" s="92" t="inlineStr">
        <is>
          <t>Base Set 1st Edition Shadowless</t>
        </is>
      </c>
      <c r="F11" s="110" t="inlineStr">
        <is>
          <t>15/102</t>
        </is>
      </c>
      <c r="G11" s="110" t="inlineStr">
        <is>
          <t>PSA 9</t>
        </is>
      </c>
      <c r="H11" s="113" t="n">
        <v>4800</v>
      </c>
      <c r="I11" s="114" t="n">
        <v>46153</v>
      </c>
      <c r="J11" s="115" t="n">
        <v>4820.96</v>
      </c>
      <c r="K11" s="115" t="n">
        <v>4704.15</v>
      </c>
      <c r="L11" s="115" t="n">
        <v>4655.21</v>
      </c>
      <c r="M11" s="94">
        <f>IFERROR((H11-J11)/J11,0)</f>
        <v/>
      </c>
      <c r="N11" s="94">
        <f>IFERROR((H11-K11)/K11,0)</f>
        <v/>
      </c>
      <c r="O11" s="94">
        <f>IFERROR((H11-L11)/L11,0)</f>
        <v/>
      </c>
      <c r="P11" s="113" t="n">
        <v>3800</v>
      </c>
      <c r="Q11" s="113" t="n">
        <v>6800</v>
      </c>
      <c r="R11" s="110" t="inlineStr">
        <is>
          <t>5-10yr</t>
        </is>
      </c>
      <c r="S11" s="110" t="n">
        <v>4</v>
      </c>
      <c r="T11" s="116" t="n">
        <v>320</v>
      </c>
      <c r="U11" s="117">
        <f>MAX(0,MIN(100,50+((M11*0.6)+(N11*0.4))*200))</f>
        <v/>
      </c>
      <c r="V11" s="117">
        <f>MAX(20,MIN(100,50+(P11-H11)/P11*100))</f>
        <v/>
      </c>
      <c r="W11" s="117">
        <f>IFERROR(MAX(0,MIN(100,100-LOG10(T11)*16)),60)</f>
        <v/>
      </c>
      <c r="X11" s="117">
        <f>IF(C11="T2",85,IF(C11="T4",70,IF(C11="T1",65,IF(C11="T3",55,45))))</f>
        <v/>
      </c>
      <c r="Y11" s="118">
        <f>U11*0.55+W11*0.20+V11*0.15+X11*0.10+ROW()/1000000</f>
        <v/>
      </c>
      <c r="Z11" s="101">
        <f>IF(Y11&gt;=75,"STRONG BUY",IF(Y11&gt;=60,"BUY",IF(Y11&gt;=40,"HOLD",IF(Y11&gt;=25,"TRIM","SELL"))))</f>
        <v/>
      </c>
      <c r="AA11" s="119" t="inlineStr">
        <is>
          <t>https://www.pricecharting.com/game/pokemon-base-set/venusaur-1st-edition-15</t>
        </is>
      </c>
      <c r="AB11" s="102" t="inlineStr">
        <is>
          <t>Cheapest of the 3 1st Ed starter holos. Symmetry play with V001/V006.</t>
        </is>
      </c>
    </row>
    <row r="12" ht="15" customHeight="1" s="81">
      <c r="A12" s="99" t="inlineStr">
        <is>
          <t>V008</t>
        </is>
      </c>
      <c r="B12" s="92" t="inlineStr">
        <is>
          <t>Vintage Graded Singles</t>
        </is>
      </c>
      <c r="C12" s="110" t="inlineStr">
        <is>
          <t>T1</t>
        </is>
      </c>
      <c r="D12" s="92" t="inlineStr">
        <is>
          <t>Chansey</t>
        </is>
      </c>
      <c r="E12" s="92" t="inlineStr">
        <is>
          <t>Base Set 1st Edition</t>
        </is>
      </c>
      <c r="F12" s="110" t="inlineStr">
        <is>
          <t>3/102</t>
        </is>
      </c>
      <c r="G12" s="110" t="inlineStr">
        <is>
          <t>PSA 9</t>
        </is>
      </c>
      <c r="H12" s="113" t="n">
        <v>1100</v>
      </c>
      <c r="I12" s="114" t="n">
        <v>46153</v>
      </c>
      <c r="J12" s="115" t="n">
        <v>1072.31</v>
      </c>
      <c r="K12" s="115" t="n">
        <v>1076.04</v>
      </c>
      <c r="L12" s="115" t="n">
        <v>980.5700000000001</v>
      </c>
      <c r="M12" s="94">
        <f>IFERROR((H12-J12)/J12,0)</f>
        <v/>
      </c>
      <c r="N12" s="94">
        <f>IFERROR((H12-K12)/K12,0)</f>
        <v/>
      </c>
      <c r="O12" s="94">
        <f>IFERROR((H12-L12)/L12,0)</f>
        <v/>
      </c>
      <c r="P12" s="113" t="n">
        <v>850</v>
      </c>
      <c r="Q12" s="113" t="n">
        <v>1500</v>
      </c>
      <c r="R12" s="110" t="inlineStr">
        <is>
          <t>5-10yr</t>
        </is>
      </c>
      <c r="S12" s="110" t="n">
        <v>3</v>
      </c>
      <c r="T12" s="116" t="n">
        <v>850</v>
      </c>
      <c r="U12" s="117">
        <f>MAX(0,MIN(100,50+((M12*0.6)+(N12*0.4))*200))</f>
        <v/>
      </c>
      <c r="V12" s="117">
        <f>MAX(20,MIN(100,50+(P12-H12)/P12*100))</f>
        <v/>
      </c>
      <c r="W12" s="117">
        <f>IFERROR(MAX(0,MIN(100,100-LOG10(T12)*16)),60)</f>
        <v/>
      </c>
      <c r="X12" s="117">
        <f>IF(C12="T2",85,IF(C12="T4",70,IF(C12="T1",65,IF(C12="T3",55,45))))</f>
        <v/>
      </c>
      <c r="Y12" s="118">
        <f>U12*0.55+W12*0.20+V12*0.15+X12*0.10+ROW()/1000000</f>
        <v/>
      </c>
      <c r="Z12" s="101">
        <f>IF(Y12&gt;=75,"STRONG BUY",IF(Y12&gt;=60,"BUY",IF(Y12&gt;=40,"HOLD",IF(Y12&gt;=25,"TRIM","SELL"))))</f>
        <v/>
      </c>
      <c r="AA12" s="119" t="inlineStr">
        <is>
          <t>https://www.pricecharting.com/game/pokemon-base-set/chansey-1st-edition-3</t>
        </is>
      </c>
      <c r="AB12" s="102" t="inlineStr">
        <is>
          <t>Trophy run-up potential. Cheap 1st Ed PSA 9.</t>
        </is>
      </c>
    </row>
    <row r="13" ht="23.25" customHeight="1" s="81">
      <c r="A13" s="99" t="inlineStr">
        <is>
          <t>V009</t>
        </is>
      </c>
      <c r="B13" s="92" t="inlineStr">
        <is>
          <t>Vintage Graded Singles</t>
        </is>
      </c>
      <c r="C13" s="110" t="inlineStr">
        <is>
          <t>T1</t>
        </is>
      </c>
      <c r="D13" s="92" t="inlineStr">
        <is>
          <t>Mewtwo</t>
        </is>
      </c>
      <c r="E13" s="92" t="inlineStr">
        <is>
          <t>Base Set 1st Edition</t>
        </is>
      </c>
      <c r="F13" s="110" t="inlineStr">
        <is>
          <t>10/102</t>
        </is>
      </c>
      <c r="G13" s="110" t="inlineStr">
        <is>
          <t>PSA 9</t>
        </is>
      </c>
      <c r="H13" s="113" t="n">
        <v>1400</v>
      </c>
      <c r="I13" s="114" t="n">
        <v>46153</v>
      </c>
      <c r="J13" s="115" t="n">
        <v>1371.66</v>
      </c>
      <c r="K13" s="115" t="n">
        <v>1323.46</v>
      </c>
      <c r="L13" s="115" t="n">
        <v>1195</v>
      </c>
      <c r="M13" s="94">
        <f>IFERROR((H13-J13)/J13,0)</f>
        <v/>
      </c>
      <c r="N13" s="94">
        <f>IFERROR((H13-K13)/K13,0)</f>
        <v/>
      </c>
      <c r="O13" s="94">
        <f>IFERROR((H13-L13)/L13,0)</f>
        <v/>
      </c>
      <c r="P13" s="113" t="n">
        <v>1100</v>
      </c>
      <c r="Q13" s="113" t="n">
        <v>2000</v>
      </c>
      <c r="R13" s="110" t="inlineStr">
        <is>
          <t>5-10yr</t>
        </is>
      </c>
      <c r="S13" s="110" t="n">
        <v>4</v>
      </c>
      <c r="T13" s="116" t="n">
        <v>700</v>
      </c>
      <c r="U13" s="117">
        <f>MAX(0,MIN(100,50+((M13*0.6)+(N13*0.4))*200))</f>
        <v/>
      </c>
      <c r="V13" s="117">
        <f>MAX(20,MIN(100,50+(P13-H13)/P13*100))</f>
        <v/>
      </c>
      <c r="W13" s="117">
        <f>IFERROR(MAX(0,MIN(100,100-LOG10(T13)*16)),60)</f>
        <v/>
      </c>
      <c r="X13" s="117">
        <f>IF(C13="T2",85,IF(C13="T4",70,IF(C13="T1",65,IF(C13="T3",55,45))))</f>
        <v/>
      </c>
      <c r="Y13" s="118">
        <f>U13*0.55+W13*0.20+V13*0.15+X13*0.10+ROW()/1000000</f>
        <v/>
      </c>
      <c r="Z13" s="101">
        <f>IF(Y13&gt;=75,"STRONG BUY",IF(Y13&gt;=60,"BUY",IF(Y13&gt;=40,"HOLD",IF(Y13&gt;=25,"TRIM","SELL"))))</f>
        <v/>
      </c>
      <c r="AA13" s="119" t="inlineStr">
        <is>
          <t>https://www.pricecharting.com/game/pokemon-base-set/mewtwo-1st-edition-10</t>
        </is>
      </c>
      <c r="AB13" s="102" t="inlineStr">
        <is>
          <t>Mewtwo brand strength; Genesis/Detective Pikachu/Mega exposure.</t>
        </is>
      </c>
    </row>
    <row r="14" ht="15" customHeight="1" s="81">
      <c r="A14" s="99" t="inlineStr">
        <is>
          <t>V010</t>
        </is>
      </c>
      <c r="B14" s="92" t="inlineStr">
        <is>
          <t>Vintage Graded Singles</t>
        </is>
      </c>
      <c r="C14" s="110" t="inlineStr">
        <is>
          <t>T1</t>
        </is>
      </c>
      <c r="D14" s="92" t="inlineStr">
        <is>
          <t>Alakazam</t>
        </is>
      </c>
      <c r="E14" s="92" t="inlineStr">
        <is>
          <t>Base Set 1st Edition</t>
        </is>
      </c>
      <c r="F14" s="110" t="inlineStr">
        <is>
          <t>1/102</t>
        </is>
      </c>
      <c r="G14" s="110" t="inlineStr">
        <is>
          <t>PSA 9</t>
        </is>
      </c>
      <c r="H14" s="113" t="n">
        <v>950</v>
      </c>
      <c r="I14" s="114" t="n">
        <v>46153</v>
      </c>
      <c r="J14" s="115" t="n">
        <v>961.58</v>
      </c>
      <c r="K14" s="115" t="n">
        <v>920.9</v>
      </c>
      <c r="L14" s="115" t="n">
        <v>890.98</v>
      </c>
      <c r="M14" s="94">
        <f>IFERROR((H14-J14)/J14,0)</f>
        <v/>
      </c>
      <c r="N14" s="94">
        <f>IFERROR((H14-K14)/K14,0)</f>
        <v/>
      </c>
      <c r="O14" s="94">
        <f>IFERROR((H14-L14)/L14,0)</f>
        <v/>
      </c>
      <c r="P14" s="113" t="n">
        <v>750</v>
      </c>
      <c r="Q14" s="113" t="n">
        <v>1300</v>
      </c>
      <c r="R14" s="110" t="inlineStr">
        <is>
          <t>5-10yr</t>
        </is>
      </c>
      <c r="S14" s="110" t="n">
        <v>3</v>
      </c>
      <c r="T14" s="116" t="n">
        <v>600</v>
      </c>
      <c r="U14" s="117">
        <f>MAX(0,MIN(100,50+((M14*0.6)+(N14*0.4))*200))</f>
        <v/>
      </c>
      <c r="V14" s="117">
        <f>MAX(20,MIN(100,50+(P14-H14)/P14*100))</f>
        <v/>
      </c>
      <c r="W14" s="117">
        <f>IFERROR(MAX(0,MIN(100,100-LOG10(T14)*16)),60)</f>
        <v/>
      </c>
      <c r="X14" s="117">
        <f>IF(C14="T2",85,IF(C14="T4",70,IF(C14="T1",65,IF(C14="T3",55,45))))</f>
        <v/>
      </c>
      <c r="Y14" s="118">
        <f>U14*0.55+W14*0.20+V14*0.15+X14*0.10+ROW()/1000000</f>
        <v/>
      </c>
      <c r="Z14" s="101">
        <f>IF(Y14&gt;=75,"STRONG BUY",IF(Y14&gt;=60,"BUY",IF(Y14&gt;=40,"HOLD",IF(Y14&gt;=25,"TRIM","SELL"))))</f>
        <v/>
      </c>
      <c r="AA14" s="119" t="inlineStr">
        <is>
          <t>https://www.pricecharting.com/game/pokemon-base-set/alakazam-1st-edition-1</t>
        </is>
      </c>
      <c r="AB14" s="102" t="inlineStr">
        <is>
          <t>Card #1/102 collector premium. Cheap entry.</t>
        </is>
      </c>
    </row>
    <row r="15" ht="15" customHeight="1" s="81">
      <c r="A15" s="99" t="inlineStr">
        <is>
          <t>V011</t>
        </is>
      </c>
      <c r="B15" s="92" t="inlineStr">
        <is>
          <t>Vintage Graded Singles</t>
        </is>
      </c>
      <c r="C15" s="110" t="inlineStr">
        <is>
          <t>T1</t>
        </is>
      </c>
      <c r="D15" s="92" t="inlineStr">
        <is>
          <t>Ninetales</t>
        </is>
      </c>
      <c r="E15" s="92" t="inlineStr">
        <is>
          <t>Base Set 1st Edition</t>
        </is>
      </c>
      <c r="F15" s="110" t="inlineStr">
        <is>
          <t>12/102</t>
        </is>
      </c>
      <c r="G15" s="110" t="inlineStr">
        <is>
          <t>PSA 9</t>
        </is>
      </c>
      <c r="H15" s="113" t="n">
        <v>1100</v>
      </c>
      <c r="I15" s="114" t="n">
        <v>46153</v>
      </c>
      <c r="J15" s="115" t="n">
        <v>1083.78</v>
      </c>
      <c r="K15" s="115" t="n">
        <v>1035.94</v>
      </c>
      <c r="L15" s="115" t="n">
        <v>977.65</v>
      </c>
      <c r="M15" s="94">
        <f>IFERROR((H15-J15)/J15,0)</f>
        <v/>
      </c>
      <c r="N15" s="94">
        <f>IFERROR((H15-K15)/K15,0)</f>
        <v/>
      </c>
      <c r="O15" s="94">
        <f>IFERROR((H15-L15)/L15,0)</f>
        <v/>
      </c>
      <c r="P15" s="113" t="n">
        <v>850</v>
      </c>
      <c r="Q15" s="113" t="n">
        <v>1500</v>
      </c>
      <c r="R15" s="110" t="inlineStr">
        <is>
          <t>5-10yr</t>
        </is>
      </c>
      <c r="S15" s="110" t="n">
        <v>3</v>
      </c>
      <c r="T15" s="116" t="n">
        <v>500</v>
      </c>
      <c r="U15" s="117">
        <f>MAX(0,MIN(100,50+((M15*0.6)+(N15*0.4))*200))</f>
        <v/>
      </c>
      <c r="V15" s="117">
        <f>MAX(20,MIN(100,50+(P15-H15)/P15*100))</f>
        <v/>
      </c>
      <c r="W15" s="117">
        <f>IFERROR(MAX(0,MIN(100,100-LOG10(T15)*16)),60)</f>
        <v/>
      </c>
      <c r="X15" s="117">
        <f>IF(C15="T2",85,IF(C15="T4",70,IF(C15="T1",65,IF(C15="T3",55,45))))</f>
        <v/>
      </c>
      <c r="Y15" s="118">
        <f>U15*0.55+W15*0.20+V15*0.15+X15*0.10+ROW()/1000000</f>
        <v/>
      </c>
      <c r="Z15" s="101">
        <f>IF(Y15&gt;=75,"STRONG BUY",IF(Y15&gt;=60,"BUY",IF(Y15&gt;=40,"HOLD",IF(Y15&gt;=25,"TRIM","SELL"))))</f>
        <v/>
      </c>
      <c r="AA15" s="119" t="inlineStr">
        <is>
          <t>https://www.pricecharting.com/game/pokemon-base-set/ninetales-1st-edition-12</t>
        </is>
      </c>
      <c r="AB15" s="102" t="inlineStr">
        <is>
          <t>Underrated 1st Ed holo. Strong fox IP.</t>
        </is>
      </c>
    </row>
    <row r="16" ht="23.25" customHeight="1" s="81">
      <c r="A16" s="99" t="inlineStr">
        <is>
          <t>V012</t>
        </is>
      </c>
      <c r="B16" s="92" t="inlineStr">
        <is>
          <t>Vintage Graded Singles</t>
        </is>
      </c>
      <c r="C16" s="110" t="inlineStr">
        <is>
          <t>T1</t>
        </is>
      </c>
      <c r="D16" s="92" t="inlineStr">
        <is>
          <t>Zapdos</t>
        </is>
      </c>
      <c r="E16" s="92" t="inlineStr">
        <is>
          <t>Base Set 1st Edition</t>
        </is>
      </c>
      <c r="F16" s="110" t="inlineStr">
        <is>
          <t>16/102</t>
        </is>
      </c>
      <c r="G16" s="110" t="inlineStr">
        <is>
          <t>PSA 9</t>
        </is>
      </c>
      <c r="H16" s="113" t="n">
        <v>1050</v>
      </c>
      <c r="I16" s="114" t="n">
        <v>46153</v>
      </c>
      <c r="J16" s="115" t="n">
        <v>1037.08</v>
      </c>
      <c r="K16" s="115" t="n">
        <v>992.39</v>
      </c>
      <c r="L16" s="115" t="n">
        <v>961.64</v>
      </c>
      <c r="M16" s="94">
        <f>IFERROR((H16-J16)/J16,0)</f>
        <v/>
      </c>
      <c r="N16" s="94">
        <f>IFERROR((H16-K16)/K16,0)</f>
        <v/>
      </c>
      <c r="O16" s="94">
        <f>IFERROR((H16-L16)/L16,0)</f>
        <v/>
      </c>
      <c r="P16" s="113" t="n">
        <v>800</v>
      </c>
      <c r="Q16" s="113" t="n">
        <v>1400</v>
      </c>
      <c r="R16" s="110" t="inlineStr">
        <is>
          <t>5-10yr</t>
        </is>
      </c>
      <c r="S16" s="110" t="n">
        <v>3</v>
      </c>
      <c r="T16" s="116" t="n">
        <v>540</v>
      </c>
      <c r="U16" s="117">
        <f>MAX(0,MIN(100,50+((M16*0.6)+(N16*0.4))*200))</f>
        <v/>
      </c>
      <c r="V16" s="117">
        <f>MAX(20,MIN(100,50+(P16-H16)/P16*100))</f>
        <v/>
      </c>
      <c r="W16" s="117">
        <f>IFERROR(MAX(0,MIN(100,100-LOG10(T16)*16)),60)</f>
        <v/>
      </c>
      <c r="X16" s="117">
        <f>IF(C16="T2",85,IF(C16="T4",70,IF(C16="T1",65,IF(C16="T3",55,45))))</f>
        <v/>
      </c>
      <c r="Y16" s="118">
        <f>U16*0.55+W16*0.20+V16*0.15+X16*0.10+ROW()/1000000</f>
        <v/>
      </c>
      <c r="Z16" s="101">
        <f>IF(Y16&gt;=75,"STRONG BUY",IF(Y16&gt;=60,"BUY",IF(Y16&gt;=40,"HOLD",IF(Y16&gt;=25,"TRIM","SELL"))))</f>
        <v/>
      </c>
      <c r="AA16" s="119" t="inlineStr">
        <is>
          <t>https://www.pricecharting.com/game/pokemon-base-set/zapdos-1st-edition-16</t>
        </is>
      </c>
      <c r="AB16" s="102" t="inlineStr">
        <is>
          <t>Legendary bird 1st Ed. Cheaper than Articuno/Moltres.</t>
        </is>
      </c>
    </row>
    <row r="17" ht="15" customHeight="1" s="81">
      <c r="A17" s="99" t="inlineStr">
        <is>
          <t>V013</t>
        </is>
      </c>
      <c r="B17" s="92" t="inlineStr">
        <is>
          <t>Vintage Graded Singles</t>
        </is>
      </c>
      <c r="C17" s="110" t="inlineStr">
        <is>
          <t>T1</t>
        </is>
      </c>
      <c r="D17" s="92" t="inlineStr">
        <is>
          <t>Pikachu Red Cheeks</t>
        </is>
      </c>
      <c r="E17" s="92" t="inlineStr">
        <is>
          <t>Base Set Shadowless</t>
        </is>
      </c>
      <c r="F17" s="110" t="inlineStr">
        <is>
          <t>58/102</t>
        </is>
      </c>
      <c r="G17" s="110" t="inlineStr">
        <is>
          <t>PSA 10</t>
        </is>
      </c>
      <c r="H17" s="113" t="n">
        <v>2400</v>
      </c>
      <c r="I17" s="114" t="n">
        <v>46153</v>
      </c>
      <c r="J17" s="115" t="n">
        <v>2381.82</v>
      </c>
      <c r="K17" s="115" t="n">
        <v>2237.69</v>
      </c>
      <c r="L17" s="115" t="n">
        <v>2026.54</v>
      </c>
      <c r="M17" s="94">
        <f>IFERROR((H17-J17)/J17,0)</f>
        <v/>
      </c>
      <c r="N17" s="94">
        <f>IFERROR((H17-K17)/K17,0)</f>
        <v/>
      </c>
      <c r="O17" s="94">
        <f>IFERROR((H17-L17)/L17,0)</f>
        <v/>
      </c>
      <c r="P17" s="113" t="n">
        <v>1800</v>
      </c>
      <c r="Q17" s="113" t="n">
        <v>3500</v>
      </c>
      <c r="R17" s="110" t="inlineStr">
        <is>
          <t>5-10yr</t>
        </is>
      </c>
      <c r="S17" s="110" t="n">
        <v>4</v>
      </c>
      <c r="T17" s="116" t="n">
        <v>110</v>
      </c>
      <c r="U17" s="117">
        <f>MAX(0,MIN(100,50+((M17*0.6)+(N17*0.4))*200))</f>
        <v/>
      </c>
      <c r="V17" s="117">
        <f>MAX(20,MIN(100,50+(P17-H17)/P17*100))</f>
        <v/>
      </c>
      <c r="W17" s="117">
        <f>IFERROR(MAX(0,MIN(100,100-LOG10(T17)*16)),60)</f>
        <v/>
      </c>
      <c r="X17" s="117">
        <f>IF(C17="T2",85,IF(C17="T4",70,IF(C17="T1",65,IF(C17="T3",55,45))))</f>
        <v/>
      </c>
      <c r="Y17" s="118">
        <f>U17*0.55+W17*0.20+V17*0.15+X17*0.10+ROW()/1000000</f>
        <v/>
      </c>
      <c r="Z17" s="101">
        <f>IF(Y17&gt;=75,"STRONG BUY",IF(Y17&gt;=60,"BUY",IF(Y17&gt;=40,"HOLD",IF(Y17&gt;=25,"TRIM","SELL"))))</f>
        <v/>
      </c>
      <c r="AA17" s="119" t="inlineStr">
        <is>
          <t>https://www.pricecharting.com/game/pokemon-base-set/pikachu-red-cheeks-58</t>
        </is>
      </c>
      <c r="AB17" s="102" t="inlineStr">
        <is>
          <t>Red cheeks error variant. Tiny PSA 10 pop.</t>
        </is>
      </c>
    </row>
    <row r="18" ht="15" customHeight="1" s="81">
      <c r="A18" s="99" t="inlineStr">
        <is>
          <t>V014</t>
        </is>
      </c>
      <c r="B18" s="92" t="inlineStr">
        <is>
          <t>Vintage Graded Singles</t>
        </is>
      </c>
      <c r="C18" s="110" t="inlineStr">
        <is>
          <t>T1</t>
        </is>
      </c>
      <c r="D18" s="92" t="inlineStr">
        <is>
          <t>Dragonite</t>
        </is>
      </c>
      <c r="E18" s="92" t="inlineStr">
        <is>
          <t>Fossil 1st Edition</t>
        </is>
      </c>
      <c r="F18" s="110" t="inlineStr">
        <is>
          <t>4/62</t>
        </is>
      </c>
      <c r="G18" s="110" t="inlineStr">
        <is>
          <t>PSA 9</t>
        </is>
      </c>
      <c r="H18" s="113" t="n">
        <v>950</v>
      </c>
      <c r="I18" s="114" t="n">
        <v>46153</v>
      </c>
      <c r="J18" s="115" t="n">
        <v>943.72</v>
      </c>
      <c r="K18" s="115" t="n">
        <v>920.5599999999999</v>
      </c>
      <c r="L18" s="115" t="n">
        <v>896.51</v>
      </c>
      <c r="M18" s="94">
        <f>IFERROR((H18-J18)/J18,0)</f>
        <v/>
      </c>
      <c r="N18" s="94">
        <f>IFERROR((H18-K18)/K18,0)</f>
        <v/>
      </c>
      <c r="O18" s="94">
        <f>IFERROR((H18-L18)/L18,0)</f>
        <v/>
      </c>
      <c r="P18" s="113" t="n">
        <v>750</v>
      </c>
      <c r="Q18" s="113" t="n">
        <v>1300</v>
      </c>
      <c r="R18" s="110" t="inlineStr">
        <is>
          <t>5-10yr</t>
        </is>
      </c>
      <c r="S18" s="110" t="n">
        <v>3</v>
      </c>
      <c r="T18" s="116" t="n">
        <v>460</v>
      </c>
      <c r="U18" s="117">
        <f>MAX(0,MIN(100,50+((M18*0.6)+(N18*0.4))*200))</f>
        <v/>
      </c>
      <c r="V18" s="117">
        <f>MAX(20,MIN(100,50+(P18-H18)/P18*100))</f>
        <v/>
      </c>
      <c r="W18" s="117">
        <f>IFERROR(MAX(0,MIN(100,100-LOG10(T18)*16)),60)</f>
        <v/>
      </c>
      <c r="X18" s="117">
        <f>IF(C18="T2",85,IF(C18="T4",70,IF(C18="T1",65,IF(C18="T3",55,45))))</f>
        <v/>
      </c>
      <c r="Y18" s="118">
        <f>U18*0.55+W18*0.20+V18*0.15+X18*0.10+ROW()/1000000</f>
        <v/>
      </c>
      <c r="Z18" s="101">
        <f>IF(Y18&gt;=75,"STRONG BUY",IF(Y18&gt;=60,"BUY",IF(Y18&gt;=40,"HOLD",IF(Y18&gt;=25,"TRIM","SELL"))))</f>
        <v/>
      </c>
      <c r="AA18" s="119" t="inlineStr">
        <is>
          <t>https://www.pricecharting.com/game/pokemon-fossil/dragonite-1st-edition-4</t>
        </is>
      </c>
      <c r="AB18" s="102" t="inlineStr">
        <is>
          <t>Fossil set 1st Ed. Dragon collector pull.</t>
        </is>
      </c>
    </row>
    <row r="19" ht="15" customHeight="1" s="81">
      <c r="A19" s="99" t="inlineStr">
        <is>
          <t>V015</t>
        </is>
      </c>
      <c r="B19" s="92" t="inlineStr">
        <is>
          <t>Vintage Graded Singles</t>
        </is>
      </c>
      <c r="C19" s="110" t="inlineStr">
        <is>
          <t>T1</t>
        </is>
      </c>
      <c r="D19" s="92" t="inlineStr">
        <is>
          <t>Mewtwo</t>
        </is>
      </c>
      <c r="E19" s="92" t="inlineStr">
        <is>
          <t>Fossil 1st Edition</t>
        </is>
      </c>
      <c r="F19" s="110" t="inlineStr">
        <is>
          <t>10/62</t>
        </is>
      </c>
      <c r="G19" s="110" t="inlineStr">
        <is>
          <t>PSA 9</t>
        </is>
      </c>
      <c r="H19" s="113" t="n">
        <v>800</v>
      </c>
      <c r="I19" s="114" t="n">
        <v>46153</v>
      </c>
      <c r="J19" s="115" t="n">
        <v>797.3</v>
      </c>
      <c r="K19" s="115" t="n">
        <v>774.66</v>
      </c>
      <c r="L19" s="115" t="n">
        <v>720.96</v>
      </c>
      <c r="M19" s="94">
        <f>IFERROR((H19-J19)/J19,0)</f>
        <v/>
      </c>
      <c r="N19" s="94">
        <f>IFERROR((H19-K19)/K19,0)</f>
        <v/>
      </c>
      <c r="O19" s="94">
        <f>IFERROR((H19-L19)/L19,0)</f>
        <v/>
      </c>
      <c r="P19" s="113" t="n">
        <v>600</v>
      </c>
      <c r="Q19" s="113" t="n">
        <v>1100</v>
      </c>
      <c r="R19" s="110" t="inlineStr">
        <is>
          <t>5-10yr</t>
        </is>
      </c>
      <c r="S19" s="110" t="n">
        <v>3</v>
      </c>
      <c r="T19" s="116" t="n">
        <v>580</v>
      </c>
      <c r="U19" s="117">
        <f>MAX(0,MIN(100,50+((M19*0.6)+(N19*0.4))*200))</f>
        <v/>
      </c>
      <c r="V19" s="117">
        <f>MAX(20,MIN(100,50+(P19-H19)/P19*100))</f>
        <v/>
      </c>
      <c r="W19" s="117">
        <f>IFERROR(MAX(0,MIN(100,100-LOG10(T19)*16)),60)</f>
        <v/>
      </c>
      <c r="X19" s="117">
        <f>IF(C19="T2",85,IF(C19="T4",70,IF(C19="T1",65,IF(C19="T3",55,45))))</f>
        <v/>
      </c>
      <c r="Y19" s="118">
        <f>U19*0.55+W19*0.20+V19*0.15+X19*0.10+ROW()/1000000</f>
        <v/>
      </c>
      <c r="Z19" s="101">
        <f>IF(Y19&gt;=75,"STRONG BUY",IF(Y19&gt;=60,"BUY",IF(Y19&gt;=40,"HOLD",IF(Y19&gt;=25,"TRIM","SELL"))))</f>
        <v/>
      </c>
      <c r="AA19" s="119" t="inlineStr">
        <is>
          <t>https://www.pricecharting.com/game/pokemon-fossil/mewtwo-1st-edition-10</t>
        </is>
      </c>
      <c r="AB19" s="102" t="inlineStr">
        <is>
          <t>Alt Mewtwo art. Pairs with V009.</t>
        </is>
      </c>
    </row>
    <row r="20" ht="15" customHeight="1" s="81">
      <c r="A20" s="99" t="inlineStr">
        <is>
          <t>V016</t>
        </is>
      </c>
      <c r="B20" s="92" t="inlineStr">
        <is>
          <t>Vintage Graded Singles</t>
        </is>
      </c>
      <c r="C20" s="110" t="inlineStr">
        <is>
          <t>T1</t>
        </is>
      </c>
      <c r="D20" s="92" t="inlineStr">
        <is>
          <t>Lugia</t>
        </is>
      </c>
      <c r="E20" s="92" t="inlineStr">
        <is>
          <t>Neo Genesis 1st Edition</t>
        </is>
      </c>
      <c r="F20" s="110" t="inlineStr">
        <is>
          <t>9/111</t>
        </is>
      </c>
      <c r="G20" s="110" t="inlineStr">
        <is>
          <t>PSA 9</t>
        </is>
      </c>
      <c r="H20" s="113" t="n">
        <v>3800</v>
      </c>
      <c r="I20" s="114" t="n">
        <v>46153</v>
      </c>
      <c r="J20" s="115" t="n">
        <v>3751.42</v>
      </c>
      <c r="K20" s="115" t="n">
        <v>3614.72</v>
      </c>
      <c r="L20" s="115" t="n">
        <v>3347.08</v>
      </c>
      <c r="M20" s="94">
        <f>IFERROR((H20-J20)/J20,0)</f>
        <v/>
      </c>
      <c r="N20" s="94">
        <f>IFERROR((H20-K20)/K20,0)</f>
        <v/>
      </c>
      <c r="O20" s="94">
        <f>IFERROR((H20-L20)/L20,0)</f>
        <v/>
      </c>
      <c r="P20" s="113" t="n">
        <v>3000</v>
      </c>
      <c r="Q20" s="113" t="n">
        <v>5500</v>
      </c>
      <c r="R20" s="110" t="inlineStr">
        <is>
          <t>5-10yr</t>
        </is>
      </c>
      <c r="S20" s="110" t="n">
        <v>4</v>
      </c>
      <c r="T20" s="116" t="n">
        <v>240</v>
      </c>
      <c r="U20" s="117">
        <f>MAX(0,MIN(100,50+((M20*0.6)+(N20*0.4))*200))</f>
        <v/>
      </c>
      <c r="V20" s="117">
        <f>MAX(20,MIN(100,50+(P20-H20)/P20*100))</f>
        <v/>
      </c>
      <c r="W20" s="117">
        <f>IFERROR(MAX(0,MIN(100,100-LOG10(T20)*16)),60)</f>
        <v/>
      </c>
      <c r="X20" s="117">
        <f>IF(C20="T2",85,IF(C20="T4",70,IF(C20="T1",65,IF(C20="T3",55,45))))</f>
        <v/>
      </c>
      <c r="Y20" s="118">
        <f>U20*0.55+W20*0.20+V20*0.15+X20*0.10+ROW()/1000000</f>
        <v/>
      </c>
      <c r="Z20" s="101">
        <f>IF(Y20&gt;=75,"STRONG BUY",IF(Y20&gt;=60,"BUY",IF(Y20&gt;=40,"HOLD",IF(Y20&gt;=25,"TRIM","SELL"))))</f>
        <v/>
      </c>
      <c r="AA20" s="119" t="inlineStr">
        <is>
          <t>https://www.pricecharting.com/game/pokemon-neo-genesis/lugia-1st-edition-9</t>
        </is>
      </c>
      <c r="AB20" s="102" t="inlineStr">
        <is>
          <t>Iconic Neo era holo. PSA 10 is $20K+.</t>
        </is>
      </c>
    </row>
    <row r="21" ht="15" customHeight="1" s="81">
      <c r="A21" s="99" t="inlineStr">
        <is>
          <t>V017</t>
        </is>
      </c>
      <c r="B21" s="92" t="inlineStr">
        <is>
          <t>Vintage Graded Singles</t>
        </is>
      </c>
      <c r="C21" s="110" t="inlineStr">
        <is>
          <t>T1</t>
        </is>
      </c>
      <c r="D21" s="92" t="inlineStr">
        <is>
          <t>Shining Charizard</t>
        </is>
      </c>
      <c r="E21" s="92" t="inlineStr">
        <is>
          <t>Neo Destiny 1st Edition</t>
        </is>
      </c>
      <c r="F21" s="110" t="inlineStr">
        <is>
          <t>107/105</t>
        </is>
      </c>
      <c r="G21" s="110" t="inlineStr">
        <is>
          <t>PSA 9</t>
        </is>
      </c>
      <c r="H21" s="113" t="n">
        <v>4200</v>
      </c>
      <c r="I21" s="114" t="n">
        <v>46153</v>
      </c>
      <c r="J21" s="115" t="n">
        <v>4174.69</v>
      </c>
      <c r="K21" s="115" t="n">
        <v>3973.98</v>
      </c>
      <c r="L21" s="115" t="n">
        <v>3658.46</v>
      </c>
      <c r="M21" s="94">
        <f>IFERROR((H21-J21)/J21,0)</f>
        <v/>
      </c>
      <c r="N21" s="94">
        <f>IFERROR((H21-K21)/K21,0)</f>
        <v/>
      </c>
      <c r="O21" s="94">
        <f>IFERROR((H21-L21)/L21,0)</f>
        <v/>
      </c>
      <c r="P21" s="113" t="n">
        <v>3300</v>
      </c>
      <c r="Q21" s="113" t="n">
        <v>6000</v>
      </c>
      <c r="R21" s="110" t="inlineStr">
        <is>
          <t>5-10yr</t>
        </is>
      </c>
      <c r="S21" s="110" t="n">
        <v>5</v>
      </c>
      <c r="T21" s="116" t="n">
        <v>180</v>
      </c>
      <c r="U21" s="117">
        <f>MAX(0,MIN(100,50+((M21*0.6)+(N21*0.4))*200))</f>
        <v/>
      </c>
      <c r="V21" s="117">
        <f>MAX(20,MIN(100,50+(P21-H21)/P21*100))</f>
        <v/>
      </c>
      <c r="W21" s="117">
        <f>IFERROR(MAX(0,MIN(100,100-LOG10(T21)*16)),60)</f>
        <v/>
      </c>
      <c r="X21" s="117">
        <f>IF(C21="T2",85,IF(C21="T4",70,IF(C21="T1",65,IF(C21="T3",55,45))))</f>
        <v/>
      </c>
      <c r="Y21" s="118">
        <f>U21*0.55+W21*0.20+V21*0.15+X21*0.10+ROW()/1000000</f>
        <v/>
      </c>
      <c r="Z21" s="101">
        <f>IF(Y21&gt;=75,"STRONG BUY",IF(Y21&gt;=60,"BUY",IF(Y21&gt;=40,"HOLD",IF(Y21&gt;=25,"TRIM","SELL"))))</f>
        <v/>
      </c>
      <c r="AA21" s="119" t="inlineStr">
        <is>
          <t>https://www.pricecharting.com/game/pokemon-neo-destiny/shining-charizard-1st-edition-107</t>
        </is>
      </c>
      <c r="AB21" s="102" t="inlineStr">
        <is>
          <t>First Shining Charizard. Highly underprinted.</t>
        </is>
      </c>
    </row>
    <row r="22" ht="23.25" customHeight="1" s="81">
      <c r="A22" s="99" t="inlineStr">
        <is>
          <t>V018</t>
        </is>
      </c>
      <c r="B22" s="92" t="inlineStr">
        <is>
          <t>Vintage Graded Singles</t>
        </is>
      </c>
      <c r="C22" s="110" t="inlineStr">
        <is>
          <t>T1</t>
        </is>
      </c>
      <c r="D22" s="92" t="inlineStr">
        <is>
          <t>Shining Tyranitar</t>
        </is>
      </c>
      <c r="E22" s="92" t="inlineStr">
        <is>
          <t>Neo Destiny 1st Edition</t>
        </is>
      </c>
      <c r="F22" s="110" t="inlineStr">
        <is>
          <t>113/105</t>
        </is>
      </c>
      <c r="G22" s="110" t="inlineStr">
        <is>
          <t>PSA 9</t>
        </is>
      </c>
      <c r="H22" s="113" t="n">
        <v>1800</v>
      </c>
      <c r="I22" s="114" t="n">
        <v>46153</v>
      </c>
      <c r="J22" s="115" t="n">
        <v>1770.47</v>
      </c>
      <c r="K22" s="115" t="n">
        <v>1753.29</v>
      </c>
      <c r="L22" s="115" t="n">
        <v>1650.23</v>
      </c>
      <c r="M22" s="94">
        <f>IFERROR((H22-J22)/J22,0)</f>
        <v/>
      </c>
      <c r="N22" s="94">
        <f>IFERROR((H22-K22)/K22,0)</f>
        <v/>
      </c>
      <c r="O22" s="94">
        <f>IFERROR((H22-L22)/L22,0)</f>
        <v/>
      </c>
      <c r="P22" s="113" t="n">
        <v>1400</v>
      </c>
      <c r="Q22" s="113" t="n">
        <v>2500</v>
      </c>
      <c r="R22" s="110" t="inlineStr">
        <is>
          <t>5-10yr</t>
        </is>
      </c>
      <c r="S22" s="110" t="n">
        <v>4</v>
      </c>
      <c r="T22" s="116" t="n">
        <v>220</v>
      </c>
      <c r="U22" s="117">
        <f>MAX(0,MIN(100,50+((M22*0.6)+(N22*0.4))*200))</f>
        <v/>
      </c>
      <c r="V22" s="117">
        <f>MAX(20,MIN(100,50+(P22-H22)/P22*100))</f>
        <v/>
      </c>
      <c r="W22" s="117">
        <f>IFERROR(MAX(0,MIN(100,100-LOG10(T22)*16)),60)</f>
        <v/>
      </c>
      <c r="X22" s="117">
        <f>IF(C22="T2",85,IF(C22="T4",70,IF(C22="T1",65,IF(C22="T3",55,45))))</f>
        <v/>
      </c>
      <c r="Y22" s="118">
        <f>U22*0.55+W22*0.20+V22*0.15+X22*0.10+ROW()/1000000</f>
        <v/>
      </c>
      <c r="Z22" s="101">
        <f>IF(Y22&gt;=75,"STRONG BUY",IF(Y22&gt;=60,"BUY",IF(Y22&gt;=40,"HOLD",IF(Y22&gt;=25,"TRIM","SELL"))))</f>
        <v/>
      </c>
      <c r="AA22" s="119" t="inlineStr">
        <is>
          <t>https://www.pricecharting.com/game/pokemon-neo-destiny/shining-tyranitar-1st-edition-113</t>
        </is>
      </c>
      <c r="AB22" s="102" t="inlineStr">
        <is>
          <t>Sister card to V017. Lower demand but same scarcity.</t>
        </is>
      </c>
    </row>
    <row r="23" ht="15" customHeight="1" s="81">
      <c r="A23" s="99" t="inlineStr">
        <is>
          <t>V019</t>
        </is>
      </c>
      <c r="B23" s="92" t="inlineStr">
        <is>
          <t>Vintage Graded Singles</t>
        </is>
      </c>
      <c r="C23" s="110" t="inlineStr">
        <is>
          <t>T1</t>
        </is>
      </c>
      <c r="D23" s="92" t="inlineStr">
        <is>
          <t>Pikachu Trophy (Bronze)</t>
        </is>
      </c>
      <c r="E23" s="92" t="inlineStr">
        <is>
          <t>Pokemon World Championships 1999</t>
        </is>
      </c>
      <c r="F23" s="110" t="inlineStr">
        <is>
          <t>Trophy</t>
        </is>
      </c>
      <c r="G23" s="110" t="inlineStr">
        <is>
          <t>PSA 8</t>
        </is>
      </c>
      <c r="H23" s="113" t="n">
        <v>5500</v>
      </c>
      <c r="I23" s="114" t="n">
        <v>46153</v>
      </c>
      <c r="J23" s="115" t="n">
        <v>5371.18</v>
      </c>
      <c r="K23" s="115" t="n">
        <v>5386.49</v>
      </c>
      <c r="L23" s="115" t="n">
        <v>5200.2</v>
      </c>
      <c r="M23" s="94">
        <f>IFERROR((H23-J23)/J23,0)</f>
        <v/>
      </c>
      <c r="N23" s="94">
        <f>IFERROR((H23-K23)/K23,0)</f>
        <v/>
      </c>
      <c r="O23" s="94">
        <f>IFERROR((H23-L23)/L23,0)</f>
        <v/>
      </c>
      <c r="P23" s="113" t="n">
        <v>4500</v>
      </c>
      <c r="Q23" s="113" t="n">
        <v>7500</v>
      </c>
      <c r="R23" s="110" t="inlineStr">
        <is>
          <t>5-10yr</t>
        </is>
      </c>
      <c r="S23" s="110" t="n">
        <v>4</v>
      </c>
      <c r="T23" s="116" t="n">
        <v>80</v>
      </c>
      <c r="U23" s="117">
        <f>MAX(0,MIN(100,50+((M23*0.6)+(N23*0.4))*200))</f>
        <v/>
      </c>
      <c r="V23" s="117">
        <f>MAX(20,MIN(100,50+(P23-H23)/P23*100))</f>
        <v/>
      </c>
      <c r="W23" s="117">
        <f>IFERROR(MAX(0,MIN(100,100-LOG10(T23)*16)),60)</f>
        <v/>
      </c>
      <c r="X23" s="117">
        <f>IF(C23="T2",85,IF(C23="T4",70,IF(C23="T1",65,IF(C23="T3",55,45))))</f>
        <v/>
      </c>
      <c r="Y23" s="118">
        <f>U23*0.55+W23*0.20+V23*0.15+X23*0.10+ROW()/1000000</f>
        <v/>
      </c>
      <c r="Z23" s="101">
        <f>IF(Y23&gt;=75,"STRONG BUY",IF(Y23&gt;=60,"BUY",IF(Y23&gt;=40,"HOLD",IF(Y23&gt;=25,"TRIM","SELL"))))</f>
        <v/>
      </c>
      <c r="AA23" s="119" t="inlineStr">
        <is>
          <t>https://www.pricecharting.com/game/pokemon-promo/pikachu-trophy-bronze</t>
        </is>
      </c>
      <c r="AB23" s="102" t="inlineStr">
        <is>
          <t>Trophy card. Tiny pop. Provenance critical.</t>
        </is>
      </c>
    </row>
    <row r="24" ht="15" customHeight="1" s="81">
      <c r="A24" s="99" t="inlineStr">
        <is>
          <t>V020</t>
        </is>
      </c>
      <c r="B24" s="92" t="inlineStr">
        <is>
          <t>Vintage Graded Singles</t>
        </is>
      </c>
      <c r="C24" s="110" t="inlineStr">
        <is>
          <t>T1</t>
        </is>
      </c>
      <c r="D24" s="92" t="inlineStr">
        <is>
          <t>Charizard Gold Star</t>
        </is>
      </c>
      <c r="E24" s="92" t="inlineStr">
        <is>
          <t>EX Dragon Frontiers</t>
        </is>
      </c>
      <c r="F24" s="110" t="inlineStr">
        <is>
          <t>100/101</t>
        </is>
      </c>
      <c r="G24" s="110" t="inlineStr">
        <is>
          <t>PSA 10</t>
        </is>
      </c>
      <c r="H24" s="113" t="n">
        <v>18000</v>
      </c>
      <c r="I24" s="114" t="n">
        <v>46153</v>
      </c>
      <c r="J24" s="115" t="n">
        <v>17956.63</v>
      </c>
      <c r="K24" s="115" t="n">
        <v>16504.3</v>
      </c>
      <c r="L24" s="115" t="n">
        <v>14802.31</v>
      </c>
      <c r="M24" s="94">
        <f>IFERROR((H24-J24)/J24,0)</f>
        <v/>
      </c>
      <c r="N24" s="94">
        <f>IFERROR((H24-K24)/K24,0)</f>
        <v/>
      </c>
      <c r="O24" s="94">
        <f>IFERROR((H24-L24)/L24,0)</f>
        <v/>
      </c>
      <c r="P24" s="113" t="n">
        <v>14000</v>
      </c>
      <c r="Q24" s="113" t="n">
        <v>25000</v>
      </c>
      <c r="R24" s="110" t="inlineStr">
        <is>
          <t>5-10yr</t>
        </is>
      </c>
      <c r="S24" s="110" t="n">
        <v>5</v>
      </c>
      <c r="T24" s="116" t="n">
        <v>80</v>
      </c>
      <c r="U24" s="117">
        <f>MAX(0,MIN(100,50+((M24*0.6)+(N24*0.4))*200))</f>
        <v/>
      </c>
      <c r="V24" s="117">
        <f>MAX(20,MIN(100,50+(P24-H24)/P24*100))</f>
        <v/>
      </c>
      <c r="W24" s="117">
        <f>IFERROR(MAX(0,MIN(100,100-LOG10(T24)*16)),60)</f>
        <v/>
      </c>
      <c r="X24" s="117">
        <f>IF(C24="T2",85,IF(C24="T4",70,IF(C24="T1",65,IF(C24="T3",55,45))))</f>
        <v/>
      </c>
      <c r="Y24" s="118">
        <f>U24*0.55+W24*0.20+V24*0.15+X24*0.10+ROW()/1000000</f>
        <v/>
      </c>
      <c r="Z24" s="101">
        <f>IF(Y24&gt;=75,"STRONG BUY",IF(Y24&gt;=60,"BUY",IF(Y24&gt;=40,"HOLD",IF(Y24&gt;=25,"TRIM","SELL"))))</f>
        <v/>
      </c>
      <c r="AA24" s="119" t="inlineStr">
        <is>
          <t>https://www.pricecharting.com/game/pokemon-dragon-frontiers/charizard-gold-star-100</t>
        </is>
      </c>
      <c r="AB24" s="102" t="inlineStr">
        <is>
          <t>Gold Star elite tier. Pop ~80 PSA 10.</t>
        </is>
      </c>
    </row>
    <row r="25" ht="15" customHeight="1" s="81">
      <c r="A25" s="99" t="inlineStr">
        <is>
          <t>V021</t>
        </is>
      </c>
      <c r="B25" s="92" t="inlineStr">
        <is>
          <t>Vintage Graded Singles</t>
        </is>
      </c>
      <c r="C25" s="110" t="inlineStr">
        <is>
          <t>T1</t>
        </is>
      </c>
      <c r="D25" s="92" t="inlineStr">
        <is>
          <t>Charizard Gold Star</t>
        </is>
      </c>
      <c r="E25" s="92" t="inlineStr">
        <is>
          <t>EX Dragon Frontiers</t>
        </is>
      </c>
      <c r="F25" s="110" t="inlineStr">
        <is>
          <t>100/101</t>
        </is>
      </c>
      <c r="G25" s="110" t="inlineStr">
        <is>
          <t>PSA 9</t>
        </is>
      </c>
      <c r="H25" s="113" t="n">
        <v>5000</v>
      </c>
      <c r="I25" s="114" t="n">
        <v>46153</v>
      </c>
      <c r="J25" s="115" t="n">
        <v>4841.33</v>
      </c>
      <c r="K25" s="115" t="n">
        <v>4655.22</v>
      </c>
      <c r="L25" s="115" t="n">
        <v>4267.94</v>
      </c>
      <c r="M25" s="94">
        <f>IFERROR((H25-J25)/J25,0)</f>
        <v/>
      </c>
      <c r="N25" s="94">
        <f>IFERROR((H25-K25)/K25,0)</f>
        <v/>
      </c>
      <c r="O25" s="94">
        <f>IFERROR((H25-L25)/L25,0)</f>
        <v/>
      </c>
      <c r="P25" s="113" t="n">
        <v>4000</v>
      </c>
      <c r="Q25" s="113" t="n">
        <v>7500</v>
      </c>
      <c r="R25" s="110" t="inlineStr">
        <is>
          <t>5-10yr</t>
        </is>
      </c>
      <c r="S25" s="110" t="n">
        <v>5</v>
      </c>
      <c r="T25" s="116" t="n">
        <v>200</v>
      </c>
      <c r="U25" s="117">
        <f>MAX(0,MIN(100,50+((M25*0.6)+(N25*0.4))*200))</f>
        <v/>
      </c>
      <c r="V25" s="117">
        <f>MAX(20,MIN(100,50+(P25-H25)/P25*100))</f>
        <v/>
      </c>
      <c r="W25" s="117">
        <f>IFERROR(MAX(0,MIN(100,100-LOG10(T25)*16)),60)</f>
        <v/>
      </c>
      <c r="X25" s="117">
        <f>IF(C25="T2",85,IF(C25="T4",70,IF(C25="T1",65,IF(C25="T3",55,45))))</f>
        <v/>
      </c>
      <c r="Y25" s="118">
        <f>U25*0.55+W25*0.20+V25*0.15+X25*0.10+ROW()/1000000</f>
        <v/>
      </c>
      <c r="Z25" s="101">
        <f>IF(Y25&gt;=75,"STRONG BUY",IF(Y25&gt;=60,"BUY",IF(Y25&gt;=40,"HOLD",IF(Y25&gt;=25,"TRIM","SELL"))))</f>
        <v/>
      </c>
      <c r="AA25" s="119" t="inlineStr">
        <is>
          <t>https://www.pricecharting.com/game/pokemon-dragon-frontiers/charizard-gold-star-100</t>
        </is>
      </c>
      <c r="AB25" s="102" t="inlineStr">
        <is>
          <t>PSA 9 entry to Gold Star Charizard.</t>
        </is>
      </c>
    </row>
    <row r="26" ht="23.25" customHeight="1" s="81">
      <c r="A26" s="99" t="inlineStr">
        <is>
          <t>V022</t>
        </is>
      </c>
      <c r="B26" s="92" t="inlineStr">
        <is>
          <t>Vintage Graded Singles</t>
        </is>
      </c>
      <c r="C26" s="110" t="inlineStr">
        <is>
          <t>T1</t>
        </is>
      </c>
      <c r="D26" s="92" t="inlineStr">
        <is>
          <t>Umbreon Gold Star</t>
        </is>
      </c>
      <c r="E26" s="92" t="inlineStr">
        <is>
          <t>POP Series 5</t>
        </is>
      </c>
      <c r="F26" s="110" t="inlineStr">
        <is>
          <t>17/17</t>
        </is>
      </c>
      <c r="G26" s="110" t="inlineStr">
        <is>
          <t>PSA 9</t>
        </is>
      </c>
      <c r="H26" s="113" t="n">
        <v>12000</v>
      </c>
      <c r="I26" s="114" t="n">
        <v>46153</v>
      </c>
      <c r="J26" s="115" t="n">
        <v>11854.23</v>
      </c>
      <c r="K26" s="115" t="n">
        <v>11099.96</v>
      </c>
      <c r="L26" s="115" t="n">
        <v>9627.92</v>
      </c>
      <c r="M26" s="94">
        <f>IFERROR((H26-J26)/J26,0)</f>
        <v/>
      </c>
      <c r="N26" s="94">
        <f>IFERROR((H26-K26)/K26,0)</f>
        <v/>
      </c>
      <c r="O26" s="94">
        <f>IFERROR((H26-L26)/L26,0)</f>
        <v/>
      </c>
      <c r="P26" s="113" t="n">
        <v>9000</v>
      </c>
      <c r="Q26" s="113" t="n">
        <v>18000</v>
      </c>
      <c r="R26" s="110" t="inlineStr">
        <is>
          <t>5-10yr</t>
        </is>
      </c>
      <c r="S26" s="110" t="n">
        <v>5</v>
      </c>
      <c r="T26" s="116" t="n">
        <v>60</v>
      </c>
      <c r="U26" s="117">
        <f>MAX(0,MIN(100,50+((M26*0.6)+(N26*0.4))*200))</f>
        <v/>
      </c>
      <c r="V26" s="117">
        <f>MAX(20,MIN(100,50+(P26-H26)/P26*100))</f>
        <v/>
      </c>
      <c r="W26" s="117">
        <f>IFERROR(MAX(0,MIN(100,100-LOG10(T26)*16)),60)</f>
        <v/>
      </c>
      <c r="X26" s="117">
        <f>IF(C26="T2",85,IF(C26="T4",70,IF(C26="T1",65,IF(C26="T3",55,45))))</f>
        <v/>
      </c>
      <c r="Y26" s="118">
        <f>U26*0.55+W26*0.20+V26*0.15+X26*0.10+ROW()/1000000</f>
        <v/>
      </c>
      <c r="Z26" s="101">
        <f>IF(Y26&gt;=75,"STRONG BUY",IF(Y26&gt;=60,"BUY",IF(Y26&gt;=40,"HOLD",IF(Y26&gt;=25,"TRIM","SELL"))))</f>
        <v/>
      </c>
      <c r="AA26" s="119" t="inlineStr">
        <is>
          <t>https://www.pricecharting.com/game/pokemon-pop-series-5/umbreon-gold-star-17</t>
        </is>
      </c>
      <c r="AB26" s="102" t="inlineStr">
        <is>
          <t>POP 5 promo. Pop ~60 PSA 9. Compounds Eeveelution premium.</t>
        </is>
      </c>
    </row>
    <row r="27" ht="15" customHeight="1" s="81">
      <c r="A27" s="99" t="inlineStr">
        <is>
          <t>V023</t>
        </is>
      </c>
      <c r="B27" s="92" t="inlineStr">
        <is>
          <t>Vintage Graded Singles</t>
        </is>
      </c>
      <c r="C27" s="110" t="inlineStr">
        <is>
          <t>T1</t>
        </is>
      </c>
      <c r="D27" s="92" t="inlineStr">
        <is>
          <t>Espeon Gold Star</t>
        </is>
      </c>
      <c r="E27" s="92" t="inlineStr">
        <is>
          <t>POP Series 5</t>
        </is>
      </c>
      <c r="F27" s="110" t="inlineStr">
        <is>
          <t>16/17</t>
        </is>
      </c>
      <c r="G27" s="110" t="inlineStr">
        <is>
          <t>PSA 9</t>
        </is>
      </c>
      <c r="H27" s="113" t="n">
        <v>8500</v>
      </c>
      <c r="I27" s="114" t="n">
        <v>46153</v>
      </c>
      <c r="J27" s="115" t="n">
        <v>8447.4</v>
      </c>
      <c r="K27" s="115" t="n">
        <v>7760.94</v>
      </c>
      <c r="L27" s="115" t="n">
        <v>6861.35</v>
      </c>
      <c r="M27" s="94">
        <f>IFERROR((H27-J27)/J27,0)</f>
        <v/>
      </c>
      <c r="N27" s="94">
        <f>IFERROR((H27-K27)/K27,0)</f>
        <v/>
      </c>
      <c r="O27" s="94">
        <f>IFERROR((H27-L27)/L27,0)</f>
        <v/>
      </c>
      <c r="P27" s="113" t="n">
        <v>6500</v>
      </c>
      <c r="Q27" s="113" t="n">
        <v>13000</v>
      </c>
      <c r="R27" s="110" t="inlineStr">
        <is>
          <t>5-10yr</t>
        </is>
      </c>
      <c r="S27" s="110" t="n">
        <v>5</v>
      </c>
      <c r="T27" s="116" t="n">
        <v>70</v>
      </c>
      <c r="U27" s="117">
        <f>MAX(0,MIN(100,50+((M27*0.6)+(N27*0.4))*200))</f>
        <v/>
      </c>
      <c r="V27" s="117">
        <f>MAX(20,MIN(100,50+(P27-H27)/P27*100))</f>
        <v/>
      </c>
      <c r="W27" s="117">
        <f>IFERROR(MAX(0,MIN(100,100-LOG10(T27)*16)),60)</f>
        <v/>
      </c>
      <c r="X27" s="117">
        <f>IF(C27="T2",85,IF(C27="T4",70,IF(C27="T1",65,IF(C27="T3",55,45))))</f>
        <v/>
      </c>
      <c r="Y27" s="118">
        <f>U27*0.55+W27*0.20+V27*0.15+X27*0.10+ROW()/1000000</f>
        <v/>
      </c>
      <c r="Z27" s="101">
        <f>IF(Y27&gt;=75,"STRONG BUY",IF(Y27&gt;=60,"BUY",IF(Y27&gt;=40,"HOLD",IF(Y27&gt;=25,"TRIM","SELL"))))</f>
        <v/>
      </c>
      <c r="AA27" s="119" t="inlineStr">
        <is>
          <t>https://www.pricecharting.com/game/pokemon-pop-series-5/espeon-gold-star-16</t>
        </is>
      </c>
      <c r="AB27" s="102" t="inlineStr">
        <is>
          <t>Sister to V022. Sun + Moon thematic pair.</t>
        </is>
      </c>
    </row>
    <row r="28" ht="23.25" customHeight="1" s="81">
      <c r="A28" s="99" t="inlineStr">
        <is>
          <t>V024</t>
        </is>
      </c>
      <c r="B28" s="92" t="inlineStr">
        <is>
          <t>Vintage Graded Singles</t>
        </is>
      </c>
      <c r="C28" s="110" t="inlineStr">
        <is>
          <t>T1</t>
        </is>
      </c>
      <c r="D28" s="92" t="inlineStr">
        <is>
          <t>Vaporeon Gold Star</t>
        </is>
      </c>
      <c r="E28" s="92" t="inlineStr">
        <is>
          <t>EX Power Keepers</t>
        </is>
      </c>
      <c r="F28" s="110" t="inlineStr">
        <is>
          <t>Gold Star</t>
        </is>
      </c>
      <c r="G28" s="110" t="inlineStr">
        <is>
          <t>PSA 9</t>
        </is>
      </c>
      <c r="H28" s="113" t="n">
        <v>2800</v>
      </c>
      <c r="I28" s="114" t="n">
        <v>46153</v>
      </c>
      <c r="J28" s="115" t="n">
        <v>2772.64</v>
      </c>
      <c r="K28" s="115" t="n">
        <v>2589.68</v>
      </c>
      <c r="L28" s="115" t="n">
        <v>2433.87</v>
      </c>
      <c r="M28" s="94">
        <f>IFERROR((H28-J28)/J28,0)</f>
        <v/>
      </c>
      <c r="N28" s="94">
        <f>IFERROR((H28-K28)/K28,0)</f>
        <v/>
      </c>
      <c r="O28" s="94">
        <f>IFERROR((H28-L28)/L28,0)</f>
        <v/>
      </c>
      <c r="P28" s="113" t="n">
        <v>2200</v>
      </c>
      <c r="Q28" s="113" t="n">
        <v>4000</v>
      </c>
      <c r="R28" s="110" t="inlineStr">
        <is>
          <t>5-10yr</t>
        </is>
      </c>
      <c r="S28" s="110" t="n">
        <v>4</v>
      </c>
      <c r="T28" s="116" t="n">
        <v>180</v>
      </c>
      <c r="U28" s="117">
        <f>MAX(0,MIN(100,50+((M28*0.6)+(N28*0.4))*200))</f>
        <v/>
      </c>
      <c r="V28" s="117">
        <f>MAX(20,MIN(100,50+(P28-H28)/P28*100))</f>
        <v/>
      </c>
      <c r="W28" s="117">
        <f>IFERROR(MAX(0,MIN(100,100-LOG10(T28)*16)),60)</f>
        <v/>
      </c>
      <c r="X28" s="117">
        <f>IF(C28="T2",85,IF(C28="T4",70,IF(C28="T1",65,IF(C28="T3",55,45))))</f>
        <v/>
      </c>
      <c r="Y28" s="118">
        <f>U28*0.55+W28*0.20+V28*0.15+X28*0.10+ROW()/1000000</f>
        <v/>
      </c>
      <c r="Z28" s="101">
        <f>IF(Y28&gt;=75,"STRONG BUY",IF(Y28&gt;=60,"BUY",IF(Y28&gt;=40,"HOLD",IF(Y28&gt;=25,"TRIM","SELL"))))</f>
        <v/>
      </c>
      <c r="AA28" s="119" t="inlineStr">
        <is>
          <t>https://www.pricecharting.com/game/pokemon-ex-power-keepers/vaporeon-gold-star</t>
        </is>
      </c>
      <c r="AB28" s="102" t="inlineStr">
        <is>
          <t>Water Eeveelution Gold Star. Cheapest of the 3 EX-PK.</t>
        </is>
      </c>
    </row>
    <row r="29" ht="15" customHeight="1" s="81">
      <c r="A29" s="99" t="inlineStr">
        <is>
          <t>V025</t>
        </is>
      </c>
      <c r="B29" s="92" t="inlineStr">
        <is>
          <t>Vintage Graded Singles</t>
        </is>
      </c>
      <c r="C29" s="110" t="inlineStr">
        <is>
          <t>T1</t>
        </is>
      </c>
      <c r="D29" s="92" t="inlineStr">
        <is>
          <t>Jolteon Gold Star</t>
        </is>
      </c>
      <c r="E29" s="92" t="inlineStr">
        <is>
          <t>EX Power Keepers</t>
        </is>
      </c>
      <c r="F29" s="110" t="inlineStr">
        <is>
          <t>Gold Star</t>
        </is>
      </c>
      <c r="G29" s="110" t="inlineStr">
        <is>
          <t>PSA 9</t>
        </is>
      </c>
      <c r="H29" s="113" t="n">
        <v>2400</v>
      </c>
      <c r="I29" s="114" t="n">
        <v>46153</v>
      </c>
      <c r="J29" s="115" t="n">
        <v>2407.46</v>
      </c>
      <c r="K29" s="115" t="n">
        <v>2274.81</v>
      </c>
      <c r="L29" s="115" t="n">
        <v>2123.87</v>
      </c>
      <c r="M29" s="94">
        <f>IFERROR((H29-J29)/J29,0)</f>
        <v/>
      </c>
      <c r="N29" s="94">
        <f>IFERROR((H29-K29)/K29,0)</f>
        <v/>
      </c>
      <c r="O29" s="94">
        <f>IFERROR((H29-L29)/L29,0)</f>
        <v/>
      </c>
      <c r="P29" s="113" t="n">
        <v>1900</v>
      </c>
      <c r="Q29" s="113" t="n">
        <v>3500</v>
      </c>
      <c r="R29" s="110" t="inlineStr">
        <is>
          <t>5-10yr</t>
        </is>
      </c>
      <c r="S29" s="110" t="n">
        <v>4</v>
      </c>
      <c r="T29" s="116" t="n">
        <v>200</v>
      </c>
      <c r="U29" s="117">
        <f>MAX(0,MIN(100,50+((M29*0.6)+(N29*0.4))*200))</f>
        <v/>
      </c>
      <c r="V29" s="117">
        <f>MAX(20,MIN(100,50+(P29-H29)/P29*100))</f>
        <v/>
      </c>
      <c r="W29" s="117">
        <f>IFERROR(MAX(0,MIN(100,100-LOG10(T29)*16)),60)</f>
        <v/>
      </c>
      <c r="X29" s="117">
        <f>IF(C29="T2",85,IF(C29="T4",70,IF(C29="T1",65,IF(C29="T3",55,45))))</f>
        <v/>
      </c>
      <c r="Y29" s="118">
        <f>U29*0.55+W29*0.20+V29*0.15+X29*0.10+ROW()/1000000</f>
        <v/>
      </c>
      <c r="Z29" s="101">
        <f>IF(Y29&gt;=75,"STRONG BUY",IF(Y29&gt;=60,"BUY",IF(Y29&gt;=40,"HOLD",IF(Y29&gt;=25,"TRIM","SELL"))))</f>
        <v/>
      </c>
      <c r="AA29" s="119" t="inlineStr">
        <is>
          <t>https://www.pricecharting.com/game/pokemon-ex-power-keepers/jolteon-gold-star</t>
        </is>
      </c>
      <c r="AB29" s="102" t="inlineStr">
        <is>
          <t>Electric Eeveelution. Tracks Vaporeon ±10%.</t>
        </is>
      </c>
    </row>
    <row r="30" ht="23.25" customHeight="1" s="81">
      <c r="A30" s="99" t="inlineStr">
        <is>
          <t>V026</t>
        </is>
      </c>
      <c r="B30" s="92" t="inlineStr">
        <is>
          <t>Vintage Graded Singles</t>
        </is>
      </c>
      <c r="C30" s="110" t="inlineStr">
        <is>
          <t>T1</t>
        </is>
      </c>
      <c r="D30" s="92" t="inlineStr">
        <is>
          <t>Flareon Gold Star</t>
        </is>
      </c>
      <c r="E30" s="92" t="inlineStr">
        <is>
          <t>EX Power Keepers</t>
        </is>
      </c>
      <c r="F30" s="110" t="inlineStr">
        <is>
          <t>Gold Star</t>
        </is>
      </c>
      <c r="G30" s="110" t="inlineStr">
        <is>
          <t>PSA 9</t>
        </is>
      </c>
      <c r="H30" s="113" t="n">
        <v>2600</v>
      </c>
      <c r="I30" s="114" t="n">
        <v>46153</v>
      </c>
      <c r="J30" s="115" t="n">
        <v>2597.49</v>
      </c>
      <c r="K30" s="115" t="n">
        <v>2460.21</v>
      </c>
      <c r="L30" s="115" t="n">
        <v>2303.26</v>
      </c>
      <c r="M30" s="94">
        <f>IFERROR((H30-J30)/J30,0)</f>
        <v/>
      </c>
      <c r="N30" s="94">
        <f>IFERROR((H30-K30)/K30,0)</f>
        <v/>
      </c>
      <c r="O30" s="94">
        <f>IFERROR((H30-L30)/L30,0)</f>
        <v/>
      </c>
      <c r="P30" s="113" t="n">
        <v>2000</v>
      </c>
      <c r="Q30" s="113" t="n">
        <v>3700</v>
      </c>
      <c r="R30" s="110" t="inlineStr">
        <is>
          <t>5-10yr</t>
        </is>
      </c>
      <c r="S30" s="110" t="n">
        <v>4</v>
      </c>
      <c r="T30" s="116" t="n">
        <v>175</v>
      </c>
      <c r="U30" s="117">
        <f>MAX(0,MIN(100,50+((M30*0.6)+(N30*0.4))*200))</f>
        <v/>
      </c>
      <c r="V30" s="117">
        <f>MAX(20,MIN(100,50+(P30-H30)/P30*100))</f>
        <v/>
      </c>
      <c r="W30" s="117">
        <f>IFERROR(MAX(0,MIN(100,100-LOG10(T30)*16)),60)</f>
        <v/>
      </c>
      <c r="X30" s="117">
        <f>IF(C30="T2",85,IF(C30="T4",70,IF(C30="T1",65,IF(C30="T3",55,45))))</f>
        <v/>
      </c>
      <c r="Y30" s="118">
        <f>U30*0.55+W30*0.20+V30*0.15+X30*0.10+ROW()/1000000</f>
        <v/>
      </c>
      <c r="Z30" s="101">
        <f>IF(Y30&gt;=75,"STRONG BUY",IF(Y30&gt;=60,"BUY",IF(Y30&gt;=40,"HOLD",IF(Y30&gt;=25,"TRIM","SELL"))))</f>
        <v/>
      </c>
      <c r="AA30" s="119" t="inlineStr">
        <is>
          <t>https://www.pricecharting.com/game/pokemon-ex-power-keepers/flareon-gold-star</t>
        </is>
      </c>
      <c r="AB30" s="102" t="inlineStr">
        <is>
          <t>Fire Eeveelution. Buy all 3 EX-PK Gold Stars as a set.</t>
        </is>
      </c>
    </row>
    <row r="31" ht="15" customHeight="1" s="81">
      <c r="A31" s="99" t="inlineStr">
        <is>
          <t>V027</t>
        </is>
      </c>
      <c r="B31" s="92" t="inlineStr">
        <is>
          <t>Vintage Graded Singles</t>
        </is>
      </c>
      <c r="C31" s="110" t="inlineStr">
        <is>
          <t>T1</t>
        </is>
      </c>
      <c r="D31" s="92" t="inlineStr">
        <is>
          <t>Rayquaza Gold Star</t>
        </is>
      </c>
      <c r="E31" s="92" t="inlineStr">
        <is>
          <t>EX Deoxys</t>
        </is>
      </c>
      <c r="F31" s="110" t="inlineStr">
        <is>
          <t>Gold Star</t>
        </is>
      </c>
      <c r="G31" s="110" t="inlineStr">
        <is>
          <t>PSA 9</t>
        </is>
      </c>
      <c r="H31" s="113" t="n">
        <v>4200</v>
      </c>
      <c r="I31" s="114" t="n">
        <v>46153</v>
      </c>
      <c r="J31" s="115" t="n">
        <v>4181.4</v>
      </c>
      <c r="K31" s="115" t="n">
        <v>3848.23</v>
      </c>
      <c r="L31" s="115" t="n">
        <v>3527.92</v>
      </c>
      <c r="M31" s="94">
        <f>IFERROR((H31-J31)/J31,0)</f>
        <v/>
      </c>
      <c r="N31" s="94">
        <f>IFERROR((H31-K31)/K31,0)</f>
        <v/>
      </c>
      <c r="O31" s="94">
        <f>IFERROR((H31-L31)/L31,0)</f>
        <v/>
      </c>
      <c r="P31" s="113" t="n">
        <v>3300</v>
      </c>
      <c r="Q31" s="113" t="n">
        <v>6000</v>
      </c>
      <c r="R31" s="110" t="inlineStr">
        <is>
          <t>5-10yr</t>
        </is>
      </c>
      <c r="S31" s="110" t="n">
        <v>5</v>
      </c>
      <c r="T31" s="116" t="n">
        <v>140</v>
      </c>
      <c r="U31" s="117">
        <f>MAX(0,MIN(100,50+((M31*0.6)+(N31*0.4))*200))</f>
        <v/>
      </c>
      <c r="V31" s="117">
        <f>MAX(20,MIN(100,50+(P31-H31)/P31*100))</f>
        <v/>
      </c>
      <c r="W31" s="117">
        <f>IFERROR(MAX(0,MIN(100,100-LOG10(T31)*16)),60)</f>
        <v/>
      </c>
      <c r="X31" s="117">
        <f>IF(C31="T2",85,IF(C31="T4",70,IF(C31="T1",65,IF(C31="T3",55,45))))</f>
        <v/>
      </c>
      <c r="Y31" s="118">
        <f>U31*0.55+W31*0.20+V31*0.15+X31*0.10+ROW()/1000000</f>
        <v/>
      </c>
      <c r="Z31" s="101">
        <f>IF(Y31&gt;=75,"STRONG BUY",IF(Y31&gt;=60,"BUY",IF(Y31&gt;=40,"HOLD",IF(Y31&gt;=25,"TRIM","SELL"))))</f>
        <v/>
      </c>
      <c r="AA31" s="119" t="inlineStr">
        <is>
          <t>https://www.pricecharting.com/game/pokemon-ex-deoxys/rayquaza-gold-star</t>
        </is>
      </c>
      <c r="AB31" s="102" t="inlineStr">
        <is>
          <t>Iconic art. Mega Rayquaza tie-in.</t>
        </is>
      </c>
    </row>
    <row r="32" ht="15" customHeight="1" s="81">
      <c r="A32" s="99" t="inlineStr">
        <is>
          <t>V028</t>
        </is>
      </c>
      <c r="B32" s="92" t="inlineStr">
        <is>
          <t>Vintage Graded Singles</t>
        </is>
      </c>
      <c r="C32" s="110" t="inlineStr">
        <is>
          <t>T1</t>
        </is>
      </c>
      <c r="D32" s="92" t="inlineStr">
        <is>
          <t>Mew Gold Star</t>
        </is>
      </c>
      <c r="E32" s="92" t="inlineStr">
        <is>
          <t>EX Holon Phantoms</t>
        </is>
      </c>
      <c r="F32" s="110" t="inlineStr">
        <is>
          <t>Gold Star</t>
        </is>
      </c>
      <c r="G32" s="110" t="inlineStr">
        <is>
          <t>PSA 9</t>
        </is>
      </c>
      <c r="H32" s="113" t="n">
        <v>2200</v>
      </c>
      <c r="I32" s="114" t="n">
        <v>46153</v>
      </c>
      <c r="J32" s="115" t="n">
        <v>2147.49</v>
      </c>
      <c r="K32" s="115" t="n">
        <v>2138.58</v>
      </c>
      <c r="L32" s="115" t="n">
        <v>1968.19</v>
      </c>
      <c r="M32" s="94">
        <f>IFERROR((H32-J32)/J32,0)</f>
        <v/>
      </c>
      <c r="N32" s="94">
        <f>IFERROR((H32-K32)/K32,0)</f>
        <v/>
      </c>
      <c r="O32" s="94">
        <f>IFERROR((H32-L32)/L32,0)</f>
        <v/>
      </c>
      <c r="P32" s="113" t="n">
        <v>1700</v>
      </c>
      <c r="Q32" s="113" t="n">
        <v>3200</v>
      </c>
      <c r="R32" s="110" t="inlineStr">
        <is>
          <t>5-10yr</t>
        </is>
      </c>
      <c r="S32" s="110" t="n">
        <v>4</v>
      </c>
      <c r="T32" s="116" t="n">
        <v>240</v>
      </c>
      <c r="U32" s="117">
        <f>MAX(0,MIN(100,50+((M32*0.6)+(N32*0.4))*200))</f>
        <v/>
      </c>
      <c r="V32" s="117">
        <f>MAX(20,MIN(100,50+(P32-H32)/P32*100))</f>
        <v/>
      </c>
      <c r="W32" s="117">
        <f>IFERROR(MAX(0,MIN(100,100-LOG10(T32)*16)),60)</f>
        <v/>
      </c>
      <c r="X32" s="117">
        <f>IF(C32="T2",85,IF(C32="T4",70,IF(C32="T1",65,IF(C32="T3",55,45))))</f>
        <v/>
      </c>
      <c r="Y32" s="118">
        <f>U32*0.55+W32*0.20+V32*0.15+X32*0.10+ROW()/1000000</f>
        <v/>
      </c>
      <c r="Z32" s="101">
        <f>IF(Y32&gt;=75,"STRONG BUY",IF(Y32&gt;=60,"BUY",IF(Y32&gt;=40,"HOLD",IF(Y32&gt;=25,"TRIM","SELL"))))</f>
        <v/>
      </c>
      <c r="AA32" s="119" t="inlineStr">
        <is>
          <t>https://www.pricecharting.com/game/pokemon-ex-holon-phantoms/mew-gold-star</t>
        </is>
      </c>
      <c r="AB32" s="102" t="inlineStr">
        <is>
          <t>Mew brand strength. Pikachu Illustrator halo effect.</t>
        </is>
      </c>
    </row>
    <row r="33" ht="23.25" customHeight="1" s="81">
      <c r="A33" s="99" t="inlineStr">
        <is>
          <t>V029</t>
        </is>
      </c>
      <c r="B33" s="92" t="inlineStr">
        <is>
          <t>Vintage Graded Singles</t>
        </is>
      </c>
      <c r="C33" s="110" t="inlineStr">
        <is>
          <t>T1</t>
        </is>
      </c>
      <c r="D33" s="92" t="inlineStr">
        <is>
          <t>Glaceon Gold Star</t>
        </is>
      </c>
      <c r="E33" s="92" t="inlineStr">
        <is>
          <t>Diamond &amp; Pearl Promos</t>
        </is>
      </c>
      <c r="F33" s="110" t="inlineStr">
        <is>
          <t>DP38</t>
        </is>
      </c>
      <c r="G33" s="110" t="inlineStr">
        <is>
          <t>PSA 9</t>
        </is>
      </c>
      <c r="H33" s="113" t="n">
        <v>1100</v>
      </c>
      <c r="I33" s="114" t="n">
        <v>46153</v>
      </c>
      <c r="J33" s="115" t="n">
        <v>1088.44</v>
      </c>
      <c r="K33" s="115" t="n">
        <v>1042.2</v>
      </c>
      <c r="L33" s="115" t="n">
        <v>962.26</v>
      </c>
      <c r="M33" s="94">
        <f>IFERROR((H33-J33)/J33,0)</f>
        <v/>
      </c>
      <c r="N33" s="94">
        <f>IFERROR((H33-K33)/K33,0)</f>
        <v/>
      </c>
      <c r="O33" s="94">
        <f>IFERROR((H33-L33)/L33,0)</f>
        <v/>
      </c>
      <c r="P33" s="113" t="n">
        <v>850</v>
      </c>
      <c r="Q33" s="113" t="n">
        <v>1600</v>
      </c>
      <c r="R33" s="110" t="inlineStr">
        <is>
          <t>5-10yr</t>
        </is>
      </c>
      <c r="S33" s="110" t="n">
        <v>4</v>
      </c>
      <c r="T33" s="116" t="n">
        <v>180</v>
      </c>
      <c r="U33" s="117">
        <f>MAX(0,MIN(100,50+((M33*0.6)+(N33*0.4))*200))</f>
        <v/>
      </c>
      <c r="V33" s="117">
        <f>MAX(20,MIN(100,50+(P33-H33)/P33*100))</f>
        <v/>
      </c>
      <c r="W33" s="117">
        <f>IFERROR(MAX(0,MIN(100,100-LOG10(T33)*16)),60)</f>
        <v/>
      </c>
      <c r="X33" s="117">
        <f>IF(C33="T2",85,IF(C33="T4",70,IF(C33="T1",65,IF(C33="T3",55,45))))</f>
        <v/>
      </c>
      <c r="Y33" s="118">
        <f>U33*0.55+W33*0.20+V33*0.15+X33*0.10+ROW()/1000000</f>
        <v/>
      </c>
      <c r="Z33" s="101">
        <f>IF(Y33&gt;=75,"STRONG BUY",IF(Y33&gt;=60,"BUY",IF(Y33&gt;=40,"HOLD",IF(Y33&gt;=25,"TRIM","SELL"))))</f>
        <v/>
      </c>
      <c r="AA33" s="119" t="inlineStr">
        <is>
          <t>https://www.pricecharting.com/game/pokemon-diamond-and-pearl-promos/glaceon-gold-star-dp38</t>
        </is>
      </c>
      <c r="AB33" s="102" t="inlineStr">
        <is>
          <t>Newer Eeveelution Gold Star. Stacks with V022/V023.</t>
        </is>
      </c>
    </row>
    <row r="34" ht="15" customHeight="1" s="81">
      <c r="A34" s="99" t="inlineStr">
        <is>
          <t>V030</t>
        </is>
      </c>
      <c r="B34" s="92" t="inlineStr">
        <is>
          <t>Vintage Graded Singles</t>
        </is>
      </c>
      <c r="C34" s="110" t="inlineStr">
        <is>
          <t>T1</t>
        </is>
      </c>
      <c r="D34" s="92" t="inlineStr">
        <is>
          <t>Leafeon Gold Star</t>
        </is>
      </c>
      <c r="E34" s="92" t="inlineStr">
        <is>
          <t>Diamond &amp; Pearl Promos</t>
        </is>
      </c>
      <c r="F34" s="110" t="inlineStr">
        <is>
          <t>DP37</t>
        </is>
      </c>
      <c r="G34" s="110" t="inlineStr">
        <is>
          <t>PSA 9</t>
        </is>
      </c>
      <c r="H34" s="113" t="n">
        <v>950</v>
      </c>
      <c r="I34" s="114" t="n">
        <v>46153</v>
      </c>
      <c r="J34" s="115" t="n">
        <v>934.66</v>
      </c>
      <c r="K34" s="115" t="n">
        <v>895.9</v>
      </c>
      <c r="L34" s="115" t="n">
        <v>836.41</v>
      </c>
      <c r="M34" s="94">
        <f>IFERROR((H34-J34)/J34,0)</f>
        <v/>
      </c>
      <c r="N34" s="94">
        <f>IFERROR((H34-K34)/K34,0)</f>
        <v/>
      </c>
      <c r="O34" s="94">
        <f>IFERROR((H34-L34)/L34,0)</f>
        <v/>
      </c>
      <c r="P34" s="113" t="n">
        <v>750</v>
      </c>
      <c r="Q34" s="113" t="n">
        <v>1400</v>
      </c>
      <c r="R34" s="110" t="inlineStr">
        <is>
          <t>5-10yr</t>
        </is>
      </c>
      <c r="S34" s="110" t="n">
        <v>4</v>
      </c>
      <c r="T34" s="116" t="n">
        <v>195</v>
      </c>
      <c r="U34" s="117">
        <f>MAX(0,MIN(100,50+((M34*0.6)+(N34*0.4))*200))</f>
        <v/>
      </c>
      <c r="V34" s="117">
        <f>MAX(20,MIN(100,50+(P34-H34)/P34*100))</f>
        <v/>
      </c>
      <c r="W34" s="117">
        <f>IFERROR(MAX(0,MIN(100,100-LOG10(T34)*16)),60)</f>
        <v/>
      </c>
      <c r="X34" s="117">
        <f>IF(C34="T2",85,IF(C34="T4",70,IF(C34="T1",65,IF(C34="T3",55,45))))</f>
        <v/>
      </c>
      <c r="Y34" s="118">
        <f>U34*0.55+W34*0.20+V34*0.15+X34*0.10+ROW()/1000000</f>
        <v/>
      </c>
      <c r="Z34" s="101">
        <f>IF(Y34&gt;=75,"STRONG BUY",IF(Y34&gt;=60,"BUY",IF(Y34&gt;=40,"HOLD",IF(Y34&gt;=25,"TRIM","SELL"))))</f>
        <v/>
      </c>
      <c r="AA34" s="119" t="inlineStr">
        <is>
          <t>https://www.pricecharting.com/game/pokemon-diamond-and-pearl-promos/leafeon-gold-star-dp37</t>
        </is>
      </c>
      <c r="AB34" s="102" t="inlineStr">
        <is>
          <t>Sister to V029. Grass Eeveelution.</t>
        </is>
      </c>
    </row>
    <row r="35" ht="23.25" customHeight="1" s="81">
      <c r="A35" s="99" t="inlineStr">
        <is>
          <t>V031</t>
        </is>
      </c>
      <c r="B35" s="92" t="inlineStr">
        <is>
          <t>Vintage Graded Singles</t>
        </is>
      </c>
      <c r="C35" s="110" t="inlineStr">
        <is>
          <t>T1</t>
        </is>
      </c>
      <c r="D35" s="92" t="inlineStr">
        <is>
          <t>Pikachu Illustrator</t>
        </is>
      </c>
      <c r="E35" s="92" t="inlineStr">
        <is>
          <t>Trophy</t>
        </is>
      </c>
      <c r="F35" s="110" t="inlineStr">
        <is>
          <t>Promo</t>
        </is>
      </c>
      <c r="G35" s="110" t="inlineStr">
        <is>
          <t>PSA 4</t>
        </is>
      </c>
      <c r="H35" s="113" t="n">
        <v>850000</v>
      </c>
      <c r="I35" s="114" t="n">
        <v>46153</v>
      </c>
      <c r="J35" s="115" t="n">
        <v>844677.8199999999</v>
      </c>
      <c r="K35" s="115" t="n">
        <v>815429.35</v>
      </c>
      <c r="L35" s="115" t="n">
        <v>789593.6800000001</v>
      </c>
      <c r="M35" s="94">
        <f>IFERROR((H35-J35)/J35,0)</f>
        <v/>
      </c>
      <c r="N35" s="94">
        <f>IFERROR((H35-K35)/K35,0)</f>
        <v/>
      </c>
      <c r="O35" s="94">
        <f>IFERROR((H35-L35)/L35,0)</f>
        <v/>
      </c>
      <c r="P35" s="113" t="n">
        <v>750000</v>
      </c>
      <c r="Q35" s="113" t="n">
        <v>1200000</v>
      </c>
      <c r="R35" s="110" t="inlineStr">
        <is>
          <t>5-10yr</t>
        </is>
      </c>
      <c r="S35" s="110" t="n">
        <v>5</v>
      </c>
      <c r="T35" s="116" t="n">
        <v>25</v>
      </c>
      <c r="U35" s="117">
        <f>MAX(0,MIN(100,50+((M35*0.6)+(N35*0.4))*200))</f>
        <v/>
      </c>
      <c r="V35" s="117">
        <f>MAX(20,MIN(100,50+(P35-H35)/P35*100))</f>
        <v/>
      </c>
      <c r="W35" s="117">
        <f>IFERROR(MAX(0,MIN(100,100-LOG10(T35)*16)),60)</f>
        <v/>
      </c>
      <c r="X35" s="117">
        <f>IF(C35="T2",85,IF(C35="T4",70,IF(C35="T1",65,IF(C35="T3",55,45))))</f>
        <v/>
      </c>
      <c r="Y35" s="118">
        <f>U35*0.55+W35*0.20+V35*0.15+X35*0.10+ROW()/1000000</f>
        <v/>
      </c>
      <c r="Z35" s="101">
        <f>IF(Y35&gt;=75,"STRONG BUY",IF(Y35&gt;=60,"BUY",IF(Y35&gt;=40,"HOLD",IF(Y35&gt;=25,"TRIM","SELL"))))</f>
        <v/>
      </c>
      <c r="AA35" s="119" t="inlineStr">
        <is>
          <t>https://www.pricecharting.com/game/pokemon-promo/pikachu-illustrator</t>
        </is>
      </c>
      <c r="AB35" s="102" t="inlineStr">
        <is>
          <t>Reference only. Logan Paul PSA 10 sold $16.5M Feb 2026.</t>
        </is>
      </c>
    </row>
    <row r="36" ht="23.25" customHeight="1" s="81">
      <c r="A36" s="99" t="inlineStr">
        <is>
          <t>V032</t>
        </is>
      </c>
      <c r="B36" s="92" t="inlineStr">
        <is>
          <t>Vintage Graded Singles</t>
        </is>
      </c>
      <c r="C36" s="110" t="inlineStr">
        <is>
          <t>T1</t>
        </is>
      </c>
      <c r="D36" s="92" t="inlineStr">
        <is>
          <t>Tropical Wind</t>
        </is>
      </c>
      <c r="E36" s="92" t="inlineStr">
        <is>
          <t>WC 1999-2003</t>
        </is>
      </c>
      <c r="F36" s="110" t="inlineStr">
        <is>
          <t>Promo</t>
        </is>
      </c>
      <c r="G36" s="110" t="inlineStr">
        <is>
          <t>PSA 9</t>
        </is>
      </c>
      <c r="H36" s="113" t="n">
        <v>6500</v>
      </c>
      <c r="I36" s="114" t="n">
        <v>46153</v>
      </c>
      <c r="J36" s="115" t="n">
        <v>6358.21</v>
      </c>
      <c r="K36" s="115" t="n">
        <v>6204.72</v>
      </c>
      <c r="L36" s="115" t="n">
        <v>5849.97</v>
      </c>
      <c r="M36" s="94">
        <f>IFERROR((H36-J36)/J36,0)</f>
        <v/>
      </c>
      <c r="N36" s="94">
        <f>IFERROR((H36-K36)/K36,0)</f>
        <v/>
      </c>
      <c r="O36" s="94">
        <f>IFERROR((H36-L36)/L36,0)</f>
        <v/>
      </c>
      <c r="P36" s="113" t="n">
        <v>5000</v>
      </c>
      <c r="Q36" s="113" t="n">
        <v>9500</v>
      </c>
      <c r="R36" s="110" t="inlineStr">
        <is>
          <t>5-10yr</t>
        </is>
      </c>
      <c r="S36" s="110" t="n">
        <v>4</v>
      </c>
      <c r="T36" s="116" t="n">
        <v>90</v>
      </c>
      <c r="U36" s="117">
        <f>MAX(0,MIN(100,50+((M36*0.6)+(N36*0.4))*200))</f>
        <v/>
      </c>
      <c r="V36" s="117">
        <f>MAX(20,MIN(100,50+(P36-H36)/P36*100))</f>
        <v/>
      </c>
      <c r="W36" s="117">
        <f>IFERROR(MAX(0,MIN(100,100-LOG10(T36)*16)),60)</f>
        <v/>
      </c>
      <c r="X36" s="117">
        <f>IF(C36="T2",85,IF(C36="T4",70,IF(C36="T1",65,IF(C36="T3",55,45))))</f>
        <v/>
      </c>
      <c r="Y36" s="118">
        <f>U36*0.55+W36*0.20+V36*0.15+X36*0.10+ROW()/1000000</f>
        <v/>
      </c>
      <c r="Z36" s="101">
        <f>IF(Y36&gt;=75,"STRONG BUY",IF(Y36&gt;=60,"BUY",IF(Y36&gt;=40,"HOLD",IF(Y36&gt;=25,"TRIM","SELL"))))</f>
        <v/>
      </c>
      <c r="AA36" s="119" t="inlineStr">
        <is>
          <t>https://www.pricecharting.com/game/pokemon-promo/tropical-wind-promo</t>
        </is>
      </c>
      <c r="AB36" s="102" t="inlineStr">
        <is>
          <t>World Championships trainer. Tiny pop, deep collector tier.</t>
        </is>
      </c>
    </row>
    <row r="37" ht="15" customHeight="1" s="81">
      <c r="A37" s="99" t="inlineStr">
        <is>
          <t>V033</t>
        </is>
      </c>
      <c r="B37" s="92" t="inlineStr">
        <is>
          <t>Vintage Graded Singles</t>
        </is>
      </c>
      <c r="C37" s="110" t="inlineStr">
        <is>
          <t>T1</t>
        </is>
      </c>
      <c r="D37" s="92" t="inlineStr">
        <is>
          <t>No.2 Trainer</t>
        </is>
      </c>
      <c r="E37" s="92" t="inlineStr">
        <is>
          <t>1999 Tropical Mega Battle</t>
        </is>
      </c>
      <c r="F37" s="110" t="inlineStr">
        <is>
          <t>Trophy</t>
        </is>
      </c>
      <c r="G37" s="110" t="inlineStr">
        <is>
          <t>PSA 8</t>
        </is>
      </c>
      <c r="H37" s="113" t="n">
        <v>95000</v>
      </c>
      <c r="I37" s="114" t="n">
        <v>46153</v>
      </c>
      <c r="J37" s="115" t="n">
        <v>93918.45</v>
      </c>
      <c r="K37" s="115" t="n">
        <v>90713.42</v>
      </c>
      <c r="L37" s="115" t="n">
        <v>84659.28999999999</v>
      </c>
      <c r="M37" s="94">
        <f>IFERROR((H37-J37)/J37,0)</f>
        <v/>
      </c>
      <c r="N37" s="94">
        <f>IFERROR((H37-K37)/K37,0)</f>
        <v/>
      </c>
      <c r="O37" s="94">
        <f>IFERROR((H37-L37)/L37,0)</f>
        <v/>
      </c>
      <c r="P37" s="113" t="n">
        <v>75000</v>
      </c>
      <c r="Q37" s="113" t="n">
        <v>140000</v>
      </c>
      <c r="R37" s="110" t="inlineStr">
        <is>
          <t>5-10yr</t>
        </is>
      </c>
      <c r="S37" s="110" t="n">
        <v>5</v>
      </c>
      <c r="T37" s="116" t="n">
        <v>8</v>
      </c>
      <c r="U37" s="117">
        <f>MAX(0,MIN(100,50+((M37*0.6)+(N37*0.4))*200))</f>
        <v/>
      </c>
      <c r="V37" s="117">
        <f>MAX(20,MIN(100,50+(P37-H37)/P37*100))</f>
        <v/>
      </c>
      <c r="W37" s="117">
        <f>IFERROR(MAX(0,MIN(100,100-LOG10(T37)*16)),60)</f>
        <v/>
      </c>
      <c r="X37" s="117">
        <f>IF(C37="T2",85,IF(C37="T4",70,IF(C37="T1",65,IF(C37="T3",55,45))))</f>
        <v/>
      </c>
      <c r="Y37" s="118">
        <f>U37*0.55+W37*0.20+V37*0.15+X37*0.10+ROW()/1000000</f>
        <v/>
      </c>
      <c r="Z37" s="101">
        <f>IF(Y37&gt;=75,"STRONG BUY",IF(Y37&gt;=60,"BUY",IF(Y37&gt;=40,"HOLD",IF(Y37&gt;=25,"TRIM","SELL"))))</f>
        <v/>
      </c>
      <c r="AA37" s="119" t="inlineStr">
        <is>
          <t>https://www.pricecharting.com/game/pokemon-promo/no-2-trainer</t>
        </is>
      </c>
      <c r="AB37" s="102" t="inlineStr">
        <is>
          <t>Trophy card. Ultra-rare. Pop ~8 PSA 8.</t>
        </is>
      </c>
    </row>
    <row r="38" ht="15" customHeight="1" s="81">
      <c r="A38" s="99" t="inlineStr">
        <is>
          <t>V034</t>
        </is>
      </c>
      <c r="B38" s="92" t="inlineStr">
        <is>
          <t>Vintage Graded Singles</t>
        </is>
      </c>
      <c r="C38" s="110" t="inlineStr">
        <is>
          <t>T1</t>
        </is>
      </c>
      <c r="D38" s="92" t="inlineStr">
        <is>
          <t>Blaine's Charizard</t>
        </is>
      </c>
      <c r="E38" s="92" t="inlineStr">
        <is>
          <t>Gym Heroes 1st Edition</t>
        </is>
      </c>
      <c r="F38" s="110" t="inlineStr">
        <is>
          <t>2/132</t>
        </is>
      </c>
      <c r="G38" s="110" t="inlineStr">
        <is>
          <t>PSA 9</t>
        </is>
      </c>
      <c r="H38" s="113" t="n">
        <v>1400</v>
      </c>
      <c r="I38" s="114" t="n">
        <v>46153</v>
      </c>
      <c r="J38" s="115" t="n">
        <v>1391.1</v>
      </c>
      <c r="K38" s="115" t="n">
        <v>1346.79</v>
      </c>
      <c r="L38" s="115" t="n">
        <v>1227.65</v>
      </c>
      <c r="M38" s="94">
        <f>IFERROR((H38-J38)/J38,0)</f>
        <v/>
      </c>
      <c r="N38" s="94">
        <f>IFERROR((H38-K38)/K38,0)</f>
        <v/>
      </c>
      <c r="O38" s="94">
        <f>IFERROR((H38-L38)/L38,0)</f>
        <v/>
      </c>
      <c r="P38" s="113" t="n">
        <v>1100</v>
      </c>
      <c r="Q38" s="113" t="n">
        <v>2000</v>
      </c>
      <c r="R38" s="110" t="inlineStr">
        <is>
          <t>5-10yr</t>
        </is>
      </c>
      <c r="S38" s="110" t="n">
        <v>3</v>
      </c>
      <c r="T38" s="116" t="n">
        <v>240</v>
      </c>
      <c r="U38" s="117">
        <f>MAX(0,MIN(100,50+((M38*0.6)+(N38*0.4))*200))</f>
        <v/>
      </c>
      <c r="V38" s="117">
        <f>MAX(20,MIN(100,50+(P38-H38)/P38*100))</f>
        <v/>
      </c>
      <c r="W38" s="117">
        <f>IFERROR(MAX(0,MIN(100,100-LOG10(T38)*16)),60)</f>
        <v/>
      </c>
      <c r="X38" s="117">
        <f>IF(C38="T2",85,IF(C38="T4",70,IF(C38="T1",65,IF(C38="T3",55,45))))</f>
        <v/>
      </c>
      <c r="Y38" s="118">
        <f>U38*0.55+W38*0.20+V38*0.15+X38*0.10+ROW()/1000000</f>
        <v/>
      </c>
      <c r="Z38" s="101">
        <f>IF(Y38&gt;=75,"STRONG BUY",IF(Y38&gt;=60,"BUY",IF(Y38&gt;=40,"HOLD",IF(Y38&gt;=25,"TRIM","SELL"))))</f>
        <v/>
      </c>
      <c r="AA38" s="119" t="inlineStr">
        <is>
          <t>https://www.pricecharting.com/game/pokemon-gym-heroes/blaines-charizard-1st-edition-2</t>
        </is>
      </c>
      <c r="AB38" s="102" t="inlineStr">
        <is>
          <t>Gym era Charizard variant. Niche but cult.</t>
        </is>
      </c>
    </row>
    <row r="39" ht="15" customHeight="1" s="81">
      <c r="A39" s="99" t="inlineStr">
        <is>
          <t>V035</t>
        </is>
      </c>
      <c r="B39" s="92" t="inlineStr">
        <is>
          <t>Vintage Graded Singles</t>
        </is>
      </c>
      <c r="C39" s="110" t="inlineStr">
        <is>
          <t>T1</t>
        </is>
      </c>
      <c r="D39" s="92" t="inlineStr">
        <is>
          <t>Dark Charizard</t>
        </is>
      </c>
      <c r="E39" s="92" t="inlineStr">
        <is>
          <t>Team Rocket 1st Edition</t>
        </is>
      </c>
      <c r="F39" s="110" t="inlineStr">
        <is>
          <t>4/82</t>
        </is>
      </c>
      <c r="G39" s="110" t="inlineStr">
        <is>
          <t>PSA 9</t>
        </is>
      </c>
      <c r="H39" s="113" t="n">
        <v>1100</v>
      </c>
      <c r="I39" s="114" t="n">
        <v>46153</v>
      </c>
      <c r="J39" s="115" t="n">
        <v>1099.05</v>
      </c>
      <c r="K39" s="115" t="n">
        <v>1054.17</v>
      </c>
      <c r="L39" s="115" t="n">
        <v>996.9299999999999</v>
      </c>
      <c r="M39" s="94">
        <f>IFERROR((H39-J39)/J39,0)</f>
        <v/>
      </c>
      <c r="N39" s="94">
        <f>IFERROR((H39-K39)/K39,0)</f>
        <v/>
      </c>
      <c r="O39" s="94">
        <f>IFERROR((H39-L39)/L39,0)</f>
        <v/>
      </c>
      <c r="P39" s="113" t="n">
        <v>850</v>
      </c>
      <c r="Q39" s="113" t="n">
        <v>1600</v>
      </c>
      <c r="R39" s="110" t="inlineStr">
        <is>
          <t>5-10yr</t>
        </is>
      </c>
      <c r="S39" s="110" t="n">
        <v>3</v>
      </c>
      <c r="T39" s="116" t="n">
        <v>320</v>
      </c>
      <c r="U39" s="117">
        <f>MAX(0,MIN(100,50+((M39*0.6)+(N39*0.4))*200))</f>
        <v/>
      </c>
      <c r="V39" s="117">
        <f>MAX(20,MIN(100,50+(P39-H39)/P39*100))</f>
        <v/>
      </c>
      <c r="W39" s="117">
        <f>IFERROR(MAX(0,MIN(100,100-LOG10(T39)*16)),60)</f>
        <v/>
      </c>
      <c r="X39" s="117">
        <f>IF(C39="T2",85,IF(C39="T4",70,IF(C39="T1",65,IF(C39="T3",55,45))))</f>
        <v/>
      </c>
      <c r="Y39" s="118">
        <f>U39*0.55+W39*0.20+V39*0.15+X39*0.10+ROW()/1000000</f>
        <v/>
      </c>
      <c r="Z39" s="101">
        <f>IF(Y39&gt;=75,"STRONG BUY",IF(Y39&gt;=60,"BUY",IF(Y39&gt;=40,"HOLD",IF(Y39&gt;=25,"TRIM","SELL"))))</f>
        <v/>
      </c>
      <c r="AA39" s="119" t="inlineStr">
        <is>
          <t>https://www.pricecharting.com/game/pokemon-team-rocket/dark-charizard-1st-edition-4</t>
        </is>
      </c>
      <c r="AB39" s="102" t="inlineStr">
        <is>
          <t>Rocket era Charizard. Different from Base Set art.</t>
        </is>
      </c>
    </row>
    <row r="40" ht="23.25" customHeight="1" s="81">
      <c r="A40" s="99" t="inlineStr">
        <is>
          <t>M001</t>
        </is>
      </c>
      <c r="B40" s="92" t="inlineStr">
        <is>
          <t>Modern Chase PSA 10</t>
        </is>
      </c>
      <c r="C40" s="110" t="inlineStr">
        <is>
          <t>T2</t>
        </is>
      </c>
      <c r="D40" s="92" t="inlineStr">
        <is>
          <t>Umbreon VMAX (Moonbreon)</t>
        </is>
      </c>
      <c r="E40" s="92" t="inlineStr">
        <is>
          <t>Evolving Skies</t>
        </is>
      </c>
      <c r="F40" s="110" t="inlineStr">
        <is>
          <t>215/203</t>
        </is>
      </c>
      <c r="G40" s="110" t="inlineStr">
        <is>
          <t>PSA 10</t>
        </is>
      </c>
      <c r="H40" s="113" t="n">
        <v>4480</v>
      </c>
      <c r="I40" s="114" t="n">
        <v>46153</v>
      </c>
      <c r="J40" s="115" t="n">
        <v>1551.29</v>
      </c>
      <c r="K40" s="115" t="n">
        <v>1650.35</v>
      </c>
      <c r="L40" s="115" t="n">
        <v>1882.05</v>
      </c>
      <c r="M40" s="94">
        <f>IFERROR((H40-J40)/J40,0)</f>
        <v/>
      </c>
      <c r="N40" s="94">
        <f>IFERROR((H40-K40)/K40,0)</f>
        <v/>
      </c>
      <c r="O40" s="94">
        <f>IFERROR((H40-L40)/L40,0)</f>
        <v/>
      </c>
      <c r="P40" s="113" t="n">
        <v>3500</v>
      </c>
      <c r="Q40" s="113" t="n">
        <v>6000</v>
      </c>
      <c r="R40" s="110" t="inlineStr">
        <is>
          <t>5-10yr</t>
        </is>
      </c>
      <c r="S40" s="110" t="n">
        <v>5</v>
      </c>
      <c r="T40" s="116" t="n">
        <v>3500</v>
      </c>
      <c r="U40" s="117">
        <f>MAX(0,MIN(100,50+((M40*0.6)+(N40*0.4))*200))</f>
        <v/>
      </c>
      <c r="V40" s="117">
        <f>MAX(20,MIN(100,50+(P40-H40)/P40*100))</f>
        <v/>
      </c>
      <c r="W40" s="117">
        <f>IFERROR(MAX(0,MIN(100,100-LOG10(T40)*16)),60)</f>
        <v/>
      </c>
      <c r="X40" s="117">
        <f>IF(C40="T2",85,IF(C40="T4",70,IF(C40="T1",65,IF(C40="T3",55,45))))</f>
        <v/>
      </c>
      <c r="Y40" s="118">
        <f>U40*0.55+W40*0.20+V40*0.15+X40*0.10+ROW()/1000000</f>
        <v/>
      </c>
      <c r="Z40" s="101">
        <f>IF(Y40&gt;=75,"STRONG BUY",IF(Y40&gt;=60,"BUY",IF(Y40&gt;=40,"HOLD",IF(Y40&gt;=25,"TRIM","SELL"))))</f>
        <v/>
      </c>
      <c r="AA40" s="119" t="inlineStr">
        <is>
          <t>https://www.tcgplayer.com/product/246723</t>
        </is>
      </c>
      <c r="AB40" s="102" t="inlineStr">
        <is>
          <t>Most-traded modern card. Retraced from $2,300 Oct'25 peak. Re-entry zone.</t>
        </is>
      </c>
    </row>
    <row r="41" ht="23.25" customHeight="1" s="81">
      <c r="A41" s="99" t="inlineStr">
        <is>
          <t>M002</t>
        </is>
      </c>
      <c r="B41" s="92" t="inlineStr">
        <is>
          <t>Modern Chase PSA 10</t>
        </is>
      </c>
      <c r="C41" s="110" t="inlineStr">
        <is>
          <t>T4</t>
        </is>
      </c>
      <c r="D41" s="92" t="inlineStr">
        <is>
          <t>Umbreon VMAX (Moonbreon)</t>
        </is>
      </c>
      <c r="E41" s="92" t="inlineStr">
        <is>
          <t>Evolving Skies</t>
        </is>
      </c>
      <c r="F41" s="110" t="inlineStr">
        <is>
          <t>215/203</t>
        </is>
      </c>
      <c r="G41" s="110" t="inlineStr">
        <is>
          <t>Raw NM</t>
        </is>
      </c>
      <c r="H41" s="113" t="n">
        <v>2100</v>
      </c>
      <c r="I41" s="114" t="n">
        <v>46153</v>
      </c>
      <c r="J41" s="115" t="n">
        <v>559.13</v>
      </c>
      <c r="K41" s="115" t="n">
        <v>629.84</v>
      </c>
      <c r="L41" s="115" t="n">
        <v>775.75</v>
      </c>
      <c r="M41" s="94">
        <f>IFERROR((H41-J41)/J41,0)</f>
        <v/>
      </c>
      <c r="N41" s="94">
        <f>IFERROR((H41-K41)/K41,0)</f>
        <v/>
      </c>
      <c r="O41" s="94">
        <f>IFERROR((H41-L41)/L41,0)</f>
        <v/>
      </c>
      <c r="P41" s="113" t="n">
        <v>1600</v>
      </c>
      <c r="Q41" s="113" t="n">
        <v>3200</v>
      </c>
      <c r="R41" s="110" t="inlineStr">
        <is>
          <t>1-3yr</t>
        </is>
      </c>
      <c r="S41" s="110" t="n">
        <v>4</v>
      </c>
      <c r="T41" s="120" t="n"/>
      <c r="U41" s="117">
        <f>MAX(0,MIN(100,50+((M41*0.6)+(N41*0.4))*200))</f>
        <v/>
      </c>
      <c r="V41" s="117">
        <f>MAX(20,MIN(100,50+(P41-H41)/P41*100))</f>
        <v/>
      </c>
      <c r="W41" s="117">
        <f>IFERROR(MAX(0,MIN(100,100-LOG10(T41)*16)),60)</f>
        <v/>
      </c>
      <c r="X41" s="117">
        <f>IF(C41="T2",85,IF(C41="T4",70,IF(C41="T1",65,IF(C41="T3",55,45))))</f>
        <v/>
      </c>
      <c r="Y41" s="118">
        <f>U41*0.55+W41*0.20+V41*0.15+X41*0.10+ROW()/1000000</f>
        <v/>
      </c>
      <c r="Z41" s="101">
        <f>IF(Y41&gt;=75,"STRONG BUY",IF(Y41&gt;=60,"BUY",IF(Y41&gt;=40,"HOLD",IF(Y41&gt;=25,"TRIM","SELL"))))</f>
        <v/>
      </c>
      <c r="AA41" s="119" t="inlineStr">
        <is>
          <t>https://www.tcgplayer.com/product/246723</t>
        </is>
      </c>
      <c r="AB41" s="102" t="inlineStr">
        <is>
          <t>Raw grading play. PSA 10 rate ~42%. Math: $575 cost vs $1,500 = +160% upside.</t>
        </is>
      </c>
    </row>
    <row r="42" ht="15" customHeight="1" s="81">
      <c r="A42" s="99" t="inlineStr">
        <is>
          <t>M003</t>
        </is>
      </c>
      <c r="B42" s="92" t="inlineStr">
        <is>
          <t>Modern Chase PSA 10</t>
        </is>
      </c>
      <c r="C42" s="110" t="inlineStr">
        <is>
          <t>T2</t>
        </is>
      </c>
      <c r="D42" s="92" t="inlineStr">
        <is>
          <t>Rayquaza VMAX Alt Art</t>
        </is>
      </c>
      <c r="E42" s="92" t="inlineStr">
        <is>
          <t>Evolving Skies</t>
        </is>
      </c>
      <c r="F42" s="110" t="inlineStr">
        <is>
          <t>218/203</t>
        </is>
      </c>
      <c r="G42" s="110" t="inlineStr">
        <is>
          <t>PSA 10</t>
        </is>
      </c>
      <c r="H42" s="113" t="n">
        <v>1480</v>
      </c>
      <c r="I42" s="114" t="n">
        <v>46153</v>
      </c>
      <c r="J42" s="115" t="n">
        <v>969.21</v>
      </c>
      <c r="K42" s="115" t="n">
        <v>1009.54</v>
      </c>
      <c r="L42" s="115" t="n">
        <v>1075.11</v>
      </c>
      <c r="M42" s="94">
        <f>IFERROR((H42-J42)/J42,0)</f>
        <v/>
      </c>
      <c r="N42" s="94">
        <f>IFERROR((H42-K42)/K42,0)</f>
        <v/>
      </c>
      <c r="O42" s="94">
        <f>IFERROR((H42-L42)/L42,0)</f>
        <v/>
      </c>
      <c r="P42" s="113" t="n">
        <v>1100</v>
      </c>
      <c r="Q42" s="113" t="n">
        <v>2100</v>
      </c>
      <c r="R42" s="110" t="inlineStr">
        <is>
          <t>5-10yr</t>
        </is>
      </c>
      <c r="S42" s="110" t="n">
        <v>4</v>
      </c>
      <c r="T42" s="116" t="n">
        <v>2800</v>
      </c>
      <c r="U42" s="117">
        <f>MAX(0,MIN(100,50+((M42*0.6)+(N42*0.4))*200))</f>
        <v/>
      </c>
      <c r="V42" s="117">
        <f>MAX(20,MIN(100,50+(P42-H42)/P42*100))</f>
        <v/>
      </c>
      <c r="W42" s="117">
        <f>IFERROR(MAX(0,MIN(100,100-LOG10(T42)*16)),60)</f>
        <v/>
      </c>
      <c r="X42" s="117">
        <f>IF(C42="T2",85,IF(C42="T4",70,IF(C42="T1",65,IF(C42="T3",55,45))))</f>
        <v/>
      </c>
      <c r="Y42" s="118">
        <f>U42*0.55+W42*0.20+V42*0.15+X42*0.10+ROW()/1000000</f>
        <v/>
      </c>
      <c r="Z42" s="101">
        <f>IF(Y42&gt;=75,"STRONG BUY",IF(Y42&gt;=60,"BUY",IF(Y42&gt;=40,"HOLD",IF(Y42&gt;=25,"TRIM","SELL"))))</f>
        <v/>
      </c>
      <c r="AA42" s="119" t="inlineStr">
        <is>
          <t>https://www.tcgplayer.com/product/246726</t>
        </is>
      </c>
      <c r="AB42" s="102" t="inlineStr">
        <is>
          <t>Second-best ES alt art. Dragon legendary tier.</t>
        </is>
      </c>
    </row>
    <row r="43" ht="23.25" customHeight="1" s="81">
      <c r="A43" s="99" t="inlineStr">
        <is>
          <t>M004</t>
        </is>
      </c>
      <c r="B43" s="92" t="inlineStr">
        <is>
          <t>Modern Chase PSA 10</t>
        </is>
      </c>
      <c r="C43" s="110" t="inlineStr">
        <is>
          <t>T2</t>
        </is>
      </c>
      <c r="D43" s="92" t="inlineStr">
        <is>
          <t>Sylveon VMAX Alt Art</t>
        </is>
      </c>
      <c r="E43" s="92" t="inlineStr">
        <is>
          <t>Evolving Skies</t>
        </is>
      </c>
      <c r="F43" s="110" t="inlineStr">
        <is>
          <t>212/203</t>
        </is>
      </c>
      <c r="G43" s="110" t="inlineStr">
        <is>
          <t>PSA 10</t>
        </is>
      </c>
      <c r="H43" s="113" t="n">
        <v>1200</v>
      </c>
      <c r="I43" s="114" t="n">
        <v>46153</v>
      </c>
      <c r="J43" s="115" t="n">
        <v>701.67</v>
      </c>
      <c r="K43" s="115" t="n">
        <v>655.76</v>
      </c>
      <c r="L43" s="115" t="n">
        <v>592.35</v>
      </c>
      <c r="M43" s="94">
        <f>IFERROR((H43-J43)/J43,0)</f>
        <v/>
      </c>
      <c r="N43" s="94">
        <f>IFERROR((H43-K43)/K43,0)</f>
        <v/>
      </c>
      <c r="O43" s="94">
        <f>IFERROR((H43-L43)/L43,0)</f>
        <v/>
      </c>
      <c r="P43" s="113" t="n">
        <v>900</v>
      </c>
      <c r="Q43" s="113" t="n">
        <v>1800</v>
      </c>
      <c r="R43" s="110" t="inlineStr">
        <is>
          <t>5-10yr</t>
        </is>
      </c>
      <c r="S43" s="110" t="n">
        <v>4</v>
      </c>
      <c r="T43" s="116" t="n">
        <v>2400</v>
      </c>
      <c r="U43" s="117">
        <f>MAX(0,MIN(100,50+((M43*0.6)+(N43*0.4))*200))</f>
        <v/>
      </c>
      <c r="V43" s="117">
        <f>MAX(20,MIN(100,50+(P43-H43)/P43*100))</f>
        <v/>
      </c>
      <c r="W43" s="117">
        <f>IFERROR(MAX(0,MIN(100,100-LOG10(T43)*16)),60)</f>
        <v/>
      </c>
      <c r="X43" s="117">
        <f>IF(C43="T2",85,IF(C43="T4",70,IF(C43="T1",65,IF(C43="T3",55,45))))</f>
        <v/>
      </c>
      <c r="Y43" s="118">
        <f>U43*0.55+W43*0.20+V43*0.15+X43*0.10+ROW()/1000000</f>
        <v/>
      </c>
      <c r="Z43" s="101">
        <f>IF(Y43&gt;=75,"STRONG BUY",IF(Y43&gt;=60,"BUY",IF(Y43&gt;=40,"HOLD",IF(Y43&gt;=25,"TRIM","SELL"))))</f>
        <v/>
      </c>
      <c r="AA43" s="119" t="inlineStr">
        <is>
          <t>https://www.tcgplayer.com/product/246720</t>
        </is>
      </c>
      <c r="AB43" s="102" t="inlineStr">
        <is>
          <t>Eeveelution sister to Moonbreon. Tracks at 50% discount.</t>
        </is>
      </c>
    </row>
    <row r="44" ht="15" customHeight="1" s="81">
      <c r="A44" s="99" t="inlineStr">
        <is>
          <t>M005</t>
        </is>
      </c>
      <c r="B44" s="92" t="inlineStr">
        <is>
          <t>Modern Chase PSA 10</t>
        </is>
      </c>
      <c r="C44" s="110" t="inlineStr">
        <is>
          <t>T2</t>
        </is>
      </c>
      <c r="D44" s="92" t="inlineStr">
        <is>
          <t>Espeon VMAX Alt Art</t>
        </is>
      </c>
      <c r="E44" s="92" t="inlineStr">
        <is>
          <t>Evolving Skies</t>
        </is>
      </c>
      <c r="F44" s="110" t="inlineStr">
        <is>
          <t>208/203</t>
        </is>
      </c>
      <c r="G44" s="110" t="inlineStr">
        <is>
          <t>PSA 10</t>
        </is>
      </c>
      <c r="H44" s="113" t="n">
        <v>1100</v>
      </c>
      <c r="I44" s="114" t="n">
        <v>46153</v>
      </c>
      <c r="J44" s="115" t="n">
        <v>680.13</v>
      </c>
      <c r="K44" s="115" t="n">
        <v>641.61</v>
      </c>
      <c r="L44" s="115" t="n">
        <v>582.01</v>
      </c>
      <c r="M44" s="94">
        <f>IFERROR((H44-J44)/J44,0)</f>
        <v/>
      </c>
      <c r="N44" s="94">
        <f>IFERROR((H44-K44)/K44,0)</f>
        <v/>
      </c>
      <c r="O44" s="94">
        <f>IFERROR((H44-L44)/L44,0)</f>
        <v/>
      </c>
      <c r="P44" s="113" t="n">
        <v>850</v>
      </c>
      <c r="Q44" s="113" t="n">
        <v>1600</v>
      </c>
      <c r="R44" s="110" t="inlineStr">
        <is>
          <t>5-10yr</t>
        </is>
      </c>
      <c r="S44" s="110" t="n">
        <v>4</v>
      </c>
      <c r="T44" s="116" t="n">
        <v>2200</v>
      </c>
      <c r="U44" s="117">
        <f>MAX(0,MIN(100,50+((M44*0.6)+(N44*0.4))*200))</f>
        <v/>
      </c>
      <c r="V44" s="117">
        <f>MAX(20,MIN(100,50+(P44-H44)/P44*100))</f>
        <v/>
      </c>
      <c r="W44" s="117">
        <f>IFERROR(MAX(0,MIN(100,100-LOG10(T44)*16)),60)</f>
        <v/>
      </c>
      <c r="X44" s="117">
        <f>IF(C44="T2",85,IF(C44="T4",70,IF(C44="T1",65,IF(C44="T3",55,45))))</f>
        <v/>
      </c>
      <c r="Y44" s="118">
        <f>U44*0.55+W44*0.20+V44*0.15+X44*0.10+ROW()/1000000</f>
        <v/>
      </c>
      <c r="Z44" s="101">
        <f>IF(Y44&gt;=75,"STRONG BUY",IF(Y44&gt;=60,"BUY",IF(Y44&gt;=40,"HOLD",IF(Y44&gt;=25,"TRIM","SELL"))))</f>
        <v/>
      </c>
      <c r="AA44" s="119" t="inlineStr">
        <is>
          <t>https://www.tcgplayer.com/product/246716</t>
        </is>
      </c>
      <c r="AB44" s="102" t="inlineStr">
        <is>
          <t>Sun Eeveelution. Buy on dips below $550.</t>
        </is>
      </c>
    </row>
    <row r="45" ht="15" customHeight="1" s="81">
      <c r="A45" s="99" t="inlineStr">
        <is>
          <t>M006</t>
        </is>
      </c>
      <c r="B45" s="92" t="inlineStr">
        <is>
          <t>Modern Chase PSA 10</t>
        </is>
      </c>
      <c r="C45" s="110" t="inlineStr">
        <is>
          <t>T2</t>
        </is>
      </c>
      <c r="D45" s="92" t="inlineStr">
        <is>
          <t>Leafeon VMAX Alt Art</t>
        </is>
      </c>
      <c r="E45" s="92" t="inlineStr">
        <is>
          <t>Evolving Skies</t>
        </is>
      </c>
      <c r="F45" s="110" t="inlineStr">
        <is>
          <t>205/203</t>
        </is>
      </c>
      <c r="G45" s="110" t="inlineStr">
        <is>
          <t>PSA 10</t>
        </is>
      </c>
      <c r="H45" s="113" t="n">
        <v>900</v>
      </c>
      <c r="I45" s="114" t="n">
        <v>46153</v>
      </c>
      <c r="J45" s="115" t="n">
        <v>572.17</v>
      </c>
      <c r="K45" s="115" t="n">
        <v>558.52</v>
      </c>
      <c r="L45" s="115" t="n">
        <v>532.3200000000001</v>
      </c>
      <c r="M45" s="94">
        <f>IFERROR((H45-J45)/J45,0)</f>
        <v/>
      </c>
      <c r="N45" s="94">
        <f>IFERROR((H45-K45)/K45,0)</f>
        <v/>
      </c>
      <c r="O45" s="94">
        <f>IFERROR((H45-L45)/L45,0)</f>
        <v/>
      </c>
      <c r="P45" s="113" t="n">
        <v>700</v>
      </c>
      <c r="Q45" s="113" t="n">
        <v>1300</v>
      </c>
      <c r="R45" s="110" t="inlineStr">
        <is>
          <t>3-5yr</t>
        </is>
      </c>
      <c r="S45" s="110" t="n">
        <v>3</v>
      </c>
      <c r="T45" s="116" t="n">
        <v>1900</v>
      </c>
      <c r="U45" s="117">
        <f>MAX(0,MIN(100,50+((M45*0.6)+(N45*0.4))*200))</f>
        <v/>
      </c>
      <c r="V45" s="117">
        <f>MAX(20,MIN(100,50+(P45-H45)/P45*100))</f>
        <v/>
      </c>
      <c r="W45" s="117">
        <f>IFERROR(MAX(0,MIN(100,100-LOG10(T45)*16)),60)</f>
        <v/>
      </c>
      <c r="X45" s="117">
        <f>IF(C45="T2",85,IF(C45="T4",70,IF(C45="T1",65,IF(C45="T3",55,45))))</f>
        <v/>
      </c>
      <c r="Y45" s="118">
        <f>U45*0.55+W45*0.20+V45*0.15+X45*0.10+ROW()/1000000</f>
        <v/>
      </c>
      <c r="Z45" s="101">
        <f>IF(Y45&gt;=75,"STRONG BUY",IF(Y45&gt;=60,"BUY",IF(Y45&gt;=40,"HOLD",IF(Y45&gt;=25,"TRIM","SELL"))))</f>
        <v/>
      </c>
      <c r="AA45" s="119" t="inlineStr">
        <is>
          <t>https://www.tcgplayer.com/product/246713</t>
        </is>
      </c>
      <c r="AB45" s="102" t="inlineStr">
        <is>
          <t>Grass Eeveelution. Cheapest of the Eevee alts.</t>
        </is>
      </c>
    </row>
    <row r="46" ht="15" customHeight="1" s="81">
      <c r="A46" s="99" t="inlineStr">
        <is>
          <t>M007</t>
        </is>
      </c>
      <c r="B46" s="92" t="inlineStr">
        <is>
          <t>Modern Chase PSA 10</t>
        </is>
      </c>
      <c r="C46" s="110" t="inlineStr">
        <is>
          <t>T2</t>
        </is>
      </c>
      <c r="D46" s="92" t="inlineStr">
        <is>
          <t>Glaceon VMAX Alt Art</t>
        </is>
      </c>
      <c r="E46" s="92" t="inlineStr">
        <is>
          <t>Evolving Skies</t>
        </is>
      </c>
      <c r="F46" s="110" t="inlineStr">
        <is>
          <t>210/203</t>
        </is>
      </c>
      <c r="G46" s="110" t="inlineStr">
        <is>
          <t>PSA 10</t>
        </is>
      </c>
      <c r="H46" s="113" t="n">
        <v>1000</v>
      </c>
      <c r="I46" s="114" t="n">
        <v>46153</v>
      </c>
      <c r="J46" s="115" t="n">
        <v>618.71</v>
      </c>
      <c r="K46" s="115" t="n">
        <v>571.1900000000001</v>
      </c>
      <c r="L46" s="115" t="n">
        <v>518.03</v>
      </c>
      <c r="M46" s="94">
        <f>IFERROR((H46-J46)/J46,0)</f>
        <v/>
      </c>
      <c r="N46" s="94">
        <f>IFERROR((H46-K46)/K46,0)</f>
        <v/>
      </c>
      <c r="O46" s="94">
        <f>IFERROR((H46-L46)/L46,0)</f>
        <v/>
      </c>
      <c r="P46" s="113" t="n">
        <v>750</v>
      </c>
      <c r="Q46" s="113" t="n">
        <v>1450</v>
      </c>
      <c r="R46" s="110" t="inlineStr">
        <is>
          <t>3-5yr</t>
        </is>
      </c>
      <c r="S46" s="110" t="n">
        <v>4</v>
      </c>
      <c r="T46" s="116" t="n">
        <v>1700</v>
      </c>
      <c r="U46" s="117">
        <f>MAX(0,MIN(100,50+((M46*0.6)+(N46*0.4))*200))</f>
        <v/>
      </c>
      <c r="V46" s="117">
        <f>MAX(20,MIN(100,50+(P46-H46)/P46*100))</f>
        <v/>
      </c>
      <c r="W46" s="117">
        <f>IFERROR(MAX(0,MIN(100,100-LOG10(T46)*16)),60)</f>
        <v/>
      </c>
      <c r="X46" s="117">
        <f>IF(C46="T2",85,IF(C46="T4",70,IF(C46="T1",65,IF(C46="T3",55,45))))</f>
        <v/>
      </c>
      <c r="Y46" s="118">
        <f>U46*0.55+W46*0.20+V46*0.15+X46*0.10+ROW()/1000000</f>
        <v/>
      </c>
      <c r="Z46" s="101">
        <f>IF(Y46&gt;=75,"STRONG BUY",IF(Y46&gt;=60,"BUY",IF(Y46&gt;=40,"HOLD",IF(Y46&gt;=25,"TRIM","SELL"))))</f>
        <v/>
      </c>
      <c r="AA46" s="119" t="inlineStr">
        <is>
          <t>https://www.tcgplayer.com/product/246718</t>
        </is>
      </c>
      <c r="AB46" s="102" t="inlineStr">
        <is>
          <t>Ice Eeveelution. Underrated relative to peers.</t>
        </is>
      </c>
    </row>
    <row r="47" ht="15" customHeight="1" s="81">
      <c r="A47" s="99" t="inlineStr">
        <is>
          <t>M008</t>
        </is>
      </c>
      <c r="B47" s="92" t="inlineStr">
        <is>
          <t>Modern Chase PSA 10</t>
        </is>
      </c>
      <c r="C47" s="110" t="inlineStr">
        <is>
          <t>T2</t>
        </is>
      </c>
      <c r="D47" s="92" t="inlineStr">
        <is>
          <t>Jolteon VMAX Alt Art</t>
        </is>
      </c>
      <c r="E47" s="92" t="inlineStr">
        <is>
          <t>Evolving Skies</t>
        </is>
      </c>
      <c r="F47" s="110" t="inlineStr">
        <is>
          <t>203/203</t>
        </is>
      </c>
      <c r="G47" s="110" t="inlineStr">
        <is>
          <t>PSA 10</t>
        </is>
      </c>
      <c r="H47" s="113" t="n">
        <v>980</v>
      </c>
      <c r="I47" s="114" t="n">
        <v>46153</v>
      </c>
      <c r="J47" s="115" t="n">
        <v>629.58</v>
      </c>
      <c r="K47" s="115" t="n">
        <v>615.21</v>
      </c>
      <c r="L47" s="115" t="n">
        <v>568.01</v>
      </c>
      <c r="M47" s="94">
        <f>IFERROR((H47-J47)/J47,0)</f>
        <v/>
      </c>
      <c r="N47" s="94">
        <f>IFERROR((H47-K47)/K47,0)</f>
        <v/>
      </c>
      <c r="O47" s="94">
        <f>IFERROR((H47-L47)/L47,0)</f>
        <v/>
      </c>
      <c r="P47" s="113" t="n">
        <v>750</v>
      </c>
      <c r="Q47" s="113" t="n">
        <v>1400</v>
      </c>
      <c r="R47" s="110" t="inlineStr">
        <is>
          <t>3-5yr</t>
        </is>
      </c>
      <c r="S47" s="110" t="n">
        <v>3</v>
      </c>
      <c r="T47" s="116" t="n">
        <v>1600</v>
      </c>
      <c r="U47" s="117">
        <f>MAX(0,MIN(100,50+((M47*0.6)+(N47*0.4))*200))</f>
        <v/>
      </c>
      <c r="V47" s="117">
        <f>MAX(20,MIN(100,50+(P47-H47)/P47*100))</f>
        <v/>
      </c>
      <c r="W47" s="117">
        <f>IFERROR(MAX(0,MIN(100,100-LOG10(T47)*16)),60)</f>
        <v/>
      </c>
      <c r="X47" s="117">
        <f>IF(C47="T2",85,IF(C47="T4",70,IF(C47="T1",65,IF(C47="T3",55,45))))</f>
        <v/>
      </c>
      <c r="Y47" s="118">
        <f>U47*0.55+W47*0.20+V47*0.15+X47*0.10+ROW()/1000000</f>
        <v/>
      </c>
      <c r="Z47" s="101">
        <f>IF(Y47&gt;=75,"STRONG BUY",IF(Y47&gt;=60,"BUY",IF(Y47&gt;=40,"HOLD",IF(Y47&gt;=25,"TRIM","SELL"))))</f>
        <v/>
      </c>
      <c r="AA47" s="119" t="inlineStr">
        <is>
          <t>https://www.tcgplayer.com/product/246711</t>
        </is>
      </c>
      <c r="AB47" s="102" t="inlineStr">
        <is>
          <t>Electric Eeveelution. Card #203/203 - last in set.</t>
        </is>
      </c>
    </row>
    <row r="48" ht="23.25" customHeight="1" s="81">
      <c r="A48" s="99" t="inlineStr">
        <is>
          <t>M009</t>
        </is>
      </c>
      <c r="B48" s="92" t="inlineStr">
        <is>
          <t>Modern Chase PSA 10</t>
        </is>
      </c>
      <c r="C48" s="110" t="inlineStr">
        <is>
          <t>T2</t>
        </is>
      </c>
      <c r="D48" s="92" t="inlineStr">
        <is>
          <t>Umbreon V Alt Art</t>
        </is>
      </c>
      <c r="E48" s="92" t="inlineStr">
        <is>
          <t>Evolving Skies</t>
        </is>
      </c>
      <c r="F48" s="110" t="inlineStr">
        <is>
          <t>189/203</t>
        </is>
      </c>
      <c r="G48" s="110" t="inlineStr">
        <is>
          <t>PSA 10</t>
        </is>
      </c>
      <c r="H48" s="113" t="n">
        <v>480</v>
      </c>
      <c r="I48" s="114" t="n">
        <v>46153</v>
      </c>
      <c r="J48" s="115" t="n">
        <v>220</v>
      </c>
      <c r="K48" s="115" t="n">
        <v>218.86</v>
      </c>
      <c r="L48" s="115" t="n">
        <v>213.55</v>
      </c>
      <c r="M48" s="94">
        <f>IFERROR((H48-J48)/J48,0)</f>
        <v/>
      </c>
      <c r="N48" s="94">
        <f>IFERROR((H48-K48)/K48,0)</f>
        <v/>
      </c>
      <c r="O48" s="94">
        <f>IFERROR((H48-L48)/L48,0)</f>
        <v/>
      </c>
      <c r="P48" s="113" t="n">
        <v>360</v>
      </c>
      <c r="Q48" s="113" t="n">
        <v>700</v>
      </c>
      <c r="R48" s="110" t="inlineStr">
        <is>
          <t>2-5yr</t>
        </is>
      </c>
      <c r="S48" s="110" t="n">
        <v>3</v>
      </c>
      <c r="T48" s="116" t="n">
        <v>4500</v>
      </c>
      <c r="U48" s="117">
        <f>MAX(0,MIN(100,50+((M48*0.6)+(N48*0.4))*200))</f>
        <v/>
      </c>
      <c r="V48" s="117">
        <f>MAX(20,MIN(100,50+(P48-H48)/P48*100))</f>
        <v/>
      </c>
      <c r="W48" s="117">
        <f>IFERROR(MAX(0,MIN(100,100-LOG10(T48)*16)),60)</f>
        <v/>
      </c>
      <c r="X48" s="117">
        <f>IF(C48="T2",85,IF(C48="T4",70,IF(C48="T1",65,IF(C48="T3",55,45))))</f>
        <v/>
      </c>
      <c r="Y48" s="118">
        <f>U48*0.55+W48*0.20+V48*0.15+X48*0.10+ROW()/1000000</f>
        <v/>
      </c>
      <c r="Z48" s="101">
        <f>IF(Y48&gt;=75,"STRONG BUY",IF(Y48&gt;=60,"BUY",IF(Y48&gt;=40,"HOLD",IF(Y48&gt;=25,"TRIM","SELL"))))</f>
        <v/>
      </c>
      <c r="AA48" s="119" t="inlineStr">
        <is>
          <t>https://www.tcgplayer.com/product/246697</t>
        </is>
      </c>
      <c r="AB48" s="102" t="inlineStr">
        <is>
          <t>V (not VMAX) Umbreon. Lower entry to Moonbreon adjacency.</t>
        </is>
      </c>
    </row>
    <row r="49" ht="23.25" customHeight="1" s="81">
      <c r="A49" s="99" t="inlineStr">
        <is>
          <t>M010</t>
        </is>
      </c>
      <c r="B49" s="92" t="inlineStr">
        <is>
          <t>Modern Chase PSA 10</t>
        </is>
      </c>
      <c r="C49" s="110" t="inlineStr">
        <is>
          <t>T2</t>
        </is>
      </c>
      <c r="D49" s="92" t="inlineStr">
        <is>
          <t>Dragonite V Alt Art</t>
        </is>
      </c>
      <c r="E49" s="92" t="inlineStr">
        <is>
          <t>Evolving Skies</t>
        </is>
      </c>
      <c r="F49" s="110" t="inlineStr">
        <is>
          <t>192/203</t>
        </is>
      </c>
      <c r="G49" s="110" t="inlineStr">
        <is>
          <t>PSA 10</t>
        </is>
      </c>
      <c r="H49" s="113" t="n">
        <v>540</v>
      </c>
      <c r="I49" s="114" t="n">
        <v>46153</v>
      </c>
      <c r="J49" s="115" t="n">
        <v>281.04</v>
      </c>
      <c r="K49" s="115" t="n">
        <v>268.16</v>
      </c>
      <c r="L49" s="115" t="n">
        <v>257.88</v>
      </c>
      <c r="M49" s="94">
        <f>IFERROR((H49-J49)/J49,0)</f>
        <v/>
      </c>
      <c r="N49" s="94">
        <f>IFERROR((H49-K49)/K49,0)</f>
        <v/>
      </c>
      <c r="O49" s="94">
        <f>IFERROR((H49-L49)/L49,0)</f>
        <v/>
      </c>
      <c r="P49" s="113" t="n">
        <v>410</v>
      </c>
      <c r="Q49" s="113" t="n">
        <v>800</v>
      </c>
      <c r="R49" s="110" t="inlineStr">
        <is>
          <t>2-5yr</t>
        </is>
      </c>
      <c r="S49" s="110" t="n">
        <v>3</v>
      </c>
      <c r="T49" s="116" t="n">
        <v>3800</v>
      </c>
      <c r="U49" s="117">
        <f>MAX(0,MIN(100,50+((M49*0.6)+(N49*0.4))*200))</f>
        <v/>
      </c>
      <c r="V49" s="117">
        <f>MAX(20,MIN(100,50+(P49-H49)/P49*100))</f>
        <v/>
      </c>
      <c r="W49" s="117">
        <f>IFERROR(MAX(0,MIN(100,100-LOG10(T49)*16)),60)</f>
        <v/>
      </c>
      <c r="X49" s="117">
        <f>IF(C49="T2",85,IF(C49="T4",70,IF(C49="T1",65,IF(C49="T3",55,45))))</f>
        <v/>
      </c>
      <c r="Y49" s="118">
        <f>U49*0.55+W49*0.20+V49*0.15+X49*0.10+ROW()/1000000</f>
        <v/>
      </c>
      <c r="Z49" s="101">
        <f>IF(Y49&gt;=75,"STRONG BUY",IF(Y49&gt;=60,"BUY",IF(Y49&gt;=40,"HOLD",IF(Y49&gt;=25,"TRIM","SELL"))))</f>
        <v/>
      </c>
      <c r="AA49" s="119" t="inlineStr">
        <is>
          <t>https://www.tcgplayer.com/product/246700</t>
        </is>
      </c>
      <c r="AB49" s="102" t="inlineStr">
        <is>
          <t>Pseudo-legendary V alt. Dragon collector cross-buy.</t>
        </is>
      </c>
    </row>
    <row r="50" ht="15" customHeight="1" s="81">
      <c r="A50" s="99" t="inlineStr">
        <is>
          <t>M011</t>
        </is>
      </c>
      <c r="B50" s="92" t="inlineStr">
        <is>
          <t>Modern Chase PSA 10</t>
        </is>
      </c>
      <c r="C50" s="110" t="inlineStr">
        <is>
          <t>T2</t>
        </is>
      </c>
      <c r="D50" s="92" t="inlineStr">
        <is>
          <t>Duraludon VMAX Alt Art</t>
        </is>
      </c>
      <c r="E50" s="92" t="inlineStr">
        <is>
          <t>Evolving Skies</t>
        </is>
      </c>
      <c r="F50" s="110" t="inlineStr">
        <is>
          <t>217/203</t>
        </is>
      </c>
      <c r="G50" s="110" t="inlineStr">
        <is>
          <t>PSA 10</t>
        </is>
      </c>
      <c r="H50" s="113" t="n">
        <v>520</v>
      </c>
      <c r="I50" s="114" t="n">
        <v>46153</v>
      </c>
      <c r="J50" s="115" t="n">
        <v>320.06</v>
      </c>
      <c r="K50" s="115" t="n">
        <v>305.62</v>
      </c>
      <c r="L50" s="115" t="n">
        <v>298.86</v>
      </c>
      <c r="M50" s="94">
        <f>IFERROR((H50-J50)/J50,0)</f>
        <v/>
      </c>
      <c r="N50" s="94">
        <f>IFERROR((H50-K50)/K50,0)</f>
        <v/>
      </c>
      <c r="O50" s="94">
        <f>IFERROR((H50-L50)/L50,0)</f>
        <v/>
      </c>
      <c r="P50" s="113" t="n">
        <v>390</v>
      </c>
      <c r="Q50" s="113" t="n">
        <v>760</v>
      </c>
      <c r="R50" s="110" t="inlineStr">
        <is>
          <t>2-5yr</t>
        </is>
      </c>
      <c r="S50" s="110" t="n">
        <v>3</v>
      </c>
      <c r="T50" s="116" t="n">
        <v>2100</v>
      </c>
      <c r="U50" s="117">
        <f>MAX(0,MIN(100,50+((M50*0.6)+(N50*0.4))*200))</f>
        <v/>
      </c>
      <c r="V50" s="117">
        <f>MAX(20,MIN(100,50+(P50-H50)/P50*100))</f>
        <v/>
      </c>
      <c r="W50" s="117">
        <f>IFERROR(MAX(0,MIN(100,100-LOG10(T50)*16)),60)</f>
        <v/>
      </c>
      <c r="X50" s="117">
        <f>IF(C50="T2",85,IF(C50="T4",70,IF(C50="T1",65,IF(C50="T3",55,45))))</f>
        <v/>
      </c>
      <c r="Y50" s="118">
        <f>U50*0.55+W50*0.20+V50*0.15+X50*0.10+ROW()/1000000</f>
        <v/>
      </c>
      <c r="Z50" s="101">
        <f>IF(Y50&gt;=75,"STRONG BUY",IF(Y50&gt;=60,"BUY",IF(Y50&gt;=40,"HOLD",IF(Y50&gt;=25,"TRIM","SELL"))))</f>
        <v/>
      </c>
      <c r="AA50" s="119" t="inlineStr">
        <is>
          <t>https://www.tcgplayer.com/product/246725</t>
        </is>
      </c>
      <c r="AB50" s="102" t="inlineStr">
        <is>
          <t>Tower mode artwork. Underrated alt.</t>
        </is>
      </c>
    </row>
    <row r="51" ht="23.25" customHeight="1" s="81">
      <c r="A51" s="99" t="inlineStr">
        <is>
          <t>M012</t>
        </is>
      </c>
      <c r="B51" s="92" t="inlineStr">
        <is>
          <t>Modern Chase PSA 10</t>
        </is>
      </c>
      <c r="C51" s="110" t="inlineStr">
        <is>
          <t>T2</t>
        </is>
      </c>
      <c r="D51" s="92" t="inlineStr">
        <is>
          <t>Rayquaza V Alt Art</t>
        </is>
      </c>
      <c r="E51" s="92" t="inlineStr">
        <is>
          <t>Evolving Skies</t>
        </is>
      </c>
      <c r="F51" s="110" t="inlineStr">
        <is>
          <t>194/203</t>
        </is>
      </c>
      <c r="G51" s="110" t="inlineStr">
        <is>
          <t>PSA 10</t>
        </is>
      </c>
      <c r="H51" s="113" t="n">
        <v>620</v>
      </c>
      <c r="I51" s="114" t="n">
        <v>46153</v>
      </c>
      <c r="J51" s="115" t="n">
        <v>344.11</v>
      </c>
      <c r="K51" s="115" t="n">
        <v>334.16</v>
      </c>
      <c r="L51" s="115" t="n">
        <v>311.02</v>
      </c>
      <c r="M51" s="94">
        <f>IFERROR((H51-J51)/J51,0)</f>
        <v/>
      </c>
      <c r="N51" s="94">
        <f>IFERROR((H51-K51)/K51,0)</f>
        <v/>
      </c>
      <c r="O51" s="94">
        <f>IFERROR((H51-L51)/L51,0)</f>
        <v/>
      </c>
      <c r="P51" s="113" t="n">
        <v>470</v>
      </c>
      <c r="Q51" s="113" t="n">
        <v>920</v>
      </c>
      <c r="R51" s="110" t="inlineStr">
        <is>
          <t>2-5yr</t>
        </is>
      </c>
      <c r="S51" s="110" t="n">
        <v>3</v>
      </c>
      <c r="T51" s="116" t="n">
        <v>3200</v>
      </c>
      <c r="U51" s="117">
        <f>MAX(0,MIN(100,50+((M51*0.6)+(N51*0.4))*200))</f>
        <v/>
      </c>
      <c r="V51" s="117">
        <f>MAX(20,MIN(100,50+(P51-H51)/P51*100))</f>
        <v/>
      </c>
      <c r="W51" s="117">
        <f>IFERROR(MAX(0,MIN(100,100-LOG10(T51)*16)),60)</f>
        <v/>
      </c>
      <c r="X51" s="117">
        <f>IF(C51="T2",85,IF(C51="T4",70,IF(C51="T1",65,IF(C51="T3",55,45))))</f>
        <v/>
      </c>
      <c r="Y51" s="118">
        <f>U51*0.55+W51*0.20+V51*0.15+X51*0.10+ROW()/1000000</f>
        <v/>
      </c>
      <c r="Z51" s="101">
        <f>IF(Y51&gt;=75,"STRONG BUY",IF(Y51&gt;=60,"BUY",IF(Y51&gt;=40,"HOLD",IF(Y51&gt;=25,"TRIM","SELL"))))</f>
        <v/>
      </c>
      <c r="AA51" s="119" t="inlineStr">
        <is>
          <t>https://www.tcgplayer.com/product/246702</t>
        </is>
      </c>
      <c r="AB51" s="102" t="inlineStr">
        <is>
          <t>V version of Rayquaza alt. Cheaper Rayquaza play.</t>
        </is>
      </c>
    </row>
    <row r="52" ht="23.25" customHeight="1" s="81">
      <c r="A52" s="99" t="inlineStr">
        <is>
          <t>M013</t>
        </is>
      </c>
      <c r="B52" s="92" t="inlineStr">
        <is>
          <t>Modern Chase PSA 10</t>
        </is>
      </c>
      <c r="C52" s="110" t="inlineStr">
        <is>
          <t>T2</t>
        </is>
      </c>
      <c r="D52" s="92" t="inlineStr">
        <is>
          <t>Charizard VMAX Rainbow</t>
        </is>
      </c>
      <c r="E52" s="92" t="inlineStr">
        <is>
          <t>Champion's Path</t>
        </is>
      </c>
      <c r="F52" s="110" t="inlineStr">
        <is>
          <t>74/73</t>
        </is>
      </c>
      <c r="G52" s="110" t="inlineStr">
        <is>
          <t>PSA 10</t>
        </is>
      </c>
      <c r="H52" s="113" t="n">
        <v>1100</v>
      </c>
      <c r="I52" s="114" t="n">
        <v>46153</v>
      </c>
      <c r="J52" s="115" t="n">
        <v>797.77</v>
      </c>
      <c r="K52" s="115" t="n">
        <v>804.1900000000001</v>
      </c>
      <c r="L52" s="115" t="n">
        <v>788.64</v>
      </c>
      <c r="M52" s="94">
        <f>IFERROR((H52-J52)/J52,0)</f>
        <v/>
      </c>
      <c r="N52" s="94">
        <f>IFERROR((H52-K52)/K52,0)</f>
        <v/>
      </c>
      <c r="O52" s="94">
        <f>IFERROR((H52-L52)/L52,0)</f>
        <v/>
      </c>
      <c r="P52" s="113" t="n">
        <v>850</v>
      </c>
      <c r="Q52" s="113" t="n">
        <v>1600</v>
      </c>
      <c r="R52" s="110" t="inlineStr">
        <is>
          <t>5-10yr</t>
        </is>
      </c>
      <c r="S52" s="110" t="n">
        <v>4</v>
      </c>
      <c r="T52" s="116" t="n">
        <v>4000</v>
      </c>
      <c r="U52" s="117">
        <f>MAX(0,MIN(100,50+((M52*0.6)+(N52*0.4))*200))</f>
        <v/>
      </c>
      <c r="V52" s="117">
        <f>MAX(20,MIN(100,50+(P52-H52)/P52*100))</f>
        <v/>
      </c>
      <c r="W52" s="117">
        <f>IFERROR(MAX(0,MIN(100,100-LOG10(T52)*16)),60)</f>
        <v/>
      </c>
      <c r="X52" s="117">
        <f>IF(C52="T2",85,IF(C52="T4",70,IF(C52="T1",65,IF(C52="T3",55,45))))</f>
        <v/>
      </c>
      <c r="Y52" s="118">
        <f>U52*0.55+W52*0.20+V52*0.15+X52*0.10+ROW()/1000000</f>
        <v/>
      </c>
      <c r="Z52" s="101">
        <f>IF(Y52&gt;=75,"STRONG BUY",IF(Y52&gt;=60,"BUY",IF(Y52&gt;=40,"HOLD",IF(Y52&gt;=25,"TRIM","SELL"))))</f>
        <v/>
      </c>
      <c r="AA52" s="119" t="inlineStr">
        <is>
          <t>https://www.tcgplayer.com/product/223073</t>
        </is>
      </c>
      <c r="AB52" s="102" t="inlineStr">
        <is>
          <t>Modern Charizard floor. CP sealed reprinted, this card was not.</t>
        </is>
      </c>
    </row>
    <row r="53" ht="15" customHeight="1" s="81">
      <c r="A53" s="99" t="inlineStr">
        <is>
          <t>M014</t>
        </is>
      </c>
      <c r="B53" s="92" t="inlineStr">
        <is>
          <t>Modern Chase PSA 10</t>
        </is>
      </c>
      <c r="C53" s="110" t="inlineStr">
        <is>
          <t>T2</t>
        </is>
      </c>
      <c r="D53" s="92" t="inlineStr">
        <is>
          <t>Charizard V Full Art</t>
        </is>
      </c>
      <c r="E53" s="92" t="inlineStr">
        <is>
          <t>Champion's Path</t>
        </is>
      </c>
      <c r="F53" s="110" t="inlineStr">
        <is>
          <t>79/73</t>
        </is>
      </c>
      <c r="G53" s="110" t="inlineStr">
        <is>
          <t>PSA 10</t>
        </is>
      </c>
      <c r="H53" s="113" t="n">
        <v>580</v>
      </c>
      <c r="I53" s="114" t="n">
        <v>46153</v>
      </c>
      <c r="J53" s="115" t="n">
        <v>370.83</v>
      </c>
      <c r="K53" s="115" t="n">
        <v>372.86</v>
      </c>
      <c r="L53" s="115" t="n">
        <v>357.03</v>
      </c>
      <c r="M53" s="94">
        <f>IFERROR((H53-J53)/J53,0)</f>
        <v/>
      </c>
      <c r="N53" s="94">
        <f>IFERROR((H53-K53)/K53,0)</f>
        <v/>
      </c>
      <c r="O53" s="94">
        <f>IFERROR((H53-L53)/L53,0)</f>
        <v/>
      </c>
      <c r="P53" s="113" t="n">
        <v>440</v>
      </c>
      <c r="Q53" s="113" t="n">
        <v>850</v>
      </c>
      <c r="R53" s="110" t="inlineStr">
        <is>
          <t>3-5yr</t>
        </is>
      </c>
      <c r="S53" s="110" t="n">
        <v>3</v>
      </c>
      <c r="T53" s="116" t="n">
        <v>3500</v>
      </c>
      <c r="U53" s="117">
        <f>MAX(0,MIN(100,50+((M53*0.6)+(N53*0.4))*200))</f>
        <v/>
      </c>
      <c r="V53" s="117">
        <f>MAX(20,MIN(100,50+(P53-H53)/P53*100))</f>
        <v/>
      </c>
      <c r="W53" s="117">
        <f>IFERROR(MAX(0,MIN(100,100-LOG10(T53)*16)),60)</f>
        <v/>
      </c>
      <c r="X53" s="117">
        <f>IF(C53="T2",85,IF(C53="T4",70,IF(C53="T1",65,IF(C53="T3",55,45))))</f>
        <v/>
      </c>
      <c r="Y53" s="118">
        <f>U53*0.55+W53*0.20+V53*0.15+X53*0.10+ROW()/1000000</f>
        <v/>
      </c>
      <c r="Z53" s="101">
        <f>IF(Y53&gt;=75,"STRONG BUY",IF(Y53&gt;=60,"BUY",IF(Y53&gt;=40,"HOLD",IF(Y53&gt;=25,"TRIM","SELL"))))</f>
        <v/>
      </c>
      <c r="AA53" s="119" t="inlineStr">
        <is>
          <t>https://www.tcgplayer.com/product/223078</t>
        </is>
      </c>
      <c r="AB53" s="102" t="inlineStr">
        <is>
          <t>V Full Art Charizard. Sister to Rainbow VMAX.</t>
        </is>
      </c>
    </row>
    <row r="54" ht="15" customHeight="1" s="81">
      <c r="A54" s="99" t="inlineStr">
        <is>
          <t>M015</t>
        </is>
      </c>
      <c r="B54" s="92" t="inlineStr">
        <is>
          <t>Modern Chase PSA 10</t>
        </is>
      </c>
      <c r="C54" s="110" t="inlineStr">
        <is>
          <t>T2</t>
        </is>
      </c>
      <c r="D54" s="92" t="inlineStr">
        <is>
          <t>Charizard VSTAR Rainbow</t>
        </is>
      </c>
      <c r="E54" s="92" t="inlineStr">
        <is>
          <t>Brilliant Stars</t>
        </is>
      </c>
      <c r="F54" s="110" t="inlineStr">
        <is>
          <t>174/172</t>
        </is>
      </c>
      <c r="G54" s="110" t="inlineStr">
        <is>
          <t>PSA 10</t>
        </is>
      </c>
      <c r="H54" s="113" t="n">
        <v>680</v>
      </c>
      <c r="I54" s="114" t="n">
        <v>46153</v>
      </c>
      <c r="J54" s="115" t="n">
        <v>444.46</v>
      </c>
      <c r="K54" s="115" t="n">
        <v>426.28</v>
      </c>
      <c r="L54" s="115" t="n">
        <v>402.4</v>
      </c>
      <c r="M54" s="94">
        <f>IFERROR((H54-J54)/J54,0)</f>
        <v/>
      </c>
      <c r="N54" s="94">
        <f>IFERROR((H54-K54)/K54,0)</f>
        <v/>
      </c>
      <c r="O54" s="94">
        <f>IFERROR((H54-L54)/L54,0)</f>
        <v/>
      </c>
      <c r="P54" s="113" t="n">
        <v>510</v>
      </c>
      <c r="Q54" s="113" t="n">
        <v>1000</v>
      </c>
      <c r="R54" s="110" t="inlineStr">
        <is>
          <t>3-5yr</t>
        </is>
      </c>
      <c r="S54" s="110" t="n">
        <v>3</v>
      </c>
      <c r="T54" s="116" t="n">
        <v>3200</v>
      </c>
      <c r="U54" s="117">
        <f>MAX(0,MIN(100,50+((M54*0.6)+(N54*0.4))*200))</f>
        <v/>
      </c>
      <c r="V54" s="117">
        <f>MAX(20,MIN(100,50+(P54-H54)/P54*100))</f>
        <v/>
      </c>
      <c r="W54" s="117">
        <f>IFERROR(MAX(0,MIN(100,100-LOG10(T54)*16)),60)</f>
        <v/>
      </c>
      <c r="X54" s="117">
        <f>IF(C54="T2",85,IF(C54="T4",70,IF(C54="T1",65,IF(C54="T3",55,45))))</f>
        <v/>
      </c>
      <c r="Y54" s="118">
        <f>U54*0.55+W54*0.20+V54*0.15+X54*0.10+ROW()/1000000</f>
        <v/>
      </c>
      <c r="Z54" s="101">
        <f>IF(Y54&gt;=75,"STRONG BUY",IF(Y54&gt;=60,"BUY",IF(Y54&gt;=40,"HOLD",IF(Y54&gt;=25,"TRIM","SELL"))))</f>
        <v/>
      </c>
      <c r="AA54" s="119" t="inlineStr">
        <is>
          <t>https://www.tcgplayer.com/product/261975</t>
        </is>
      </c>
      <c r="AB54" s="102" t="inlineStr">
        <is>
          <t>Brilliant Stars chase. Strong art.</t>
        </is>
      </c>
    </row>
    <row r="55" ht="15" customHeight="1" s="81">
      <c r="A55" s="99" t="inlineStr">
        <is>
          <t>M016</t>
        </is>
      </c>
      <c r="B55" s="92" t="inlineStr">
        <is>
          <t>Modern Chase PSA 10</t>
        </is>
      </c>
      <c r="C55" s="110" t="inlineStr">
        <is>
          <t>T2</t>
        </is>
      </c>
      <c r="D55" s="92" t="inlineStr">
        <is>
          <t>Mewtwo VSTAR Alt Art</t>
        </is>
      </c>
      <c r="E55" s="92" t="inlineStr">
        <is>
          <t>Brilliant Stars</t>
        </is>
      </c>
      <c r="F55" s="110" t="inlineStr">
        <is>
          <t>176/172</t>
        </is>
      </c>
      <c r="G55" s="110" t="inlineStr">
        <is>
          <t>PSA 10</t>
        </is>
      </c>
      <c r="H55" s="113" t="n">
        <v>520</v>
      </c>
      <c r="I55" s="114" t="n">
        <v>46153</v>
      </c>
      <c r="J55" s="115" t="n">
        <v>319.2</v>
      </c>
      <c r="K55" s="115" t="n">
        <v>300.14</v>
      </c>
      <c r="L55" s="115" t="n">
        <v>283.21</v>
      </c>
      <c r="M55" s="94">
        <f>IFERROR((H55-J55)/J55,0)</f>
        <v/>
      </c>
      <c r="N55" s="94">
        <f>IFERROR((H55-K55)/K55,0)</f>
        <v/>
      </c>
      <c r="O55" s="94">
        <f>IFERROR((H55-L55)/L55,0)</f>
        <v/>
      </c>
      <c r="P55" s="113" t="n">
        <v>390</v>
      </c>
      <c r="Q55" s="113" t="n">
        <v>780</v>
      </c>
      <c r="R55" s="110" t="inlineStr">
        <is>
          <t>3-5yr</t>
        </is>
      </c>
      <c r="S55" s="110" t="n">
        <v>3</v>
      </c>
      <c r="T55" s="116" t="n">
        <v>2800</v>
      </c>
      <c r="U55" s="117">
        <f>MAX(0,MIN(100,50+((M55*0.6)+(N55*0.4))*200))</f>
        <v/>
      </c>
      <c r="V55" s="117">
        <f>MAX(20,MIN(100,50+(P55-H55)/P55*100))</f>
        <v/>
      </c>
      <c r="W55" s="117">
        <f>IFERROR(MAX(0,MIN(100,100-LOG10(T55)*16)),60)</f>
        <v/>
      </c>
      <c r="X55" s="117">
        <f>IF(C55="T2",85,IF(C55="T4",70,IF(C55="T1",65,IF(C55="T3",55,45))))</f>
        <v/>
      </c>
      <c r="Y55" s="118">
        <f>U55*0.55+W55*0.20+V55*0.15+X55*0.10+ROW()/1000000</f>
        <v/>
      </c>
      <c r="Z55" s="101">
        <f>IF(Y55&gt;=75,"STRONG BUY",IF(Y55&gt;=60,"BUY",IF(Y55&gt;=40,"HOLD",IF(Y55&gt;=25,"TRIM","SELL"))))</f>
        <v/>
      </c>
      <c r="AA55" s="119" t="inlineStr">
        <is>
          <t>https://www.tcgplayer.com/product/261977</t>
        </is>
      </c>
      <c r="AB55" s="102" t="inlineStr">
        <is>
          <t>Trainer Gallery / alt art Mewtwo. Strong floor.</t>
        </is>
      </c>
    </row>
    <row r="56" ht="15" customHeight="1" s="81">
      <c r="A56" s="99" t="inlineStr">
        <is>
          <t>M017</t>
        </is>
      </c>
      <c r="B56" s="92" t="inlineStr">
        <is>
          <t>Modern Chase PSA 10</t>
        </is>
      </c>
      <c r="C56" s="110" t="inlineStr">
        <is>
          <t>T2</t>
        </is>
      </c>
      <c r="D56" s="92" t="inlineStr">
        <is>
          <t>Whimsicott VSTAR Alt Art</t>
        </is>
      </c>
      <c r="E56" s="92" t="inlineStr">
        <is>
          <t>Brilliant Stars</t>
        </is>
      </c>
      <c r="F56" s="110" t="inlineStr">
        <is>
          <t>175/172</t>
        </is>
      </c>
      <c r="G56" s="110" t="inlineStr">
        <is>
          <t>PSA 10</t>
        </is>
      </c>
      <c r="H56" s="113" t="n">
        <v>320</v>
      </c>
      <c r="I56" s="114" t="n">
        <v>46153</v>
      </c>
      <c r="J56" s="115" t="n">
        <v>174.56</v>
      </c>
      <c r="K56" s="115" t="n">
        <v>163.7</v>
      </c>
      <c r="L56" s="115" t="n">
        <v>150.61</v>
      </c>
      <c r="M56" s="94">
        <f>IFERROR((H56-J56)/J56,0)</f>
        <v/>
      </c>
      <c r="N56" s="94">
        <f>IFERROR((H56-K56)/K56,0)</f>
        <v/>
      </c>
      <c r="O56" s="94">
        <f>IFERROR((H56-L56)/L56,0)</f>
        <v/>
      </c>
      <c r="P56" s="113" t="n">
        <v>240</v>
      </c>
      <c r="Q56" s="113" t="n">
        <v>480</v>
      </c>
      <c r="R56" s="110" t="inlineStr">
        <is>
          <t>2-5yr</t>
        </is>
      </c>
      <c r="S56" s="110" t="n">
        <v>3</v>
      </c>
      <c r="T56" s="116" t="n">
        <v>2400</v>
      </c>
      <c r="U56" s="117">
        <f>MAX(0,MIN(100,50+((M56*0.6)+(N56*0.4))*200))</f>
        <v/>
      </c>
      <c r="V56" s="117">
        <f>MAX(20,MIN(100,50+(P56-H56)/P56*100))</f>
        <v/>
      </c>
      <c r="W56" s="117">
        <f>IFERROR(MAX(0,MIN(100,100-LOG10(T56)*16)),60)</f>
        <v/>
      </c>
      <c r="X56" s="117">
        <f>IF(C56="T2",85,IF(C56="T4",70,IF(C56="T1",65,IF(C56="T3",55,45))))</f>
        <v/>
      </c>
      <c r="Y56" s="118">
        <f>U56*0.55+W56*0.20+V56*0.15+X56*0.10+ROW()/1000000</f>
        <v/>
      </c>
      <c r="Z56" s="101">
        <f>IF(Y56&gt;=75,"STRONG BUY",IF(Y56&gt;=60,"BUY",IF(Y56&gt;=40,"HOLD",IF(Y56&gt;=25,"TRIM","SELL"))))</f>
        <v/>
      </c>
      <c r="AA56" s="119" t="inlineStr">
        <is>
          <t>https://www.tcgplayer.com/product/261976</t>
        </is>
      </c>
      <c r="AB56" s="102" t="inlineStr">
        <is>
          <t>Sleeper from BRS. Art-driven demand.</t>
        </is>
      </c>
    </row>
    <row r="57" ht="15" customHeight="1" s="81">
      <c r="A57" s="99" t="inlineStr">
        <is>
          <t>M018</t>
        </is>
      </c>
      <c r="B57" s="92" t="inlineStr">
        <is>
          <t>Modern Chase PSA 10</t>
        </is>
      </c>
      <c r="C57" s="110" t="inlineStr">
        <is>
          <t>T2</t>
        </is>
      </c>
      <c r="D57" s="92" t="inlineStr">
        <is>
          <t>Arceus VSTAR Alt Art</t>
        </is>
      </c>
      <c r="E57" s="92" t="inlineStr">
        <is>
          <t>Brilliant Stars</t>
        </is>
      </c>
      <c r="F57" s="110" t="inlineStr">
        <is>
          <t>184/172</t>
        </is>
      </c>
      <c r="G57" s="110" t="inlineStr">
        <is>
          <t>PSA 10</t>
        </is>
      </c>
      <c r="H57" s="113" t="n">
        <v>380</v>
      </c>
      <c r="I57" s="114" t="n">
        <v>46153</v>
      </c>
      <c r="J57" s="115" t="n">
        <v>219.98</v>
      </c>
      <c r="K57" s="115" t="n">
        <v>209.72</v>
      </c>
      <c r="L57" s="115" t="n">
        <v>193.77</v>
      </c>
      <c r="M57" s="94">
        <f>IFERROR((H57-J57)/J57,0)</f>
        <v/>
      </c>
      <c r="N57" s="94">
        <f>IFERROR((H57-K57)/K57,0)</f>
        <v/>
      </c>
      <c r="O57" s="94">
        <f>IFERROR((H57-L57)/L57,0)</f>
        <v/>
      </c>
      <c r="P57" s="113" t="n">
        <v>290</v>
      </c>
      <c r="Q57" s="113" t="n">
        <v>570</v>
      </c>
      <c r="R57" s="110" t="inlineStr">
        <is>
          <t>2-5yr</t>
        </is>
      </c>
      <c r="S57" s="110" t="n">
        <v>3</v>
      </c>
      <c r="T57" s="116" t="n">
        <v>2200</v>
      </c>
      <c r="U57" s="117">
        <f>MAX(0,MIN(100,50+((M57*0.6)+(N57*0.4))*200))</f>
        <v/>
      </c>
      <c r="V57" s="117">
        <f>MAX(20,MIN(100,50+(P57-H57)/P57*100))</f>
        <v/>
      </c>
      <c r="W57" s="117">
        <f>IFERROR(MAX(0,MIN(100,100-LOG10(T57)*16)),60)</f>
        <v/>
      </c>
      <c r="X57" s="117">
        <f>IF(C57="T2",85,IF(C57="T4",70,IF(C57="T1",65,IF(C57="T3",55,45))))</f>
        <v/>
      </c>
      <c r="Y57" s="118">
        <f>U57*0.55+W57*0.20+V57*0.15+X57*0.10+ROW()/1000000</f>
        <v/>
      </c>
      <c r="Z57" s="101">
        <f>IF(Y57&gt;=75,"STRONG BUY",IF(Y57&gt;=60,"BUY",IF(Y57&gt;=40,"HOLD",IF(Y57&gt;=25,"TRIM","SELL"))))</f>
        <v/>
      </c>
      <c r="AA57" s="119" t="inlineStr">
        <is>
          <t>https://www.tcgplayer.com/product/261985</t>
        </is>
      </c>
      <c r="AB57" s="102" t="inlineStr">
        <is>
          <t>Legendary VSTAR alt. Pairs with M016.</t>
        </is>
      </c>
    </row>
    <row r="58" ht="15" customHeight="1" s="81">
      <c r="A58" s="99" t="inlineStr">
        <is>
          <t>M019</t>
        </is>
      </c>
      <c r="B58" s="92" t="inlineStr">
        <is>
          <t>Modern Chase PSA 10</t>
        </is>
      </c>
      <c r="C58" s="110" t="inlineStr">
        <is>
          <t>T2</t>
        </is>
      </c>
      <c r="D58" s="92" t="inlineStr">
        <is>
          <t>Origin Forme Palkia VSTAR Alt</t>
        </is>
      </c>
      <c r="E58" s="92" t="inlineStr">
        <is>
          <t>Astral Radiance</t>
        </is>
      </c>
      <c r="F58" s="110" t="inlineStr">
        <is>
          <t>208/189</t>
        </is>
      </c>
      <c r="G58" s="110" t="inlineStr">
        <is>
          <t>PSA 10</t>
        </is>
      </c>
      <c r="H58" s="113" t="n">
        <v>390</v>
      </c>
      <c r="I58" s="114" t="n">
        <v>46153</v>
      </c>
      <c r="J58" s="115" t="n">
        <v>232.69</v>
      </c>
      <c r="K58" s="115" t="n">
        <v>224.45</v>
      </c>
      <c r="L58" s="115" t="n">
        <v>202.07</v>
      </c>
      <c r="M58" s="94">
        <f>IFERROR((H58-J58)/J58,0)</f>
        <v/>
      </c>
      <c r="N58" s="94">
        <f>IFERROR((H58-K58)/K58,0)</f>
        <v/>
      </c>
      <c r="O58" s="94">
        <f>IFERROR((H58-L58)/L58,0)</f>
        <v/>
      </c>
      <c r="P58" s="113" t="n">
        <v>290</v>
      </c>
      <c r="Q58" s="113" t="n">
        <v>580</v>
      </c>
      <c r="R58" s="110" t="inlineStr">
        <is>
          <t>2-5yr</t>
        </is>
      </c>
      <c r="S58" s="110" t="n">
        <v>3</v>
      </c>
      <c r="T58" s="116" t="n">
        <v>2100</v>
      </c>
      <c r="U58" s="117">
        <f>MAX(0,MIN(100,50+((M58*0.6)+(N58*0.4))*200))</f>
        <v/>
      </c>
      <c r="V58" s="117">
        <f>MAX(20,MIN(100,50+(P58-H58)/P58*100))</f>
        <v/>
      </c>
      <c r="W58" s="117">
        <f>IFERROR(MAX(0,MIN(100,100-LOG10(T58)*16)),60)</f>
        <v/>
      </c>
      <c r="X58" s="117">
        <f>IF(C58="T2",85,IF(C58="T4",70,IF(C58="T1",65,IF(C58="T3",55,45))))</f>
        <v/>
      </c>
      <c r="Y58" s="118">
        <f>U58*0.55+W58*0.20+V58*0.15+X58*0.10+ROW()/1000000</f>
        <v/>
      </c>
      <c r="Z58" s="101">
        <f>IF(Y58&gt;=75,"STRONG BUY",IF(Y58&gt;=60,"BUY",IF(Y58&gt;=40,"HOLD",IF(Y58&gt;=25,"TRIM","SELL"))))</f>
        <v/>
      </c>
      <c r="AA58" s="119" t="inlineStr">
        <is>
          <t>https://www.tcgplayer.com/product/267749</t>
        </is>
      </c>
      <c r="AB58" s="102" t="inlineStr">
        <is>
          <t>Origin Forme - new lore. Lower pop than peers.</t>
        </is>
      </c>
    </row>
    <row r="59" ht="15" customHeight="1" s="81">
      <c r="A59" s="99" t="inlineStr">
        <is>
          <t>M020</t>
        </is>
      </c>
      <c r="B59" s="92" t="inlineStr">
        <is>
          <t>Modern Chase PSA 10</t>
        </is>
      </c>
      <c r="C59" s="110" t="inlineStr">
        <is>
          <t>T2</t>
        </is>
      </c>
      <c r="D59" s="92" t="inlineStr">
        <is>
          <t>Origin Forme Dialga VSTAR Alt</t>
        </is>
      </c>
      <c r="E59" s="92" t="inlineStr">
        <is>
          <t>Astral Radiance</t>
        </is>
      </c>
      <c r="F59" s="110" t="inlineStr">
        <is>
          <t>207/189</t>
        </is>
      </c>
      <c r="G59" s="110" t="inlineStr">
        <is>
          <t>PSA 10</t>
        </is>
      </c>
      <c r="H59" s="113" t="n">
        <v>380</v>
      </c>
      <c r="I59" s="114" t="n">
        <v>46153</v>
      </c>
      <c r="J59" s="115" t="n">
        <v>227.19</v>
      </c>
      <c r="K59" s="115" t="n">
        <v>215.93</v>
      </c>
      <c r="L59" s="115" t="n">
        <v>199.03</v>
      </c>
      <c r="M59" s="94">
        <f>IFERROR((H59-J59)/J59,0)</f>
        <v/>
      </c>
      <c r="N59" s="94">
        <f>IFERROR((H59-K59)/K59,0)</f>
        <v/>
      </c>
      <c r="O59" s="94">
        <f>IFERROR((H59-L59)/L59,0)</f>
        <v/>
      </c>
      <c r="P59" s="113" t="n">
        <v>280</v>
      </c>
      <c r="Q59" s="113" t="n">
        <v>570</v>
      </c>
      <c r="R59" s="110" t="inlineStr">
        <is>
          <t>2-5yr</t>
        </is>
      </c>
      <c r="S59" s="110" t="n">
        <v>3</v>
      </c>
      <c r="T59" s="116" t="n">
        <v>2200</v>
      </c>
      <c r="U59" s="117">
        <f>MAX(0,MIN(100,50+((M59*0.6)+(N59*0.4))*200))</f>
        <v/>
      </c>
      <c r="V59" s="117">
        <f>MAX(20,MIN(100,50+(P59-H59)/P59*100))</f>
        <v/>
      </c>
      <c r="W59" s="117">
        <f>IFERROR(MAX(0,MIN(100,100-LOG10(T59)*16)),60)</f>
        <v/>
      </c>
      <c r="X59" s="117">
        <f>IF(C59="T2",85,IF(C59="T4",70,IF(C59="T1",65,IF(C59="T3",55,45))))</f>
        <v/>
      </c>
      <c r="Y59" s="118">
        <f>U59*0.55+W59*0.20+V59*0.15+X59*0.10+ROW()/1000000</f>
        <v/>
      </c>
      <c r="Z59" s="101">
        <f>IF(Y59&gt;=75,"STRONG BUY",IF(Y59&gt;=60,"BUY",IF(Y59&gt;=40,"HOLD",IF(Y59&gt;=25,"TRIM","SELL"))))</f>
        <v/>
      </c>
      <c r="AA59" s="119" t="inlineStr">
        <is>
          <t>https://www.tcgplayer.com/product/267748</t>
        </is>
      </c>
      <c r="AB59" s="102" t="inlineStr">
        <is>
          <t>Sister to M019. Sinnoh legendary pair.</t>
        </is>
      </c>
    </row>
    <row r="60" ht="23.25" customHeight="1" s="81">
      <c r="A60" s="99" t="inlineStr">
        <is>
          <t>M021</t>
        </is>
      </c>
      <c r="B60" s="92" t="inlineStr">
        <is>
          <t>Modern Chase PSA 10</t>
        </is>
      </c>
      <c r="C60" s="110" t="inlineStr">
        <is>
          <t>T2</t>
        </is>
      </c>
      <c r="D60" s="92" t="inlineStr">
        <is>
          <t>Giratina VSTAR Alt Art</t>
        </is>
      </c>
      <c r="E60" s="92" t="inlineStr">
        <is>
          <t>Lost Origin</t>
        </is>
      </c>
      <c r="F60" s="110" t="inlineStr">
        <is>
          <t>TG30/TG30</t>
        </is>
      </c>
      <c r="G60" s="110" t="inlineStr">
        <is>
          <t>PSA 10</t>
        </is>
      </c>
      <c r="H60" s="113" t="n">
        <v>440</v>
      </c>
      <c r="I60" s="114" t="n">
        <v>46153</v>
      </c>
      <c r="J60" s="115" t="n">
        <v>247.88</v>
      </c>
      <c r="K60" s="115" t="n">
        <v>222.23</v>
      </c>
      <c r="L60" s="115" t="n">
        <v>189.85</v>
      </c>
      <c r="M60" s="94">
        <f>IFERROR((H60-J60)/J60,0)</f>
        <v/>
      </c>
      <c r="N60" s="94">
        <f>IFERROR((H60-K60)/K60,0)</f>
        <v/>
      </c>
      <c r="O60" s="94">
        <f>IFERROR((H60-L60)/L60,0)</f>
        <v/>
      </c>
      <c r="P60" s="113" t="n">
        <v>330</v>
      </c>
      <c r="Q60" s="113" t="n">
        <v>660</v>
      </c>
      <c r="R60" s="110" t="inlineStr">
        <is>
          <t>2-5yr</t>
        </is>
      </c>
      <c r="S60" s="110" t="n">
        <v>4</v>
      </c>
      <c r="T60" s="116" t="n">
        <v>5500</v>
      </c>
      <c r="U60" s="117">
        <f>MAX(0,MIN(100,50+((M60*0.6)+(N60*0.4))*200))</f>
        <v/>
      </c>
      <c r="V60" s="117">
        <f>MAX(20,MIN(100,50+(P60-H60)/P60*100))</f>
        <v/>
      </c>
      <c r="W60" s="117">
        <f>IFERROR(MAX(0,MIN(100,100-LOG10(T60)*16)),60)</f>
        <v/>
      </c>
      <c r="X60" s="117">
        <f>IF(C60="T2",85,IF(C60="T4",70,IF(C60="T1",65,IF(C60="T3",55,45))))</f>
        <v/>
      </c>
      <c r="Y60" s="118">
        <f>U60*0.55+W60*0.20+V60*0.15+X60*0.10+ROW()/1000000</f>
        <v/>
      </c>
      <c r="Z60" s="101">
        <f>IF(Y60&gt;=75,"STRONG BUY",IF(Y60&gt;=60,"BUY",IF(Y60&gt;=40,"HOLD",IF(Y60&gt;=25,"TRIM","SELL"))))</f>
        <v/>
      </c>
      <c r="AA60" s="119" t="inlineStr">
        <is>
          <t>https://www.pricecharting.com/game/pokemon-lost-origin/giratina-vstar-tg30</t>
        </is>
      </c>
      <c r="AB60" s="102" t="inlineStr">
        <is>
          <t>Up 12% past 30D. Strong art. Buy on any dip.</t>
        </is>
      </c>
    </row>
    <row r="61" ht="23.25" customHeight="1" s="81">
      <c r="A61" s="99" t="inlineStr">
        <is>
          <t>M022</t>
        </is>
      </c>
      <c r="B61" s="92" t="inlineStr">
        <is>
          <t>Modern Chase PSA 10</t>
        </is>
      </c>
      <c r="C61" s="110" t="inlineStr">
        <is>
          <t>T2</t>
        </is>
      </c>
      <c r="D61" s="92" t="inlineStr">
        <is>
          <t>Aerodactyl V Alt Art</t>
        </is>
      </c>
      <c r="E61" s="92" t="inlineStr">
        <is>
          <t>Lost Origin</t>
        </is>
      </c>
      <c r="F61" s="110" t="inlineStr">
        <is>
          <t>TG21/TG30</t>
        </is>
      </c>
      <c r="G61" s="110" t="inlineStr">
        <is>
          <t>PSA 10</t>
        </is>
      </c>
      <c r="H61" s="113" t="n">
        <v>160</v>
      </c>
      <c r="I61" s="114" t="n">
        <v>46153</v>
      </c>
      <c r="J61" s="115" t="n">
        <v>88.86</v>
      </c>
      <c r="K61" s="115" t="n">
        <v>85.59999999999999</v>
      </c>
      <c r="L61" s="115" t="n">
        <v>80.56999999999999</v>
      </c>
      <c r="M61" s="94">
        <f>IFERROR((H61-J61)/J61,0)</f>
        <v/>
      </c>
      <c r="N61" s="94">
        <f>IFERROR((H61-K61)/K61,0)</f>
        <v/>
      </c>
      <c r="O61" s="94">
        <f>IFERROR((H61-L61)/L61,0)</f>
        <v/>
      </c>
      <c r="P61" s="113" t="n">
        <v>120</v>
      </c>
      <c r="Q61" s="113" t="n">
        <v>240</v>
      </c>
      <c r="R61" s="110" t="inlineStr">
        <is>
          <t>2-5yr</t>
        </is>
      </c>
      <c r="S61" s="110" t="n">
        <v>3</v>
      </c>
      <c r="T61" s="116" t="n">
        <v>1900</v>
      </c>
      <c r="U61" s="117">
        <f>MAX(0,MIN(100,50+((M61*0.6)+(N61*0.4))*200))</f>
        <v/>
      </c>
      <c r="V61" s="117">
        <f>MAX(20,MIN(100,50+(P61-H61)/P61*100))</f>
        <v/>
      </c>
      <c r="W61" s="117">
        <f>IFERROR(MAX(0,MIN(100,100-LOG10(T61)*16)),60)</f>
        <v/>
      </c>
      <c r="X61" s="117">
        <f>IF(C61="T2",85,IF(C61="T4",70,IF(C61="T1",65,IF(C61="T3",55,45))))</f>
        <v/>
      </c>
      <c r="Y61" s="118">
        <f>U61*0.55+W61*0.20+V61*0.15+X61*0.10+ROW()/1000000</f>
        <v/>
      </c>
      <c r="Z61" s="101">
        <f>IF(Y61&gt;=75,"STRONG BUY",IF(Y61&gt;=60,"BUY",IF(Y61&gt;=40,"HOLD",IF(Y61&gt;=25,"TRIM","SELL"))))</f>
        <v/>
      </c>
      <c r="AA61" s="119" t="inlineStr">
        <is>
          <t>https://www.tcgplayer.com/product/271620</t>
        </is>
      </c>
      <c r="AB61" s="102" t="inlineStr">
        <is>
          <t>LO Trainer Gallery sleeper. Low ticket entry.</t>
        </is>
      </c>
    </row>
    <row r="62" ht="23.25" customHeight="1" s="81">
      <c r="A62" s="99" t="inlineStr">
        <is>
          <t>M023</t>
        </is>
      </c>
      <c r="B62" s="92" t="inlineStr">
        <is>
          <t>Modern Chase PSA 10</t>
        </is>
      </c>
      <c r="C62" s="110" t="inlineStr">
        <is>
          <t>T2</t>
        </is>
      </c>
      <c r="D62" s="92" t="inlineStr">
        <is>
          <t>Magnezone V Alt Art</t>
        </is>
      </c>
      <c r="E62" s="92" t="inlineStr">
        <is>
          <t>Lost Origin</t>
        </is>
      </c>
      <c r="F62" s="110" t="inlineStr">
        <is>
          <t>TG13/TG30</t>
        </is>
      </c>
      <c r="G62" s="110" t="inlineStr">
        <is>
          <t>PSA 10</t>
        </is>
      </c>
      <c r="H62" s="113" t="n">
        <v>110</v>
      </c>
      <c r="I62" s="114" t="n">
        <v>46153</v>
      </c>
      <c r="J62" s="115" t="n">
        <v>60.27</v>
      </c>
      <c r="K62" s="115" t="n">
        <v>57.47</v>
      </c>
      <c r="L62" s="115" t="n">
        <v>54.17</v>
      </c>
      <c r="M62" s="94">
        <f>IFERROR((H62-J62)/J62,0)</f>
        <v/>
      </c>
      <c r="N62" s="94">
        <f>IFERROR((H62-K62)/K62,0)</f>
        <v/>
      </c>
      <c r="O62" s="94">
        <f>IFERROR((H62-L62)/L62,0)</f>
        <v/>
      </c>
      <c r="P62" s="113" t="n">
        <v>85</v>
      </c>
      <c r="Q62" s="113" t="n">
        <v>170</v>
      </c>
      <c r="R62" s="110" t="inlineStr">
        <is>
          <t>2-5yr</t>
        </is>
      </c>
      <c r="S62" s="110" t="n">
        <v>3</v>
      </c>
      <c r="T62" s="116" t="n">
        <v>1600</v>
      </c>
      <c r="U62" s="117">
        <f>MAX(0,MIN(100,50+((M62*0.6)+(N62*0.4))*200))</f>
        <v/>
      </c>
      <c r="V62" s="117">
        <f>MAX(20,MIN(100,50+(P62-H62)/P62*100))</f>
        <v/>
      </c>
      <c r="W62" s="117">
        <f>IFERROR(MAX(0,MIN(100,100-LOG10(T62)*16)),60)</f>
        <v/>
      </c>
      <c r="X62" s="117">
        <f>IF(C62="T2",85,IF(C62="T4",70,IF(C62="T1",65,IF(C62="T3",55,45))))</f>
        <v/>
      </c>
      <c r="Y62" s="118">
        <f>U62*0.55+W62*0.20+V62*0.15+X62*0.10+ROW()/1000000</f>
        <v/>
      </c>
      <c r="Z62" s="101">
        <f>IF(Y62&gt;=75,"STRONG BUY",IF(Y62&gt;=60,"BUY",IF(Y62&gt;=40,"HOLD",IF(Y62&gt;=25,"TRIM","SELL"))))</f>
        <v/>
      </c>
      <c r="AA62" s="119" t="inlineStr">
        <is>
          <t>https://www.tcgplayer.com/product/271612</t>
        </is>
      </c>
      <c r="AB62" s="102" t="inlineStr">
        <is>
          <t>Bulk-tier LO alt. Volume play.</t>
        </is>
      </c>
    </row>
    <row r="63" ht="23.25" customHeight="1" s="81">
      <c r="A63" s="99" t="inlineStr">
        <is>
          <t>M024</t>
        </is>
      </c>
      <c r="B63" s="92" t="inlineStr">
        <is>
          <t>Modern Chase PSA 10</t>
        </is>
      </c>
      <c r="C63" s="110" t="inlineStr">
        <is>
          <t>T2</t>
        </is>
      </c>
      <c r="D63" s="92" t="inlineStr">
        <is>
          <t>Lugia VSTAR Alt Art</t>
        </is>
      </c>
      <c r="E63" s="92" t="inlineStr">
        <is>
          <t>Silver Tempest</t>
        </is>
      </c>
      <c r="F63" s="110" t="inlineStr">
        <is>
          <t>TG30/TG30</t>
        </is>
      </c>
      <c r="G63" s="110" t="inlineStr">
        <is>
          <t>PSA 10</t>
        </is>
      </c>
      <c r="H63" s="113" t="n">
        <v>820</v>
      </c>
      <c r="I63" s="114" t="n">
        <v>46153</v>
      </c>
      <c r="J63" s="115" t="n">
        <v>517.3</v>
      </c>
      <c r="K63" s="115" t="n">
        <v>485.85</v>
      </c>
      <c r="L63" s="115" t="n">
        <v>433.1</v>
      </c>
      <c r="M63" s="94">
        <f>IFERROR((H63-J63)/J63,0)</f>
        <v/>
      </c>
      <c r="N63" s="94">
        <f>IFERROR((H63-K63)/K63,0)</f>
        <v/>
      </c>
      <c r="O63" s="94">
        <f>IFERROR((H63-L63)/L63,0)</f>
        <v/>
      </c>
      <c r="P63" s="113" t="n">
        <v>620</v>
      </c>
      <c r="Q63" s="113" t="n">
        <v>1230</v>
      </c>
      <c r="R63" s="110" t="inlineStr">
        <is>
          <t>3-5yr</t>
        </is>
      </c>
      <c r="S63" s="110" t="n">
        <v>4</v>
      </c>
      <c r="T63" s="116" t="n">
        <v>3800</v>
      </c>
      <c r="U63" s="117">
        <f>MAX(0,MIN(100,50+((M63*0.6)+(N63*0.4))*200))</f>
        <v/>
      </c>
      <c r="V63" s="117">
        <f>MAX(20,MIN(100,50+(P63-H63)/P63*100))</f>
        <v/>
      </c>
      <c r="W63" s="117">
        <f>IFERROR(MAX(0,MIN(100,100-LOG10(T63)*16)),60)</f>
        <v/>
      </c>
      <c r="X63" s="117">
        <f>IF(C63="T2",85,IF(C63="T4",70,IF(C63="T1",65,IF(C63="T3",55,45))))</f>
        <v/>
      </c>
      <c r="Y63" s="118">
        <f>U63*0.55+W63*0.20+V63*0.15+X63*0.10+ROW()/1000000</f>
        <v/>
      </c>
      <c r="Z63" s="101">
        <f>IF(Y63&gt;=75,"STRONG BUY",IF(Y63&gt;=60,"BUY",IF(Y63&gt;=40,"HOLD",IF(Y63&gt;=25,"TRIM","SELL"))))</f>
        <v/>
      </c>
      <c r="AA63" s="119" t="inlineStr">
        <is>
          <t>https://www.tcgplayer.com/product/278920</t>
        </is>
      </c>
      <c r="AB63" s="102" t="inlineStr">
        <is>
          <t>Silver Tempest chase. Lugia brand strength.</t>
        </is>
      </c>
    </row>
    <row r="64" ht="23.25" customHeight="1" s="81">
      <c r="A64" s="99" t="inlineStr">
        <is>
          <t>M025</t>
        </is>
      </c>
      <c r="B64" s="92" t="inlineStr">
        <is>
          <t>Modern Chase PSA 10</t>
        </is>
      </c>
      <c r="C64" s="110" t="inlineStr">
        <is>
          <t>T2</t>
        </is>
      </c>
      <c r="D64" s="92" t="inlineStr">
        <is>
          <t>Alakazam V Alt Art</t>
        </is>
      </c>
      <c r="E64" s="92" t="inlineStr">
        <is>
          <t>Silver Tempest</t>
        </is>
      </c>
      <c r="F64" s="110" t="inlineStr">
        <is>
          <t>TG07/TG30</t>
        </is>
      </c>
      <c r="G64" s="110" t="inlineStr">
        <is>
          <t>PSA 10</t>
        </is>
      </c>
      <c r="H64" s="113" t="n">
        <v>240</v>
      </c>
      <c r="I64" s="114" t="n">
        <v>46153</v>
      </c>
      <c r="J64" s="115" t="n">
        <v>140.49</v>
      </c>
      <c r="K64" s="115" t="n">
        <v>130.93</v>
      </c>
      <c r="L64" s="115" t="n">
        <v>120.01</v>
      </c>
      <c r="M64" s="94">
        <f>IFERROR((H64-J64)/J64,0)</f>
        <v/>
      </c>
      <c r="N64" s="94">
        <f>IFERROR((H64-K64)/K64,0)</f>
        <v/>
      </c>
      <c r="O64" s="94">
        <f>IFERROR((H64-L64)/L64,0)</f>
        <v/>
      </c>
      <c r="P64" s="113" t="n">
        <v>180</v>
      </c>
      <c r="Q64" s="113" t="n">
        <v>360</v>
      </c>
      <c r="R64" s="110" t="inlineStr">
        <is>
          <t>2-5yr</t>
        </is>
      </c>
      <c r="S64" s="110" t="n">
        <v>3</v>
      </c>
      <c r="T64" s="116" t="n">
        <v>2000</v>
      </c>
      <c r="U64" s="117">
        <f>MAX(0,MIN(100,50+((M64*0.6)+(N64*0.4))*200))</f>
        <v/>
      </c>
      <c r="V64" s="117">
        <f>MAX(20,MIN(100,50+(P64-H64)/P64*100))</f>
        <v/>
      </c>
      <c r="W64" s="117">
        <f>IFERROR(MAX(0,MIN(100,100-LOG10(T64)*16)),60)</f>
        <v/>
      </c>
      <c r="X64" s="117">
        <f>IF(C64="T2",85,IF(C64="T4",70,IF(C64="T1",65,IF(C64="T3",55,45))))</f>
        <v/>
      </c>
      <c r="Y64" s="118">
        <f>U64*0.55+W64*0.20+V64*0.15+X64*0.10+ROW()/1000000</f>
        <v/>
      </c>
      <c r="Z64" s="101">
        <f>IF(Y64&gt;=75,"STRONG BUY",IF(Y64&gt;=60,"BUY",IF(Y64&gt;=40,"HOLD",IF(Y64&gt;=25,"TRIM","SELL"))))</f>
        <v/>
      </c>
      <c r="AA64" s="119" t="inlineStr">
        <is>
          <t>https://www.tcgplayer.com/product/278897</t>
        </is>
      </c>
      <c r="AB64" s="102" t="inlineStr">
        <is>
          <t>ST sleeper. Strong art.</t>
        </is>
      </c>
    </row>
    <row r="65" ht="23.25" customHeight="1" s="81">
      <c r="A65" s="99" t="inlineStr">
        <is>
          <t>M026</t>
        </is>
      </c>
      <c r="B65" s="92" t="inlineStr">
        <is>
          <t>Modern Chase PSA 10</t>
        </is>
      </c>
      <c r="C65" s="110" t="inlineStr">
        <is>
          <t>T2</t>
        </is>
      </c>
      <c r="D65" s="92" t="inlineStr">
        <is>
          <t>Serperior V Alt Art</t>
        </is>
      </c>
      <c r="E65" s="92" t="inlineStr">
        <is>
          <t>Silver Tempest</t>
        </is>
      </c>
      <c r="F65" s="110" t="inlineStr">
        <is>
          <t>TG02/TG30</t>
        </is>
      </c>
      <c r="G65" s="110" t="inlineStr">
        <is>
          <t>PSA 10</t>
        </is>
      </c>
      <c r="H65" s="113" t="n">
        <v>190</v>
      </c>
      <c r="I65" s="114" t="n">
        <v>46153</v>
      </c>
      <c r="J65" s="115" t="n">
        <v>110.27</v>
      </c>
      <c r="K65" s="115" t="n">
        <v>105.28</v>
      </c>
      <c r="L65" s="115" t="n">
        <v>101.11</v>
      </c>
      <c r="M65" s="94">
        <f>IFERROR((H65-J65)/J65,0)</f>
        <v/>
      </c>
      <c r="N65" s="94">
        <f>IFERROR((H65-K65)/K65,0)</f>
        <v/>
      </c>
      <c r="O65" s="94">
        <f>IFERROR((H65-L65)/L65,0)</f>
        <v/>
      </c>
      <c r="P65" s="113" t="n">
        <v>145</v>
      </c>
      <c r="Q65" s="113" t="n">
        <v>290</v>
      </c>
      <c r="R65" s="110" t="inlineStr">
        <is>
          <t>2-5yr</t>
        </is>
      </c>
      <c r="S65" s="110" t="n">
        <v>3</v>
      </c>
      <c r="T65" s="116" t="n">
        <v>1800</v>
      </c>
      <c r="U65" s="117">
        <f>MAX(0,MIN(100,50+((M65*0.6)+(N65*0.4))*200))</f>
        <v/>
      </c>
      <c r="V65" s="117">
        <f>MAX(20,MIN(100,50+(P65-H65)/P65*100))</f>
        <v/>
      </c>
      <c r="W65" s="117">
        <f>IFERROR(MAX(0,MIN(100,100-LOG10(T65)*16)),60)</f>
        <v/>
      </c>
      <c r="X65" s="117">
        <f>IF(C65="T2",85,IF(C65="T4",70,IF(C65="T1",65,IF(C65="T3",55,45))))</f>
        <v/>
      </c>
      <c r="Y65" s="118">
        <f>U65*0.55+W65*0.20+V65*0.15+X65*0.10+ROW()/1000000</f>
        <v/>
      </c>
      <c r="Z65" s="101">
        <f>IF(Y65&gt;=75,"STRONG BUY",IF(Y65&gt;=60,"BUY",IF(Y65&gt;=40,"HOLD",IF(Y65&gt;=25,"TRIM","SELL"))))</f>
        <v/>
      </c>
      <c r="AA65" s="119" t="inlineStr">
        <is>
          <t>https://www.tcgplayer.com/product/278892</t>
        </is>
      </c>
      <c r="AB65" s="102" t="inlineStr">
        <is>
          <t>Underrated ST alt.</t>
        </is>
      </c>
    </row>
    <row r="66" ht="23.25" customHeight="1" s="81">
      <c r="A66" s="99" t="inlineStr">
        <is>
          <t>M027</t>
        </is>
      </c>
      <c r="B66" s="92" t="inlineStr">
        <is>
          <t>Modern Chase PSA 10</t>
        </is>
      </c>
      <c r="C66" s="110" t="inlineStr">
        <is>
          <t>T2</t>
        </is>
      </c>
      <c r="D66" s="92" t="inlineStr">
        <is>
          <t>Tyranitar V Alt Art</t>
        </is>
      </c>
      <c r="E66" s="92" t="inlineStr">
        <is>
          <t>Silver Tempest</t>
        </is>
      </c>
      <c r="F66" s="110" t="inlineStr">
        <is>
          <t>TG09/TG30</t>
        </is>
      </c>
      <c r="G66" s="110" t="inlineStr">
        <is>
          <t>PSA 10</t>
        </is>
      </c>
      <c r="H66" s="113" t="n">
        <v>300</v>
      </c>
      <c r="I66" s="114" t="n">
        <v>46153</v>
      </c>
      <c r="J66" s="115" t="n">
        <v>178.38</v>
      </c>
      <c r="K66" s="115" t="n">
        <v>166.25</v>
      </c>
      <c r="L66" s="115" t="n">
        <v>151.04</v>
      </c>
      <c r="M66" s="94">
        <f>IFERROR((H66-J66)/J66,0)</f>
        <v/>
      </c>
      <c r="N66" s="94">
        <f>IFERROR((H66-K66)/K66,0)</f>
        <v/>
      </c>
      <c r="O66" s="94">
        <f>IFERROR((H66-L66)/L66,0)</f>
        <v/>
      </c>
      <c r="P66" s="113" t="n">
        <v>230</v>
      </c>
      <c r="Q66" s="113" t="n">
        <v>450</v>
      </c>
      <c r="R66" s="110" t="inlineStr">
        <is>
          <t>2-5yr</t>
        </is>
      </c>
      <c r="S66" s="110" t="n">
        <v>3</v>
      </c>
      <c r="T66" s="116" t="n">
        <v>2200</v>
      </c>
      <c r="U66" s="117">
        <f>MAX(0,MIN(100,50+((M66*0.6)+(N66*0.4))*200))</f>
        <v/>
      </c>
      <c r="V66" s="117">
        <f>MAX(20,MIN(100,50+(P66-H66)/P66*100))</f>
        <v/>
      </c>
      <c r="W66" s="117">
        <f>IFERROR(MAX(0,MIN(100,100-LOG10(T66)*16)),60)</f>
        <v/>
      </c>
      <c r="X66" s="117">
        <f>IF(C66="T2",85,IF(C66="T4",70,IF(C66="T1",65,IF(C66="T3",55,45))))</f>
        <v/>
      </c>
      <c r="Y66" s="118">
        <f>U66*0.55+W66*0.20+V66*0.15+X66*0.10+ROW()/1000000</f>
        <v/>
      </c>
      <c r="Z66" s="101">
        <f>IF(Y66&gt;=75,"STRONG BUY",IF(Y66&gt;=60,"BUY",IF(Y66&gt;=40,"HOLD",IF(Y66&gt;=25,"TRIM","SELL"))))</f>
        <v/>
      </c>
      <c r="AA66" s="119" t="inlineStr">
        <is>
          <t>https://www.tcgplayer.com/product/278899</t>
        </is>
      </c>
      <c r="AB66" s="102" t="inlineStr">
        <is>
          <t>Tyranitar fanbase + alt = consistent demand.</t>
        </is>
      </c>
    </row>
    <row r="67" ht="23.25" customHeight="1" s="81">
      <c r="A67" s="99" t="inlineStr">
        <is>
          <t>M028</t>
        </is>
      </c>
      <c r="B67" s="92" t="inlineStr">
        <is>
          <t>Modern Chase PSA 10</t>
        </is>
      </c>
      <c r="C67" s="110" t="inlineStr">
        <is>
          <t>T2</t>
        </is>
      </c>
      <c r="D67" s="92" t="inlineStr">
        <is>
          <t>Articuno V Alt Art</t>
        </is>
      </c>
      <c r="E67" s="92" t="inlineStr">
        <is>
          <t>Silver Tempest</t>
        </is>
      </c>
      <c r="F67" s="110" t="inlineStr">
        <is>
          <t>TG12/TG30</t>
        </is>
      </c>
      <c r="G67" s="110" t="inlineStr">
        <is>
          <t>PSA 10</t>
        </is>
      </c>
      <c r="H67" s="113" t="n">
        <v>220</v>
      </c>
      <c r="I67" s="114" t="n">
        <v>46153</v>
      </c>
      <c r="J67" s="115" t="n">
        <v>128.04</v>
      </c>
      <c r="K67" s="115" t="n">
        <v>125.07</v>
      </c>
      <c r="L67" s="115" t="n">
        <v>113.81</v>
      </c>
      <c r="M67" s="94">
        <f>IFERROR((H67-J67)/J67,0)</f>
        <v/>
      </c>
      <c r="N67" s="94">
        <f>IFERROR((H67-K67)/K67,0)</f>
        <v/>
      </c>
      <c r="O67" s="94">
        <f>IFERROR((H67-L67)/L67,0)</f>
        <v/>
      </c>
      <c r="P67" s="113" t="n">
        <v>165</v>
      </c>
      <c r="Q67" s="113" t="n">
        <v>330</v>
      </c>
      <c r="R67" s="110" t="inlineStr">
        <is>
          <t>2-5yr</t>
        </is>
      </c>
      <c r="S67" s="110" t="n">
        <v>3</v>
      </c>
      <c r="T67" s="116" t="n">
        <v>2100</v>
      </c>
      <c r="U67" s="117">
        <f>MAX(0,MIN(100,50+((M67*0.6)+(N67*0.4))*200))</f>
        <v/>
      </c>
      <c r="V67" s="117">
        <f>MAX(20,MIN(100,50+(P67-H67)/P67*100))</f>
        <v/>
      </c>
      <c r="W67" s="117">
        <f>IFERROR(MAX(0,MIN(100,100-LOG10(T67)*16)),60)</f>
        <v/>
      </c>
      <c r="X67" s="117">
        <f>IF(C67="T2",85,IF(C67="T4",70,IF(C67="T1",65,IF(C67="T3",55,45))))</f>
        <v/>
      </c>
      <c r="Y67" s="118">
        <f>U67*0.55+W67*0.20+V67*0.15+X67*0.10+ROW()/1000000</f>
        <v/>
      </c>
      <c r="Z67" s="101">
        <f>IF(Y67&gt;=75,"STRONG BUY",IF(Y67&gt;=60,"BUY",IF(Y67&gt;=40,"HOLD",IF(Y67&gt;=25,"TRIM","SELL"))))</f>
        <v/>
      </c>
      <c r="AA67" s="119" t="inlineStr">
        <is>
          <t>https://www.tcgplayer.com/product/278902</t>
        </is>
      </c>
      <c r="AB67" s="102" t="inlineStr">
        <is>
          <t>Legendary bird alt. Pairs with peers.</t>
        </is>
      </c>
    </row>
    <row r="68" ht="23.25" customHeight="1" s="81">
      <c r="A68" s="99" t="inlineStr">
        <is>
          <t>M029</t>
        </is>
      </c>
      <c r="B68" s="92" t="inlineStr">
        <is>
          <t>Modern Chase PSA 10</t>
        </is>
      </c>
      <c r="C68" s="110" t="inlineStr">
        <is>
          <t>T2</t>
        </is>
      </c>
      <c r="D68" s="92" t="inlineStr">
        <is>
          <t>Giratina VSTAR Gold</t>
        </is>
      </c>
      <c r="E68" s="92" t="inlineStr">
        <is>
          <t>Crown Zenith</t>
        </is>
      </c>
      <c r="F68" s="110" t="inlineStr">
        <is>
          <t>GG70/GG70</t>
        </is>
      </c>
      <c r="G68" s="110" t="inlineStr">
        <is>
          <t>PSA 10</t>
        </is>
      </c>
      <c r="H68" s="113" t="n">
        <v>450</v>
      </c>
      <c r="I68" s="114" t="n">
        <v>46153</v>
      </c>
      <c r="J68" s="115" t="n">
        <v>277.12</v>
      </c>
      <c r="K68" s="115" t="n">
        <v>266.95</v>
      </c>
      <c r="L68" s="115" t="n">
        <v>250.36</v>
      </c>
      <c r="M68" s="94">
        <f>IFERROR((H68-J68)/J68,0)</f>
        <v/>
      </c>
      <c r="N68" s="94">
        <f>IFERROR((H68-K68)/K68,0)</f>
        <v/>
      </c>
      <c r="O68" s="94">
        <f>IFERROR((H68-L68)/L68,0)</f>
        <v/>
      </c>
      <c r="P68" s="113" t="n">
        <v>340</v>
      </c>
      <c r="Q68" s="113" t="n">
        <v>680</v>
      </c>
      <c r="R68" s="110" t="inlineStr">
        <is>
          <t>3-5yr</t>
        </is>
      </c>
      <c r="S68" s="110" t="n">
        <v>4</v>
      </c>
      <c r="T68" s="116" t="n">
        <v>2400</v>
      </c>
      <c r="U68" s="117">
        <f>MAX(0,MIN(100,50+((M68*0.6)+(N68*0.4))*200))</f>
        <v/>
      </c>
      <c r="V68" s="117">
        <f>MAX(20,MIN(100,50+(P68-H68)/P68*100))</f>
        <v/>
      </c>
      <c r="W68" s="117">
        <f>IFERROR(MAX(0,MIN(100,100-LOG10(T68)*16)),60)</f>
        <v/>
      </c>
      <c r="X68" s="117">
        <f>IF(C68="T2",85,IF(C68="T4",70,IF(C68="T1",65,IF(C68="T3",55,45))))</f>
        <v/>
      </c>
      <c r="Y68" s="118">
        <f>U68*0.55+W68*0.20+V68*0.15+X68*0.10+ROW()/1000000</f>
        <v/>
      </c>
      <c r="Z68" s="101">
        <f>IF(Y68&gt;=75,"STRONG BUY",IF(Y68&gt;=60,"BUY",IF(Y68&gt;=40,"HOLD",IF(Y68&gt;=25,"TRIM","SELL"))))</f>
        <v/>
      </c>
      <c r="AA68" s="119" t="inlineStr">
        <is>
          <t>https://www.tcgplayer.com/product/477059</t>
        </is>
      </c>
      <c r="AB68" s="102" t="inlineStr">
        <is>
          <t>Galarian Gallery gold. Last card in set premium.</t>
        </is>
      </c>
    </row>
    <row r="69" ht="23.25" customHeight="1" s="81">
      <c r="A69" s="99" t="inlineStr">
        <is>
          <t>M030</t>
        </is>
      </c>
      <c r="B69" s="92" t="inlineStr">
        <is>
          <t>Modern Chase PSA 10</t>
        </is>
      </c>
      <c r="C69" s="110" t="inlineStr">
        <is>
          <t>T2</t>
        </is>
      </c>
      <c r="D69" s="92" t="inlineStr">
        <is>
          <t>Mewtwo VSTAR (GG)</t>
        </is>
      </c>
      <c r="E69" s="92" t="inlineStr">
        <is>
          <t>Crown Zenith Galarian Gallery</t>
        </is>
      </c>
      <c r="F69" s="110" t="inlineStr">
        <is>
          <t>GG44/GG70</t>
        </is>
      </c>
      <c r="G69" s="110" t="inlineStr">
        <is>
          <t>PSA 10</t>
        </is>
      </c>
      <c r="H69" s="113" t="n">
        <v>380</v>
      </c>
      <c r="I69" s="114" t="n">
        <v>46153</v>
      </c>
      <c r="J69" s="115" t="n">
        <v>240.96</v>
      </c>
      <c r="K69" s="115" t="n">
        <v>226.18</v>
      </c>
      <c r="L69" s="115" t="n">
        <v>209.9</v>
      </c>
      <c r="M69" s="94">
        <f>IFERROR((H69-J69)/J69,0)</f>
        <v/>
      </c>
      <c r="N69" s="94">
        <f>IFERROR((H69-K69)/K69,0)</f>
        <v/>
      </c>
      <c r="O69" s="94">
        <f>IFERROR((H69-L69)/L69,0)</f>
        <v/>
      </c>
      <c r="P69" s="113" t="n">
        <v>290</v>
      </c>
      <c r="Q69" s="113" t="n">
        <v>570</v>
      </c>
      <c r="R69" s="110" t="inlineStr">
        <is>
          <t>3-5yr</t>
        </is>
      </c>
      <c r="S69" s="110" t="n">
        <v>3</v>
      </c>
      <c r="T69" s="116" t="n">
        <v>2200</v>
      </c>
      <c r="U69" s="117">
        <f>MAX(0,MIN(100,50+((M69*0.6)+(N69*0.4))*200))</f>
        <v/>
      </c>
      <c r="V69" s="117">
        <f>MAX(20,MIN(100,50+(P69-H69)/P69*100))</f>
        <v/>
      </c>
      <c r="W69" s="117">
        <f>IFERROR(MAX(0,MIN(100,100-LOG10(T69)*16)),60)</f>
        <v/>
      </c>
      <c r="X69" s="117">
        <f>IF(C69="T2",85,IF(C69="T4",70,IF(C69="T1",65,IF(C69="T3",55,45))))</f>
        <v/>
      </c>
      <c r="Y69" s="118">
        <f>U69*0.55+W69*0.20+V69*0.15+X69*0.10+ROW()/1000000</f>
        <v/>
      </c>
      <c r="Z69" s="101">
        <f>IF(Y69&gt;=75,"STRONG BUY",IF(Y69&gt;=60,"BUY",IF(Y69&gt;=40,"HOLD",IF(Y69&gt;=25,"TRIM","SELL"))))</f>
        <v/>
      </c>
      <c r="AA69" s="119" t="inlineStr">
        <is>
          <t>https://www.tcgplayer.com/product/477057</t>
        </is>
      </c>
      <c r="AB69" s="102" t="inlineStr">
        <is>
          <t>Mewtwo VSTAR GG variant. Trainer Gallery style.</t>
        </is>
      </c>
    </row>
    <row r="70" ht="23.25" customHeight="1" s="81">
      <c r="A70" s="99" t="inlineStr">
        <is>
          <t>M031</t>
        </is>
      </c>
      <c r="B70" s="92" t="inlineStr">
        <is>
          <t>Modern Chase PSA 10</t>
        </is>
      </c>
      <c r="C70" s="110" t="inlineStr">
        <is>
          <t>T2</t>
        </is>
      </c>
      <c r="D70" s="92" t="inlineStr">
        <is>
          <t>Pikachu VMAX (GG)</t>
        </is>
      </c>
      <c r="E70" s="92" t="inlineStr">
        <is>
          <t>Crown Zenith Galarian Gallery</t>
        </is>
      </c>
      <c r="F70" s="110" t="inlineStr">
        <is>
          <t>GG70/GG70</t>
        </is>
      </c>
      <c r="G70" s="110" t="inlineStr">
        <is>
          <t>PSA 10</t>
        </is>
      </c>
      <c r="H70" s="113" t="n">
        <v>580</v>
      </c>
      <c r="I70" s="114" t="n">
        <v>46153</v>
      </c>
      <c r="J70" s="115" t="n">
        <v>369.16</v>
      </c>
      <c r="K70" s="115" t="n">
        <v>355.02</v>
      </c>
      <c r="L70" s="115" t="n">
        <v>319.45</v>
      </c>
      <c r="M70" s="94">
        <f>IFERROR((H70-J70)/J70,0)</f>
        <v/>
      </c>
      <c r="N70" s="94">
        <f>IFERROR((H70-K70)/K70,0)</f>
        <v/>
      </c>
      <c r="O70" s="94">
        <f>IFERROR((H70-L70)/L70,0)</f>
        <v/>
      </c>
      <c r="P70" s="113" t="n">
        <v>440</v>
      </c>
      <c r="Q70" s="113" t="n">
        <v>870</v>
      </c>
      <c r="R70" s="110" t="inlineStr">
        <is>
          <t>3-5yr</t>
        </is>
      </c>
      <c r="S70" s="110" t="n">
        <v>4</v>
      </c>
      <c r="T70" s="116" t="n">
        <v>2600</v>
      </c>
      <c r="U70" s="117">
        <f>MAX(0,MIN(100,50+((M70*0.6)+(N70*0.4))*200))</f>
        <v/>
      </c>
      <c r="V70" s="117">
        <f>MAX(20,MIN(100,50+(P70-H70)/P70*100))</f>
        <v/>
      </c>
      <c r="W70" s="117">
        <f>IFERROR(MAX(0,MIN(100,100-LOG10(T70)*16)),60)</f>
        <v/>
      </c>
      <c r="X70" s="117">
        <f>IF(C70="T2",85,IF(C70="T4",70,IF(C70="T1",65,IF(C70="T3",55,45))))</f>
        <v/>
      </c>
      <c r="Y70" s="118">
        <f>U70*0.55+W70*0.20+V70*0.15+X70*0.10+ROW()/1000000</f>
        <v/>
      </c>
      <c r="Z70" s="101">
        <f>IF(Y70&gt;=75,"STRONG BUY",IF(Y70&gt;=60,"BUY",IF(Y70&gt;=40,"HOLD",IF(Y70&gt;=25,"TRIM","SELL"))))</f>
        <v/>
      </c>
      <c r="AA70" s="119" t="inlineStr">
        <is>
          <t>https://www.tcgplayer.com/product/477069</t>
        </is>
      </c>
      <c r="AB70" s="102" t="inlineStr">
        <is>
          <t>Pikachu floor + GG premium.</t>
        </is>
      </c>
    </row>
    <row r="71" ht="23.25" customHeight="1" s="81">
      <c r="A71" s="99" t="inlineStr">
        <is>
          <t>M032</t>
        </is>
      </c>
      <c r="B71" s="92" t="inlineStr">
        <is>
          <t>Modern Chase PSA 10</t>
        </is>
      </c>
      <c r="C71" s="110" t="inlineStr">
        <is>
          <t>T2</t>
        </is>
      </c>
      <c r="D71" s="92" t="inlineStr">
        <is>
          <t>Charizard V (GG)</t>
        </is>
      </c>
      <c r="E71" s="92" t="inlineStr">
        <is>
          <t>Crown Zenith Galarian Gallery</t>
        </is>
      </c>
      <c r="F71" s="110" t="inlineStr">
        <is>
          <t>GG44/GG70</t>
        </is>
      </c>
      <c r="G71" s="110" t="inlineStr">
        <is>
          <t>PSA 10</t>
        </is>
      </c>
      <c r="H71" s="113" t="n">
        <v>340</v>
      </c>
      <c r="I71" s="114" t="n">
        <v>46153</v>
      </c>
      <c r="J71" s="115" t="n">
        <v>220.02</v>
      </c>
      <c r="K71" s="115" t="n">
        <v>207.67</v>
      </c>
      <c r="L71" s="115" t="n">
        <v>200.11</v>
      </c>
      <c r="M71" s="94">
        <f>IFERROR((H71-J71)/J71,0)</f>
        <v/>
      </c>
      <c r="N71" s="94">
        <f>IFERROR((H71-K71)/K71,0)</f>
        <v/>
      </c>
      <c r="O71" s="94">
        <f>IFERROR((H71-L71)/L71,0)</f>
        <v/>
      </c>
      <c r="P71" s="113" t="n">
        <v>260</v>
      </c>
      <c r="Q71" s="113" t="n">
        <v>510</v>
      </c>
      <c r="R71" s="110" t="inlineStr">
        <is>
          <t>3-5yr</t>
        </is>
      </c>
      <c r="S71" s="110" t="n">
        <v>4</v>
      </c>
      <c r="T71" s="116" t="n">
        <v>3100</v>
      </c>
      <c r="U71" s="117">
        <f>MAX(0,MIN(100,50+((M71*0.6)+(N71*0.4))*200))</f>
        <v/>
      </c>
      <c r="V71" s="117">
        <f>MAX(20,MIN(100,50+(P71-H71)/P71*100))</f>
        <v/>
      </c>
      <c r="W71" s="117">
        <f>IFERROR(MAX(0,MIN(100,100-LOG10(T71)*16)),60)</f>
        <v/>
      </c>
      <c r="X71" s="117">
        <f>IF(C71="T2",85,IF(C71="T4",70,IF(C71="T1",65,IF(C71="T3",55,45))))</f>
        <v/>
      </c>
      <c r="Y71" s="118">
        <f>U71*0.55+W71*0.20+V71*0.15+X71*0.10+ROW()/1000000</f>
        <v/>
      </c>
      <c r="Z71" s="101">
        <f>IF(Y71&gt;=75,"STRONG BUY",IF(Y71&gt;=60,"BUY",IF(Y71&gt;=40,"HOLD",IF(Y71&gt;=25,"TRIM","SELL"))))</f>
        <v/>
      </c>
      <c r="AA71" s="119" t="inlineStr">
        <is>
          <t>https://www.tcgplayer.com/product/477064</t>
        </is>
      </c>
      <c r="AB71" s="102" t="inlineStr">
        <is>
          <t>Galarian Gallery Charizard variant.</t>
        </is>
      </c>
    </row>
    <row r="72" ht="23.25" customHeight="1" s="81">
      <c r="A72" s="99" t="inlineStr">
        <is>
          <t>M033</t>
        </is>
      </c>
      <c r="B72" s="92" t="inlineStr">
        <is>
          <t>Modern Chase PSA 10</t>
        </is>
      </c>
      <c r="C72" s="110" t="inlineStr">
        <is>
          <t>T2</t>
        </is>
      </c>
      <c r="D72" s="92" t="inlineStr">
        <is>
          <t>Lugia V (GG)</t>
        </is>
      </c>
      <c r="E72" s="92" t="inlineStr">
        <is>
          <t>Crown Zenith Galarian Gallery</t>
        </is>
      </c>
      <c r="F72" s="110" t="inlineStr">
        <is>
          <t>GG62/GG70</t>
        </is>
      </c>
      <c r="G72" s="110" t="inlineStr">
        <is>
          <t>PSA 10</t>
        </is>
      </c>
      <c r="H72" s="113" t="n">
        <v>280</v>
      </c>
      <c r="I72" s="114" t="n">
        <v>46153</v>
      </c>
      <c r="J72" s="115" t="n">
        <v>179.27</v>
      </c>
      <c r="K72" s="115" t="n">
        <v>173.75</v>
      </c>
      <c r="L72" s="115" t="n">
        <v>158.6</v>
      </c>
      <c r="M72" s="94">
        <f>IFERROR((H72-J72)/J72,0)</f>
        <v/>
      </c>
      <c r="N72" s="94">
        <f>IFERROR((H72-K72)/K72,0)</f>
        <v/>
      </c>
      <c r="O72" s="94">
        <f>IFERROR((H72-L72)/L72,0)</f>
        <v/>
      </c>
      <c r="P72" s="113" t="n">
        <v>210</v>
      </c>
      <c r="Q72" s="113" t="n">
        <v>420</v>
      </c>
      <c r="R72" s="110" t="inlineStr">
        <is>
          <t>3-5yr</t>
        </is>
      </c>
      <c r="S72" s="110" t="n">
        <v>3</v>
      </c>
      <c r="T72" s="116" t="n">
        <v>2400</v>
      </c>
      <c r="U72" s="117">
        <f>MAX(0,MIN(100,50+((M72*0.6)+(N72*0.4))*200))</f>
        <v/>
      </c>
      <c r="V72" s="117">
        <f>MAX(20,MIN(100,50+(P72-H72)/P72*100))</f>
        <v/>
      </c>
      <c r="W72" s="117">
        <f>IFERROR(MAX(0,MIN(100,100-LOG10(T72)*16)),60)</f>
        <v/>
      </c>
      <c r="X72" s="117">
        <f>IF(C72="T2",85,IF(C72="T4",70,IF(C72="T1",65,IF(C72="T3",55,45))))</f>
        <v/>
      </c>
      <c r="Y72" s="118">
        <f>U72*0.55+W72*0.20+V72*0.15+X72*0.10+ROW()/1000000</f>
        <v/>
      </c>
      <c r="Z72" s="101">
        <f>IF(Y72&gt;=75,"STRONG BUY",IF(Y72&gt;=60,"BUY",IF(Y72&gt;=40,"HOLD",IF(Y72&gt;=25,"TRIM","SELL"))))</f>
        <v/>
      </c>
      <c r="AA72" s="119" t="inlineStr">
        <is>
          <t>https://www.tcgplayer.com/product/477058</t>
        </is>
      </c>
      <c r="AB72" s="102" t="inlineStr">
        <is>
          <t>Lugia GG variant. Consistent demand.</t>
        </is>
      </c>
    </row>
    <row r="73" ht="23.25" customHeight="1" s="81">
      <c r="A73" s="99" t="inlineStr">
        <is>
          <t>M034</t>
        </is>
      </c>
      <c r="B73" s="92" t="inlineStr">
        <is>
          <t>Modern Chase PSA 10</t>
        </is>
      </c>
      <c r="C73" s="110" t="inlineStr">
        <is>
          <t>T2</t>
        </is>
      </c>
      <c r="D73" s="92" t="inlineStr">
        <is>
          <t>Charizard ex SIR</t>
        </is>
      </c>
      <c r="E73" s="92" t="inlineStr">
        <is>
          <t>Scarlet &amp; Violet 151</t>
        </is>
      </c>
      <c r="F73" s="110" t="inlineStr">
        <is>
          <t>199/165</t>
        </is>
      </c>
      <c r="G73" s="110" t="inlineStr">
        <is>
          <t>PSA 10</t>
        </is>
      </c>
      <c r="H73" s="113" t="n">
        <v>1900</v>
      </c>
      <c r="I73" s="114" t="n">
        <v>46153</v>
      </c>
      <c r="J73" s="115" t="n">
        <v>1168.12</v>
      </c>
      <c r="K73" s="115" t="n">
        <v>1082.4</v>
      </c>
      <c r="L73" s="115" t="n">
        <v>969.66</v>
      </c>
      <c r="M73" s="94">
        <f>IFERROR((H73-J73)/J73,0)</f>
        <v/>
      </c>
      <c r="N73" s="94">
        <f>IFERROR((H73-K73)/K73,0)</f>
        <v/>
      </c>
      <c r="O73" s="94">
        <f>IFERROR((H73-L73)/L73,0)</f>
        <v/>
      </c>
      <c r="P73" s="113" t="n">
        <v>1450</v>
      </c>
      <c r="Q73" s="113" t="n">
        <v>2850</v>
      </c>
      <c r="R73" s="110" t="inlineStr">
        <is>
          <t>3-5yr</t>
        </is>
      </c>
      <c r="S73" s="110" t="n">
        <v>5</v>
      </c>
      <c r="T73" s="116" t="n">
        <v>1900</v>
      </c>
      <c r="U73" s="117">
        <f>MAX(0,MIN(100,50+((M73*0.6)+(N73*0.4))*200))</f>
        <v/>
      </c>
      <c r="V73" s="117">
        <f>MAX(20,MIN(100,50+(P73-H73)/P73*100))</f>
        <v/>
      </c>
      <c r="W73" s="117">
        <f>IFERROR(MAX(0,MIN(100,100-LOG10(T73)*16)),60)</f>
        <v/>
      </c>
      <c r="X73" s="117">
        <f>IF(C73="T2",85,IF(C73="T4",70,IF(C73="T1",65,IF(C73="T3",55,45))))</f>
        <v/>
      </c>
      <c r="Y73" s="118">
        <f>U73*0.55+W73*0.20+V73*0.15+X73*0.10+ROW()/1000000</f>
        <v/>
      </c>
      <c r="Z73" s="101">
        <f>IF(Y73&gt;=75,"STRONG BUY",IF(Y73&gt;=60,"BUY",IF(Y73&gt;=40,"HOLD",IF(Y73&gt;=25,"TRIM","SELL"))))</f>
        <v/>
      </c>
      <c r="AA73" s="119" t="inlineStr">
        <is>
          <t>https://www.tcgplayer.com/product/498100</t>
        </is>
      </c>
      <c r="AB73" s="102" t="inlineStr">
        <is>
          <t>151 Charizard SIR. Massive Gen 1 nostalgia. Most-flipped 151 card.</t>
        </is>
      </c>
    </row>
    <row r="74" ht="23.25" customHeight="1" s="81">
      <c r="A74" s="99" t="inlineStr">
        <is>
          <t>M035</t>
        </is>
      </c>
      <c r="B74" s="92" t="inlineStr">
        <is>
          <t>Modern Chase PSA 10</t>
        </is>
      </c>
      <c r="C74" s="110" t="inlineStr">
        <is>
          <t>T4</t>
        </is>
      </c>
      <c r="D74" s="92" t="inlineStr">
        <is>
          <t>Charizard ex SIR</t>
        </is>
      </c>
      <c r="E74" s="92" t="inlineStr">
        <is>
          <t>Scarlet &amp; Violet 151</t>
        </is>
      </c>
      <c r="F74" s="110" t="inlineStr">
        <is>
          <t>199/165</t>
        </is>
      </c>
      <c r="G74" s="110" t="inlineStr">
        <is>
          <t>Raw NM</t>
        </is>
      </c>
      <c r="H74" s="113" t="n">
        <v>350</v>
      </c>
      <c r="I74" s="114" t="n">
        <v>46153</v>
      </c>
      <c r="J74" s="115" t="n">
        <v>348.29</v>
      </c>
      <c r="K74" s="115" t="n">
        <v>337.7</v>
      </c>
      <c r="L74" s="115" t="n">
        <v>305.48</v>
      </c>
      <c r="M74" s="94">
        <f>IFERROR((H74-J74)/J74,0)</f>
        <v/>
      </c>
      <c r="N74" s="94">
        <f>IFERROR((H74-K74)/K74,0)</f>
        <v/>
      </c>
      <c r="O74" s="94">
        <f>IFERROR((H74-L74)/L74,0)</f>
        <v/>
      </c>
      <c r="P74" s="113" t="n">
        <v>270</v>
      </c>
      <c r="Q74" s="113" t="n">
        <v>500</v>
      </c>
      <c r="R74" s="110" t="inlineStr">
        <is>
          <t>1-3yr</t>
        </is>
      </c>
      <c r="S74" s="110" t="n">
        <v>4</v>
      </c>
      <c r="T74" s="120" t="n"/>
      <c r="U74" s="117">
        <f>MAX(0,MIN(100,50+((M74*0.6)+(N74*0.4))*200))</f>
        <v/>
      </c>
      <c r="V74" s="117">
        <f>MAX(20,MIN(100,50+(P74-H74)/P74*100))</f>
        <v/>
      </c>
      <c r="W74" s="117">
        <f>IFERROR(MAX(0,MIN(100,100-LOG10(T74)*16)),60)</f>
        <v/>
      </c>
      <c r="X74" s="117">
        <f>IF(C74="T2",85,IF(C74="T4",70,IF(C74="T1",65,IF(C74="T3",55,45))))</f>
        <v/>
      </c>
      <c r="Y74" s="118">
        <f>U74*0.55+W74*0.20+V74*0.15+X74*0.10+ROW()/1000000</f>
        <v/>
      </c>
      <c r="Z74" s="101">
        <f>IF(Y74&gt;=75,"STRONG BUY",IF(Y74&gt;=60,"BUY",IF(Y74&gt;=40,"HOLD",IF(Y74&gt;=25,"TRIM","SELL"))))</f>
        <v/>
      </c>
      <c r="AA74" s="119" t="inlineStr">
        <is>
          <t>https://www.tcgplayer.com/product/498100</t>
        </is>
      </c>
      <c r="AB74" s="102" t="inlineStr">
        <is>
          <t>Raw grading play. PSA 10 rate ~50%. EV $725 / cost $375 = +93%.</t>
        </is>
      </c>
    </row>
    <row r="75" ht="23.25" customHeight="1" s="81">
      <c r="A75" s="99" t="inlineStr">
        <is>
          <t>M036</t>
        </is>
      </c>
      <c r="B75" s="92" t="inlineStr">
        <is>
          <t>Modern Chase PSA 10</t>
        </is>
      </c>
      <c r="C75" s="110" t="inlineStr">
        <is>
          <t>T2</t>
        </is>
      </c>
      <c r="D75" s="92" t="inlineStr">
        <is>
          <t>Charizard ex Full Art</t>
        </is>
      </c>
      <c r="E75" s="92" t="inlineStr">
        <is>
          <t>Scarlet &amp; Violet 151</t>
        </is>
      </c>
      <c r="F75" s="110" t="inlineStr">
        <is>
          <t>183/165</t>
        </is>
      </c>
      <c r="G75" s="110" t="inlineStr">
        <is>
          <t>PSA 10</t>
        </is>
      </c>
      <c r="H75" s="113" t="n">
        <v>640</v>
      </c>
      <c r="I75" s="114" t="n">
        <v>46153</v>
      </c>
      <c r="J75" s="115" t="n">
        <v>367.89</v>
      </c>
      <c r="K75" s="115" t="n">
        <v>364.45</v>
      </c>
      <c r="L75" s="115" t="n">
        <v>330.73</v>
      </c>
      <c r="M75" s="94">
        <f>IFERROR((H75-J75)/J75,0)</f>
        <v/>
      </c>
      <c r="N75" s="94">
        <f>IFERROR((H75-K75)/K75,0)</f>
        <v/>
      </c>
      <c r="O75" s="94">
        <f>IFERROR((H75-L75)/L75,0)</f>
        <v/>
      </c>
      <c r="P75" s="113" t="n">
        <v>480</v>
      </c>
      <c r="Q75" s="113" t="n">
        <v>960</v>
      </c>
      <c r="R75" s="110" t="inlineStr">
        <is>
          <t>2-5yr</t>
        </is>
      </c>
      <c r="S75" s="110" t="n">
        <v>4</v>
      </c>
      <c r="T75" s="116" t="n">
        <v>2800</v>
      </c>
      <c r="U75" s="117">
        <f>MAX(0,MIN(100,50+((M75*0.6)+(N75*0.4))*200))</f>
        <v/>
      </c>
      <c r="V75" s="117">
        <f>MAX(20,MIN(100,50+(P75-H75)/P75*100))</f>
        <v/>
      </c>
      <c r="W75" s="117">
        <f>IFERROR(MAX(0,MIN(100,100-LOG10(T75)*16)),60)</f>
        <v/>
      </c>
      <c r="X75" s="117">
        <f>IF(C75="T2",85,IF(C75="T4",70,IF(C75="T1",65,IF(C75="T3",55,45))))</f>
        <v/>
      </c>
      <c r="Y75" s="118">
        <f>U75*0.55+W75*0.20+V75*0.15+X75*0.10+ROW()/1000000</f>
        <v/>
      </c>
      <c r="Z75" s="101">
        <f>IF(Y75&gt;=75,"STRONG BUY",IF(Y75&gt;=60,"BUY",IF(Y75&gt;=40,"HOLD",IF(Y75&gt;=25,"TRIM","SELL"))))</f>
        <v/>
      </c>
      <c r="AA75" s="119" t="inlineStr">
        <is>
          <t>https://www.tcgplayer.com/product/498084</t>
        </is>
      </c>
      <c r="AB75" s="102" t="inlineStr">
        <is>
          <t>Full Art (not SIR) Charizard. Cheaper Charizard exposure.</t>
        </is>
      </c>
    </row>
    <row r="76" ht="15" customHeight="1" s="81">
      <c r="A76" s="99" t="inlineStr">
        <is>
          <t>M037</t>
        </is>
      </c>
      <c r="B76" s="92" t="inlineStr">
        <is>
          <t>Modern Chase PSA 10</t>
        </is>
      </c>
      <c r="C76" s="110" t="inlineStr">
        <is>
          <t>T2</t>
        </is>
      </c>
      <c r="D76" s="92" t="inlineStr">
        <is>
          <t>Mew ex SIR</t>
        </is>
      </c>
      <c r="E76" s="92" t="inlineStr">
        <is>
          <t>Scarlet &amp; Violet 151</t>
        </is>
      </c>
      <c r="F76" s="110" t="inlineStr">
        <is>
          <t>205/165</t>
        </is>
      </c>
      <c r="G76" s="110" t="inlineStr">
        <is>
          <t>PSA 10</t>
        </is>
      </c>
      <c r="H76" s="113" t="n">
        <v>640</v>
      </c>
      <c r="I76" s="114" t="n">
        <v>46153</v>
      </c>
      <c r="J76" s="115" t="n">
        <v>379.99</v>
      </c>
      <c r="K76" s="115" t="n">
        <v>346.87</v>
      </c>
      <c r="L76" s="115" t="n">
        <v>314.31</v>
      </c>
      <c r="M76" s="94">
        <f>IFERROR((H76-J76)/J76,0)</f>
        <v/>
      </c>
      <c r="N76" s="94">
        <f>IFERROR((H76-K76)/K76,0)</f>
        <v/>
      </c>
      <c r="O76" s="94">
        <f>IFERROR((H76-L76)/L76,0)</f>
        <v/>
      </c>
      <c r="P76" s="113" t="n">
        <v>480</v>
      </c>
      <c r="Q76" s="113" t="n">
        <v>960</v>
      </c>
      <c r="R76" s="110" t="inlineStr">
        <is>
          <t>2-5yr</t>
        </is>
      </c>
      <c r="S76" s="110" t="n">
        <v>4</v>
      </c>
      <c r="T76" s="116" t="n">
        <v>1700</v>
      </c>
      <c r="U76" s="117">
        <f>MAX(0,MIN(100,50+((M76*0.6)+(N76*0.4))*200))</f>
        <v/>
      </c>
      <c r="V76" s="117">
        <f>MAX(20,MIN(100,50+(P76-H76)/P76*100))</f>
        <v/>
      </c>
      <c r="W76" s="117">
        <f>IFERROR(MAX(0,MIN(100,100-LOG10(T76)*16)),60)</f>
        <v/>
      </c>
      <c r="X76" s="117">
        <f>IF(C76="T2",85,IF(C76="T4",70,IF(C76="T1",65,IF(C76="T3",55,45))))</f>
        <v/>
      </c>
      <c r="Y76" s="118">
        <f>U76*0.55+W76*0.20+V76*0.15+X76*0.10+ROW()/1000000</f>
        <v/>
      </c>
      <c r="Z76" s="101">
        <f>IF(Y76&gt;=75,"STRONG BUY",IF(Y76&gt;=60,"BUY",IF(Y76&gt;=40,"HOLD",IF(Y76&gt;=25,"TRIM","SELL"))))</f>
        <v/>
      </c>
      <c r="AA76" s="119" t="inlineStr">
        <is>
          <t>https://www.tcgplayer.com/product/498106</t>
        </is>
      </c>
      <c r="AB76" s="102" t="inlineStr">
        <is>
          <t>Mew brand + SIR. Mythical pull.</t>
        </is>
      </c>
    </row>
    <row r="77" ht="15" customHeight="1" s="81">
      <c r="A77" s="99" t="inlineStr">
        <is>
          <t>M038</t>
        </is>
      </c>
      <c r="B77" s="92" t="inlineStr">
        <is>
          <t>Modern Chase PSA 10</t>
        </is>
      </c>
      <c r="C77" s="110" t="inlineStr">
        <is>
          <t>T2</t>
        </is>
      </c>
      <c r="D77" s="92" t="inlineStr">
        <is>
          <t>Zapdos ex SIR</t>
        </is>
      </c>
      <c r="E77" s="92" t="inlineStr">
        <is>
          <t>Scarlet &amp; Violet 151</t>
        </is>
      </c>
      <c r="F77" s="110" t="inlineStr">
        <is>
          <t>202/165</t>
        </is>
      </c>
      <c r="G77" s="110" t="inlineStr">
        <is>
          <t>PSA 10</t>
        </is>
      </c>
      <c r="H77" s="113" t="n">
        <v>380</v>
      </c>
      <c r="I77" s="114" t="n">
        <v>46153</v>
      </c>
      <c r="J77" s="115" t="n">
        <v>219.82</v>
      </c>
      <c r="K77" s="115" t="n">
        <v>205.64</v>
      </c>
      <c r="L77" s="115" t="n">
        <v>178.84</v>
      </c>
      <c r="M77" s="94">
        <f>IFERROR((H77-J77)/J77,0)</f>
        <v/>
      </c>
      <c r="N77" s="94">
        <f>IFERROR((H77-K77)/K77,0)</f>
        <v/>
      </c>
      <c r="O77" s="94">
        <f>IFERROR((H77-L77)/L77,0)</f>
        <v/>
      </c>
      <c r="P77" s="113" t="n">
        <v>290</v>
      </c>
      <c r="Q77" s="113" t="n">
        <v>570</v>
      </c>
      <c r="R77" s="110" t="inlineStr">
        <is>
          <t>2-5yr</t>
        </is>
      </c>
      <c r="S77" s="110" t="n">
        <v>3</v>
      </c>
      <c r="T77" s="116" t="n">
        <v>1600</v>
      </c>
      <c r="U77" s="117">
        <f>MAX(0,MIN(100,50+((M77*0.6)+(N77*0.4))*200))</f>
        <v/>
      </c>
      <c r="V77" s="117">
        <f>MAX(20,MIN(100,50+(P77-H77)/P77*100))</f>
        <v/>
      </c>
      <c r="W77" s="117">
        <f>IFERROR(MAX(0,MIN(100,100-LOG10(T77)*16)),60)</f>
        <v/>
      </c>
      <c r="X77" s="117">
        <f>IF(C77="T2",85,IF(C77="T4",70,IF(C77="T1",65,IF(C77="T3",55,45))))</f>
        <v/>
      </c>
      <c r="Y77" s="118">
        <f>U77*0.55+W77*0.20+V77*0.15+X77*0.10+ROW()/1000000</f>
        <v/>
      </c>
      <c r="Z77" s="101">
        <f>IF(Y77&gt;=75,"STRONG BUY",IF(Y77&gt;=60,"BUY",IF(Y77&gt;=40,"HOLD",IF(Y77&gt;=25,"TRIM","SELL"))))</f>
        <v/>
      </c>
      <c r="AA77" s="119" t="inlineStr">
        <is>
          <t>https://www.tcgplayer.com/product/498103</t>
        </is>
      </c>
      <c r="AB77" s="102" t="inlineStr">
        <is>
          <t>Legendary bird SIR. Underpriced vs Mew.</t>
        </is>
      </c>
    </row>
    <row r="78" ht="15" customHeight="1" s="81">
      <c r="A78" s="99" t="inlineStr">
        <is>
          <t>M039</t>
        </is>
      </c>
      <c r="B78" s="92" t="inlineStr">
        <is>
          <t>Modern Chase PSA 10</t>
        </is>
      </c>
      <c r="C78" s="110" t="inlineStr">
        <is>
          <t>T2</t>
        </is>
      </c>
      <c r="D78" s="92" t="inlineStr">
        <is>
          <t>Venusaur ex SIR</t>
        </is>
      </c>
      <c r="E78" s="92" t="inlineStr">
        <is>
          <t>Scarlet &amp; Violet 151</t>
        </is>
      </c>
      <c r="F78" s="110" t="inlineStr">
        <is>
          <t>198/165</t>
        </is>
      </c>
      <c r="G78" s="110" t="inlineStr">
        <is>
          <t>PSA 10</t>
        </is>
      </c>
      <c r="H78" s="113" t="n">
        <v>480</v>
      </c>
      <c r="I78" s="114" t="n">
        <v>46153</v>
      </c>
      <c r="J78" s="115" t="n">
        <v>280.87</v>
      </c>
      <c r="K78" s="115" t="n">
        <v>256.92</v>
      </c>
      <c r="L78" s="115" t="n">
        <v>235.55</v>
      </c>
      <c r="M78" s="94">
        <f>IFERROR((H78-J78)/J78,0)</f>
        <v/>
      </c>
      <c r="N78" s="94">
        <f>IFERROR((H78-K78)/K78,0)</f>
        <v/>
      </c>
      <c r="O78" s="94">
        <f>IFERROR((H78-L78)/L78,0)</f>
        <v/>
      </c>
      <c r="P78" s="113" t="n">
        <v>360</v>
      </c>
      <c r="Q78" s="113" t="n">
        <v>720</v>
      </c>
      <c r="R78" s="110" t="inlineStr">
        <is>
          <t>2-5yr</t>
        </is>
      </c>
      <c r="S78" s="110" t="n">
        <v>4</v>
      </c>
      <c r="T78" s="116" t="n">
        <v>1500</v>
      </c>
      <c r="U78" s="117">
        <f>MAX(0,MIN(100,50+((M78*0.6)+(N78*0.4))*200))</f>
        <v/>
      </c>
      <c r="V78" s="117">
        <f>MAX(20,MIN(100,50+(P78-H78)/P78*100))</f>
        <v/>
      </c>
      <c r="W78" s="117">
        <f>IFERROR(MAX(0,MIN(100,100-LOG10(T78)*16)),60)</f>
        <v/>
      </c>
      <c r="X78" s="117">
        <f>IF(C78="T2",85,IF(C78="T4",70,IF(C78="T1",65,IF(C78="T3",55,45))))</f>
        <v/>
      </c>
      <c r="Y78" s="118">
        <f>U78*0.55+W78*0.20+V78*0.15+X78*0.10+ROW()/1000000</f>
        <v/>
      </c>
      <c r="Z78" s="101">
        <f>IF(Y78&gt;=75,"STRONG BUY",IF(Y78&gt;=60,"BUY",IF(Y78&gt;=40,"HOLD",IF(Y78&gt;=25,"TRIM","SELL"))))</f>
        <v/>
      </c>
      <c r="AA78" s="119" t="inlineStr">
        <is>
          <t>https://www.tcgplayer.com/product/498099</t>
        </is>
      </c>
      <c r="AB78" s="102" t="inlineStr">
        <is>
          <t>Starter SIR. Trio play with Blastoise.</t>
        </is>
      </c>
    </row>
    <row r="79" ht="15" customHeight="1" s="81">
      <c r="A79" s="99" t="inlineStr">
        <is>
          <t>M040</t>
        </is>
      </c>
      <c r="B79" s="92" t="inlineStr">
        <is>
          <t>Modern Chase PSA 10</t>
        </is>
      </c>
      <c r="C79" s="110" t="inlineStr">
        <is>
          <t>T2</t>
        </is>
      </c>
      <c r="D79" s="92" t="inlineStr">
        <is>
          <t>Blastoise ex SIR</t>
        </is>
      </c>
      <c r="E79" s="92" t="inlineStr">
        <is>
          <t>Scarlet &amp; Violet 151</t>
        </is>
      </c>
      <c r="F79" s="110" t="inlineStr">
        <is>
          <t>200/165</t>
        </is>
      </c>
      <c r="G79" s="110" t="inlineStr">
        <is>
          <t>PSA 10</t>
        </is>
      </c>
      <c r="H79" s="113" t="n">
        <v>440</v>
      </c>
      <c r="I79" s="114" t="n">
        <v>46153</v>
      </c>
      <c r="J79" s="115" t="n">
        <v>258.18</v>
      </c>
      <c r="K79" s="115" t="n">
        <v>245.16</v>
      </c>
      <c r="L79" s="115" t="n">
        <v>226.4</v>
      </c>
      <c r="M79" s="94">
        <f>IFERROR((H79-J79)/J79,0)</f>
        <v/>
      </c>
      <c r="N79" s="94">
        <f>IFERROR((H79-K79)/K79,0)</f>
        <v/>
      </c>
      <c r="O79" s="94">
        <f>IFERROR((H79-L79)/L79,0)</f>
        <v/>
      </c>
      <c r="P79" s="113" t="n">
        <v>330</v>
      </c>
      <c r="Q79" s="113" t="n">
        <v>660</v>
      </c>
      <c r="R79" s="110" t="inlineStr">
        <is>
          <t>2-5yr</t>
        </is>
      </c>
      <c r="S79" s="110" t="n">
        <v>4</v>
      </c>
      <c r="T79" s="116" t="n">
        <v>1500</v>
      </c>
      <c r="U79" s="117">
        <f>MAX(0,MIN(100,50+((M79*0.6)+(N79*0.4))*200))</f>
        <v/>
      </c>
      <c r="V79" s="117">
        <f>MAX(20,MIN(100,50+(P79-H79)/P79*100))</f>
        <v/>
      </c>
      <c r="W79" s="117">
        <f>IFERROR(MAX(0,MIN(100,100-LOG10(T79)*16)),60)</f>
        <v/>
      </c>
      <c r="X79" s="117">
        <f>IF(C79="T2",85,IF(C79="T4",70,IF(C79="T1",65,IF(C79="T3",55,45))))</f>
        <v/>
      </c>
      <c r="Y79" s="118">
        <f>U79*0.55+W79*0.20+V79*0.15+X79*0.10+ROW()/1000000</f>
        <v/>
      </c>
      <c r="Z79" s="101">
        <f>IF(Y79&gt;=75,"STRONG BUY",IF(Y79&gt;=60,"BUY",IF(Y79&gt;=40,"HOLD",IF(Y79&gt;=25,"TRIM","SELL"))))</f>
        <v/>
      </c>
      <c r="AA79" s="119" t="inlineStr">
        <is>
          <t>https://www.tcgplayer.com/product/498101</t>
        </is>
      </c>
      <c r="AB79" s="102" t="inlineStr">
        <is>
          <t>Starter SIR trio play.</t>
        </is>
      </c>
    </row>
    <row r="80" ht="15" customHeight="1" s="81">
      <c r="A80" s="99" t="inlineStr">
        <is>
          <t>M041</t>
        </is>
      </c>
      <c r="B80" s="92" t="inlineStr">
        <is>
          <t>Modern Chase PSA 10</t>
        </is>
      </c>
      <c r="C80" s="110" t="inlineStr">
        <is>
          <t>T2</t>
        </is>
      </c>
      <c r="D80" s="92" t="inlineStr">
        <is>
          <t>Mewtwo ex SIR</t>
        </is>
      </c>
      <c r="E80" s="92" t="inlineStr">
        <is>
          <t>Scarlet &amp; Violet 151</t>
        </is>
      </c>
      <c r="F80" s="110" t="inlineStr">
        <is>
          <t>201/165</t>
        </is>
      </c>
      <c r="G80" s="110" t="inlineStr">
        <is>
          <t>PSA 10</t>
        </is>
      </c>
      <c r="H80" s="113" t="n">
        <v>540</v>
      </c>
      <c r="I80" s="114" t="n">
        <v>46153</v>
      </c>
      <c r="J80" s="115" t="n">
        <v>314.6</v>
      </c>
      <c r="K80" s="115" t="n">
        <v>300.83</v>
      </c>
      <c r="L80" s="115" t="n">
        <v>275.56</v>
      </c>
      <c r="M80" s="94">
        <f>IFERROR((H80-J80)/J80,0)</f>
        <v/>
      </c>
      <c r="N80" s="94">
        <f>IFERROR((H80-K80)/K80,0)</f>
        <v/>
      </c>
      <c r="O80" s="94">
        <f>IFERROR((H80-L80)/L80,0)</f>
        <v/>
      </c>
      <c r="P80" s="113" t="n">
        <v>410</v>
      </c>
      <c r="Q80" s="113" t="n">
        <v>810</v>
      </c>
      <c r="R80" s="110" t="inlineStr">
        <is>
          <t>2-5yr</t>
        </is>
      </c>
      <c r="S80" s="110" t="n">
        <v>4</v>
      </c>
      <c r="T80" s="116" t="n">
        <v>1400</v>
      </c>
      <c r="U80" s="117">
        <f>MAX(0,MIN(100,50+((M80*0.6)+(N80*0.4))*200))</f>
        <v/>
      </c>
      <c r="V80" s="117">
        <f>MAX(20,MIN(100,50+(P80-H80)/P80*100))</f>
        <v/>
      </c>
      <c r="W80" s="117">
        <f>IFERROR(MAX(0,MIN(100,100-LOG10(T80)*16)),60)</f>
        <v/>
      </c>
      <c r="X80" s="117">
        <f>IF(C80="T2",85,IF(C80="T4",70,IF(C80="T1",65,IF(C80="T3",55,45))))</f>
        <v/>
      </c>
      <c r="Y80" s="118">
        <f>U80*0.55+W80*0.20+V80*0.15+X80*0.10+ROW()/1000000</f>
        <v/>
      </c>
      <c r="Z80" s="101">
        <f>IF(Y80&gt;=75,"STRONG BUY",IF(Y80&gt;=60,"BUY",IF(Y80&gt;=40,"HOLD",IF(Y80&gt;=25,"TRIM","SELL"))))</f>
        <v/>
      </c>
      <c r="AA80" s="119" t="inlineStr">
        <is>
          <t>https://www.tcgplayer.com/product/498102</t>
        </is>
      </c>
      <c r="AB80" s="102" t="inlineStr">
        <is>
          <t>Mewtwo + SIR. Liquid like Charizard.</t>
        </is>
      </c>
    </row>
    <row r="81" ht="23.25" customHeight="1" s="81">
      <c r="A81" s="99" t="inlineStr">
        <is>
          <t>M042</t>
        </is>
      </c>
      <c r="B81" s="92" t="inlineStr">
        <is>
          <t>Modern Chase PSA 10</t>
        </is>
      </c>
      <c r="C81" s="110" t="inlineStr">
        <is>
          <t>T2</t>
        </is>
      </c>
      <c r="D81" s="92" t="inlineStr">
        <is>
          <t>Pikachu Master Ball Pattern</t>
        </is>
      </c>
      <c r="E81" s="92" t="inlineStr">
        <is>
          <t>Scarlet &amp; Violet 151</t>
        </is>
      </c>
      <c r="F81" s="110" t="inlineStr">
        <is>
          <t>025/165</t>
        </is>
      </c>
      <c r="G81" s="110" t="inlineStr">
        <is>
          <t>PSA 10</t>
        </is>
      </c>
      <c r="H81" s="113" t="n">
        <v>380</v>
      </c>
      <c r="I81" s="114" t="n">
        <v>46153</v>
      </c>
      <c r="J81" s="115" t="n">
        <v>212.33</v>
      </c>
      <c r="K81" s="115" t="n">
        <v>197.43</v>
      </c>
      <c r="L81" s="115" t="n">
        <v>172.23</v>
      </c>
      <c r="M81" s="94">
        <f>IFERROR((H81-J81)/J81,0)</f>
        <v/>
      </c>
      <c r="N81" s="94">
        <f>IFERROR((H81-K81)/K81,0)</f>
        <v/>
      </c>
      <c r="O81" s="94">
        <f>IFERROR((H81-L81)/L81,0)</f>
        <v/>
      </c>
      <c r="P81" s="113" t="n">
        <v>290</v>
      </c>
      <c r="Q81" s="113" t="n">
        <v>570</v>
      </c>
      <c r="R81" s="110" t="inlineStr">
        <is>
          <t>2-5yr</t>
        </is>
      </c>
      <c r="S81" s="110" t="n">
        <v>4</v>
      </c>
      <c r="T81" s="116" t="n">
        <v>1800</v>
      </c>
      <c r="U81" s="117">
        <f>MAX(0,MIN(100,50+((M81*0.6)+(N81*0.4))*200))</f>
        <v/>
      </c>
      <c r="V81" s="117">
        <f>MAX(20,MIN(100,50+(P81-H81)/P81*100))</f>
        <v/>
      </c>
      <c r="W81" s="117">
        <f>IFERROR(MAX(0,MIN(100,100-LOG10(T81)*16)),60)</f>
        <v/>
      </c>
      <c r="X81" s="117">
        <f>IF(C81="T2",85,IF(C81="T4",70,IF(C81="T1",65,IF(C81="T3",55,45))))</f>
        <v/>
      </c>
      <c r="Y81" s="118">
        <f>U81*0.55+W81*0.20+V81*0.15+X81*0.10+ROW()/1000000</f>
        <v/>
      </c>
      <c r="Z81" s="101">
        <f>IF(Y81&gt;=75,"STRONG BUY",IF(Y81&gt;=60,"BUY",IF(Y81&gt;=40,"HOLD",IF(Y81&gt;=25,"TRIM","SELL"))))</f>
        <v/>
      </c>
      <c r="AA81" s="119" t="inlineStr">
        <is>
          <t>https://www.tcgplayer.com/product/498075</t>
        </is>
      </c>
      <c r="AB81" s="102" t="inlineStr">
        <is>
          <t>Pokeball patterns are subset chase. Master Ball is the rarest.</t>
        </is>
      </c>
    </row>
    <row r="82" ht="15" customHeight="1" s="81">
      <c r="A82" s="99" t="inlineStr">
        <is>
          <t>M043</t>
        </is>
      </c>
      <c r="B82" s="92" t="inlineStr">
        <is>
          <t>Modern Chase PSA 10</t>
        </is>
      </c>
      <c r="C82" s="110" t="inlineStr">
        <is>
          <t>T2</t>
        </is>
      </c>
      <c r="D82" s="92" t="inlineStr">
        <is>
          <t>Alakazam ex SIR</t>
        </is>
      </c>
      <c r="E82" s="92" t="inlineStr">
        <is>
          <t>Scarlet &amp; Violet 151</t>
        </is>
      </c>
      <c r="F82" s="110" t="inlineStr">
        <is>
          <t>203/165</t>
        </is>
      </c>
      <c r="G82" s="110" t="inlineStr">
        <is>
          <t>PSA 10</t>
        </is>
      </c>
      <c r="H82" s="113" t="n">
        <v>340</v>
      </c>
      <c r="I82" s="114" t="n">
        <v>46153</v>
      </c>
      <c r="J82" s="115" t="n">
        <v>197.84</v>
      </c>
      <c r="K82" s="115" t="n">
        <v>189.48</v>
      </c>
      <c r="L82" s="115" t="n">
        <v>171</v>
      </c>
      <c r="M82" s="94">
        <f>IFERROR((H82-J82)/J82,0)</f>
        <v/>
      </c>
      <c r="N82" s="94">
        <f>IFERROR((H82-K82)/K82,0)</f>
        <v/>
      </c>
      <c r="O82" s="94">
        <f>IFERROR((H82-L82)/L82,0)</f>
        <v/>
      </c>
      <c r="P82" s="113" t="n">
        <v>260</v>
      </c>
      <c r="Q82" s="113" t="n">
        <v>510</v>
      </c>
      <c r="R82" s="110" t="inlineStr">
        <is>
          <t>2-5yr</t>
        </is>
      </c>
      <c r="S82" s="110" t="n">
        <v>3</v>
      </c>
      <c r="T82" s="116" t="n">
        <v>1400</v>
      </c>
      <c r="U82" s="117">
        <f>MAX(0,MIN(100,50+((M82*0.6)+(N82*0.4))*200))</f>
        <v/>
      </c>
      <c r="V82" s="117">
        <f>MAX(20,MIN(100,50+(P82-H82)/P82*100))</f>
        <v/>
      </c>
      <c r="W82" s="117">
        <f>IFERROR(MAX(0,MIN(100,100-LOG10(T82)*16)),60)</f>
        <v/>
      </c>
      <c r="X82" s="117">
        <f>IF(C82="T2",85,IF(C82="T4",70,IF(C82="T1",65,IF(C82="T3",55,45))))</f>
        <v/>
      </c>
      <c r="Y82" s="118">
        <f>U82*0.55+W82*0.20+V82*0.15+X82*0.10+ROW()/1000000</f>
        <v/>
      </c>
      <c r="Z82" s="101">
        <f>IF(Y82&gt;=75,"STRONG BUY",IF(Y82&gt;=60,"BUY",IF(Y82&gt;=40,"HOLD",IF(Y82&gt;=25,"TRIM","SELL"))))</f>
        <v/>
      </c>
      <c r="AA82" s="119" t="inlineStr">
        <is>
          <t>https://www.tcgplayer.com/product/498104</t>
        </is>
      </c>
      <c r="AB82" s="102" t="inlineStr">
        <is>
          <t>Underrated 151 SIR.</t>
        </is>
      </c>
    </row>
    <row r="83" ht="15" customHeight="1" s="81">
      <c r="A83" s="99" t="inlineStr">
        <is>
          <t>M044</t>
        </is>
      </c>
      <c r="B83" s="92" t="inlineStr">
        <is>
          <t>Modern Chase PSA 10</t>
        </is>
      </c>
      <c r="C83" s="110" t="inlineStr">
        <is>
          <t>T2</t>
        </is>
      </c>
      <c r="D83" s="92" t="inlineStr">
        <is>
          <t>Iono SIR</t>
        </is>
      </c>
      <c r="E83" s="92" t="inlineStr">
        <is>
          <t>Paldea Evolved</t>
        </is>
      </c>
      <c r="F83" s="110" t="inlineStr">
        <is>
          <t>269/193</t>
        </is>
      </c>
      <c r="G83" s="110" t="inlineStr">
        <is>
          <t>PSA 10</t>
        </is>
      </c>
      <c r="H83" s="113" t="n">
        <v>700</v>
      </c>
      <c r="I83" s="114" t="n">
        <v>46153</v>
      </c>
      <c r="J83" s="115" t="n">
        <v>399.71</v>
      </c>
      <c r="K83" s="115" t="n">
        <v>395.94</v>
      </c>
      <c r="L83" s="115" t="n">
        <v>395.03</v>
      </c>
      <c r="M83" s="94">
        <f>IFERROR((H83-J83)/J83,0)</f>
        <v/>
      </c>
      <c r="N83" s="94">
        <f>IFERROR((H83-K83)/K83,0)</f>
        <v/>
      </c>
      <c r="O83" s="94">
        <f>IFERROR((H83-L83)/L83,0)</f>
        <v/>
      </c>
      <c r="P83" s="113" t="n">
        <v>530</v>
      </c>
      <c r="Q83" s="113" t="n">
        <v>1050</v>
      </c>
      <c r="R83" s="110" t="inlineStr">
        <is>
          <t>2-5yr</t>
        </is>
      </c>
      <c r="S83" s="110" t="n">
        <v>4</v>
      </c>
      <c r="T83" s="116" t="n">
        <v>2500</v>
      </c>
      <c r="U83" s="117">
        <f>MAX(0,MIN(100,50+((M83*0.6)+(N83*0.4))*200))</f>
        <v/>
      </c>
      <c r="V83" s="117">
        <f>MAX(20,MIN(100,50+(P83-H83)/P83*100))</f>
        <v/>
      </c>
      <c r="W83" s="117">
        <f>IFERROR(MAX(0,MIN(100,100-LOG10(T83)*16)),60)</f>
        <v/>
      </c>
      <c r="X83" s="117">
        <f>IF(C83="T2",85,IF(C83="T4",70,IF(C83="T1",65,IF(C83="T3",55,45))))</f>
        <v/>
      </c>
      <c r="Y83" s="118">
        <f>U83*0.55+W83*0.20+V83*0.15+X83*0.10+ROW()/1000000</f>
        <v/>
      </c>
      <c r="Z83" s="101">
        <f>IF(Y83&gt;=75,"STRONG BUY",IF(Y83&gt;=60,"BUY",IF(Y83&gt;=40,"HOLD",IF(Y83&gt;=25,"TRIM","SELL"))))</f>
        <v/>
      </c>
      <c r="AA83" s="119" t="inlineStr">
        <is>
          <t>https://www.pricecharting.com/game/pokemon-paldea-evolved/iono-237</t>
        </is>
      </c>
      <c r="AB83" s="102" t="inlineStr">
        <is>
          <t>Trainer waifu classic. Iono pattern follows Marnie.</t>
        </is>
      </c>
    </row>
    <row r="84" ht="15" customHeight="1" s="81">
      <c r="A84" s="99" t="inlineStr">
        <is>
          <t>M045</t>
        </is>
      </c>
      <c r="B84" s="92" t="inlineStr">
        <is>
          <t>Modern Chase PSA 10</t>
        </is>
      </c>
      <c r="C84" s="110" t="inlineStr">
        <is>
          <t>T2</t>
        </is>
      </c>
      <c r="D84" s="92" t="inlineStr">
        <is>
          <t>Tinkaton ex SIR</t>
        </is>
      </c>
      <c r="E84" s="92" t="inlineStr">
        <is>
          <t>Paldea Evolved</t>
        </is>
      </c>
      <c r="F84" s="110" t="inlineStr">
        <is>
          <t>265/193</t>
        </is>
      </c>
      <c r="G84" s="110" t="inlineStr">
        <is>
          <t>PSA 10</t>
        </is>
      </c>
      <c r="H84" s="113" t="n">
        <v>90</v>
      </c>
      <c r="I84" s="114" t="n">
        <v>46153</v>
      </c>
      <c r="J84" s="115" t="n">
        <v>88.33</v>
      </c>
      <c r="K84" s="115" t="n">
        <v>85.86</v>
      </c>
      <c r="L84" s="115" t="n">
        <v>80.33</v>
      </c>
      <c r="M84" s="94">
        <f>IFERROR((H84-J84)/J84,0)</f>
        <v/>
      </c>
      <c r="N84" s="94">
        <f>IFERROR((H84-K84)/K84,0)</f>
        <v/>
      </c>
      <c r="O84" s="94">
        <f>IFERROR((H84-L84)/L84,0)</f>
        <v/>
      </c>
      <c r="P84" s="113" t="n">
        <v>70</v>
      </c>
      <c r="Q84" s="113" t="n">
        <v>140</v>
      </c>
      <c r="R84" s="110" t="inlineStr">
        <is>
          <t>2-5yr</t>
        </is>
      </c>
      <c r="S84" s="110" t="n">
        <v>3</v>
      </c>
      <c r="T84" s="116" t="n">
        <v>1400</v>
      </c>
      <c r="U84" s="117">
        <f>MAX(0,MIN(100,50+((M84*0.6)+(N84*0.4))*200))</f>
        <v/>
      </c>
      <c r="V84" s="117">
        <f>MAX(20,MIN(100,50+(P84-H84)/P84*100))</f>
        <v/>
      </c>
      <c r="W84" s="117">
        <f>IFERROR(MAX(0,MIN(100,100-LOG10(T84)*16)),60)</f>
        <v/>
      </c>
      <c r="X84" s="117">
        <f>IF(C84="T2",85,IF(C84="T4",70,IF(C84="T1",65,IF(C84="T3",55,45))))</f>
        <v/>
      </c>
      <c r="Y84" s="118">
        <f>U84*0.55+W84*0.20+V84*0.15+X84*0.10+ROW()/1000000</f>
        <v/>
      </c>
      <c r="Z84" s="101">
        <f>IF(Y84&gt;=75,"STRONG BUY",IF(Y84&gt;=60,"BUY",IF(Y84&gt;=40,"HOLD",IF(Y84&gt;=25,"TRIM","SELL"))))</f>
        <v/>
      </c>
      <c r="AA84" s="119" t="inlineStr">
        <is>
          <t>https://www.tcgplayer.com/product/505420</t>
        </is>
      </c>
      <c r="AB84" s="102" t="inlineStr">
        <is>
          <t>Newer Pokemon. Cult following.</t>
        </is>
      </c>
    </row>
    <row r="85" ht="23.25" customHeight="1" s="81">
      <c r="A85" s="99" t="inlineStr">
        <is>
          <t>M046</t>
        </is>
      </c>
      <c r="B85" s="92" t="inlineStr">
        <is>
          <t>Modern Chase PSA 10</t>
        </is>
      </c>
      <c r="C85" s="110" t="inlineStr">
        <is>
          <t>T2</t>
        </is>
      </c>
      <c r="D85" s="92" t="inlineStr">
        <is>
          <t>Charizard ex SIR</t>
        </is>
      </c>
      <c r="E85" s="92" t="inlineStr">
        <is>
          <t>Obsidian Flames</t>
        </is>
      </c>
      <c r="F85" s="110" t="inlineStr">
        <is>
          <t>228/197</t>
        </is>
      </c>
      <c r="G85" s="110" t="inlineStr">
        <is>
          <t>PSA 10</t>
        </is>
      </c>
      <c r="H85" s="113" t="n">
        <v>1500</v>
      </c>
      <c r="I85" s="114" t="n">
        <v>46153</v>
      </c>
      <c r="J85" s="115" t="n">
        <v>928.14</v>
      </c>
      <c r="K85" s="115" t="n">
        <v>850.77</v>
      </c>
      <c r="L85" s="115" t="n">
        <v>765.87</v>
      </c>
      <c r="M85" s="94">
        <f>IFERROR((H85-J85)/J85,0)</f>
        <v/>
      </c>
      <c r="N85" s="94">
        <f>IFERROR((H85-K85)/K85,0)</f>
        <v/>
      </c>
      <c r="O85" s="94">
        <f>IFERROR((H85-L85)/L85,0)</f>
        <v/>
      </c>
      <c r="P85" s="113" t="n">
        <v>1130</v>
      </c>
      <c r="Q85" s="113" t="n">
        <v>2250</v>
      </c>
      <c r="R85" s="110" t="inlineStr">
        <is>
          <t>3-5yr</t>
        </is>
      </c>
      <c r="S85" s="110" t="n">
        <v>5</v>
      </c>
      <c r="T85" s="116" t="n">
        <v>2200</v>
      </c>
      <c r="U85" s="117">
        <f>MAX(0,MIN(100,50+((M85*0.6)+(N85*0.4))*200))</f>
        <v/>
      </c>
      <c r="V85" s="117">
        <f>MAX(20,MIN(100,50+(P85-H85)/P85*100))</f>
        <v/>
      </c>
      <c r="W85" s="117">
        <f>IFERROR(MAX(0,MIN(100,100-LOG10(T85)*16)),60)</f>
        <v/>
      </c>
      <c r="X85" s="117">
        <f>IF(C85="T2",85,IF(C85="T4",70,IF(C85="T1",65,IF(C85="T3",55,45))))</f>
        <v/>
      </c>
      <c r="Y85" s="118">
        <f>U85*0.55+W85*0.20+V85*0.15+X85*0.10+ROW()/1000000</f>
        <v/>
      </c>
      <c r="Z85" s="101">
        <f>IF(Y85&gt;=75,"STRONG BUY",IF(Y85&gt;=60,"BUY",IF(Y85&gt;=40,"HOLD",IF(Y85&gt;=25,"TRIM","SELL"))))</f>
        <v/>
      </c>
      <c r="AA85" s="119" t="inlineStr">
        <is>
          <t>https://www.tcgplayer.com/product/521988</t>
        </is>
      </c>
      <c r="AB85" s="102" t="inlineStr">
        <is>
          <t>OF Charizard SIR. Up 10%/30D. Top momentum pick.</t>
        </is>
      </c>
    </row>
    <row r="86" ht="15" customHeight="1" s="81">
      <c r="A86" s="99" t="inlineStr">
        <is>
          <t>M047</t>
        </is>
      </c>
      <c r="B86" s="92" t="inlineStr">
        <is>
          <t>Modern Chase PSA 10</t>
        </is>
      </c>
      <c r="C86" s="110" t="inlineStr">
        <is>
          <t>T4</t>
        </is>
      </c>
      <c r="D86" s="92" t="inlineStr">
        <is>
          <t>Charizard ex SIR</t>
        </is>
      </c>
      <c r="E86" s="92" t="inlineStr">
        <is>
          <t>Obsidian Flames</t>
        </is>
      </c>
      <c r="F86" s="110" t="inlineStr">
        <is>
          <t>228/197</t>
        </is>
      </c>
      <c r="G86" s="110" t="inlineStr">
        <is>
          <t>Raw NM</t>
        </is>
      </c>
      <c r="H86" s="113" t="n">
        <v>280</v>
      </c>
      <c r="I86" s="114" t="n">
        <v>46153</v>
      </c>
      <c r="J86" s="115" t="n">
        <v>265.83</v>
      </c>
      <c r="K86" s="115" t="n">
        <v>233.24</v>
      </c>
      <c r="L86" s="115" t="n">
        <v>193.67</v>
      </c>
      <c r="M86" s="94">
        <f>IFERROR((H86-J86)/J86,0)</f>
        <v/>
      </c>
      <c r="N86" s="94">
        <f>IFERROR((H86-K86)/K86,0)</f>
        <v/>
      </c>
      <c r="O86" s="94">
        <f>IFERROR((H86-L86)/L86,0)</f>
        <v/>
      </c>
      <c r="P86" s="113" t="n">
        <v>220</v>
      </c>
      <c r="Q86" s="113" t="n">
        <v>400</v>
      </c>
      <c r="R86" s="110" t="inlineStr">
        <is>
          <t>1-2yr</t>
        </is>
      </c>
      <c r="S86" s="110" t="n">
        <v>4</v>
      </c>
      <c r="T86" s="120" t="n"/>
      <c r="U86" s="117">
        <f>MAX(0,MIN(100,50+((M86*0.6)+(N86*0.4))*200))</f>
        <v/>
      </c>
      <c r="V86" s="117">
        <f>MAX(20,MIN(100,50+(P86-H86)/P86*100))</f>
        <v/>
      </c>
      <c r="W86" s="117">
        <f>IFERROR(MAX(0,MIN(100,100-LOG10(T86)*16)),60)</f>
        <v/>
      </c>
      <c r="X86" s="117">
        <f>IF(C86="T2",85,IF(C86="T4",70,IF(C86="T1",65,IF(C86="T3",55,45))))</f>
        <v/>
      </c>
      <c r="Y86" s="118">
        <f>U86*0.55+W86*0.20+V86*0.15+X86*0.10+ROW()/1000000</f>
        <v/>
      </c>
      <c r="Z86" s="101">
        <f>IF(Y86&gt;=75,"STRONG BUY",IF(Y86&gt;=60,"BUY",IF(Y86&gt;=40,"HOLD",IF(Y86&gt;=25,"TRIM","SELL"))))</f>
        <v/>
      </c>
      <c r="AA86" s="119" t="inlineStr">
        <is>
          <t>https://www.pricecharting.com/game/pokemon-obsidian-flames/charizard-ex-special-illustration-rare-215</t>
        </is>
      </c>
      <c r="AB86" s="102" t="inlineStr">
        <is>
          <t>Top raw grading play this month. +18%/30D.</t>
        </is>
      </c>
    </row>
    <row r="87" ht="15" customHeight="1" s="81">
      <c r="A87" s="99" t="inlineStr">
        <is>
          <t>M048</t>
        </is>
      </c>
      <c r="B87" s="92" t="inlineStr">
        <is>
          <t>Modern Chase PSA 10</t>
        </is>
      </c>
      <c r="C87" s="110" t="inlineStr">
        <is>
          <t>T2</t>
        </is>
      </c>
      <c r="D87" s="92" t="inlineStr">
        <is>
          <t>Tyranitar ex SIR</t>
        </is>
      </c>
      <c r="E87" s="92" t="inlineStr">
        <is>
          <t>Obsidian Flames</t>
        </is>
      </c>
      <c r="F87" s="110" t="inlineStr">
        <is>
          <t>230/197</t>
        </is>
      </c>
      <c r="G87" s="110" t="inlineStr">
        <is>
          <t>PSA 10</t>
        </is>
      </c>
      <c r="H87" s="113" t="n">
        <v>320</v>
      </c>
      <c r="I87" s="114" t="n">
        <v>46153</v>
      </c>
      <c r="J87" s="115" t="n">
        <v>175.1</v>
      </c>
      <c r="K87" s="115" t="n">
        <v>168.79</v>
      </c>
      <c r="L87" s="115" t="n">
        <v>156.24</v>
      </c>
      <c r="M87" s="94">
        <f>IFERROR((H87-J87)/J87,0)</f>
        <v/>
      </c>
      <c r="N87" s="94">
        <f>IFERROR((H87-K87)/K87,0)</f>
        <v/>
      </c>
      <c r="O87" s="94">
        <f>IFERROR((H87-L87)/L87,0)</f>
        <v/>
      </c>
      <c r="P87" s="113" t="n">
        <v>240</v>
      </c>
      <c r="Q87" s="113" t="n">
        <v>480</v>
      </c>
      <c r="R87" s="110" t="inlineStr">
        <is>
          <t>2-5yr</t>
        </is>
      </c>
      <c r="S87" s="110" t="n">
        <v>3</v>
      </c>
      <c r="T87" s="116" t="n">
        <v>1700</v>
      </c>
      <c r="U87" s="117">
        <f>MAX(0,MIN(100,50+((M87*0.6)+(N87*0.4))*200))</f>
        <v/>
      </c>
      <c r="V87" s="117">
        <f>MAX(20,MIN(100,50+(P87-H87)/P87*100))</f>
        <v/>
      </c>
      <c r="W87" s="117">
        <f>IFERROR(MAX(0,MIN(100,100-LOG10(T87)*16)),60)</f>
        <v/>
      </c>
      <c r="X87" s="117">
        <f>IF(C87="T2",85,IF(C87="T4",70,IF(C87="T1",65,IF(C87="T3",55,45))))</f>
        <v/>
      </c>
      <c r="Y87" s="118">
        <f>U87*0.55+W87*0.20+V87*0.15+X87*0.10+ROW()/1000000</f>
        <v/>
      </c>
      <c r="Z87" s="101">
        <f>IF(Y87&gt;=75,"STRONG BUY",IF(Y87&gt;=60,"BUY",IF(Y87&gt;=40,"HOLD",IF(Y87&gt;=25,"TRIM","SELL"))))</f>
        <v/>
      </c>
      <c r="AA87" s="119" t="inlineStr">
        <is>
          <t>https://www.tcgplayer.com/product/521990</t>
        </is>
      </c>
      <c r="AB87" s="102" t="inlineStr">
        <is>
          <t>Underrated OF SIR. Tyranitar fanbase.</t>
        </is>
      </c>
    </row>
    <row r="88" ht="15" customHeight="1" s="81">
      <c r="A88" s="99" t="inlineStr">
        <is>
          <t>M049</t>
        </is>
      </c>
      <c r="B88" s="92" t="inlineStr">
        <is>
          <t>Modern Chase PSA 10</t>
        </is>
      </c>
      <c r="C88" s="110" t="inlineStr">
        <is>
          <t>T2</t>
        </is>
      </c>
      <c r="D88" s="92" t="inlineStr">
        <is>
          <t>Mela SIR</t>
        </is>
      </c>
      <c r="E88" s="92" t="inlineStr">
        <is>
          <t>Obsidian Flames</t>
        </is>
      </c>
      <c r="F88" s="110" t="inlineStr">
        <is>
          <t>229/197</t>
        </is>
      </c>
      <c r="G88" s="110" t="inlineStr">
        <is>
          <t>PSA 10</t>
        </is>
      </c>
      <c r="H88" s="113" t="n">
        <v>480</v>
      </c>
      <c r="I88" s="114" t="n">
        <v>46153</v>
      </c>
      <c r="J88" s="115" t="n">
        <v>274.18</v>
      </c>
      <c r="K88" s="115" t="n">
        <v>259.62</v>
      </c>
      <c r="L88" s="115" t="n">
        <v>237.99</v>
      </c>
      <c r="M88" s="94">
        <f>IFERROR((H88-J88)/J88,0)</f>
        <v/>
      </c>
      <c r="N88" s="94">
        <f>IFERROR((H88-K88)/K88,0)</f>
        <v/>
      </c>
      <c r="O88" s="94">
        <f>IFERROR((H88-L88)/L88,0)</f>
        <v/>
      </c>
      <c r="P88" s="113" t="n">
        <v>360</v>
      </c>
      <c r="Q88" s="113" t="n">
        <v>720</v>
      </c>
      <c r="R88" s="110" t="inlineStr">
        <is>
          <t>2-5yr</t>
        </is>
      </c>
      <c r="S88" s="110" t="n">
        <v>4</v>
      </c>
      <c r="T88" s="116" t="n">
        <v>1900</v>
      </c>
      <c r="U88" s="117">
        <f>MAX(0,MIN(100,50+((M88*0.6)+(N88*0.4))*200))</f>
        <v/>
      </c>
      <c r="V88" s="117">
        <f>MAX(20,MIN(100,50+(P88-H88)/P88*100))</f>
        <v/>
      </c>
      <c r="W88" s="117">
        <f>IFERROR(MAX(0,MIN(100,100-LOG10(T88)*16)),60)</f>
        <v/>
      </c>
      <c r="X88" s="117">
        <f>IF(C88="T2",85,IF(C88="T4",70,IF(C88="T1",65,IF(C88="T3",55,45))))</f>
        <v/>
      </c>
      <c r="Y88" s="118">
        <f>U88*0.55+W88*0.20+V88*0.15+X88*0.10+ROW()/1000000</f>
        <v/>
      </c>
      <c r="Z88" s="101">
        <f>IF(Y88&gt;=75,"STRONG BUY",IF(Y88&gt;=60,"BUY",IF(Y88&gt;=40,"HOLD",IF(Y88&gt;=25,"TRIM","SELL"))))</f>
        <v/>
      </c>
      <c r="AA88" s="119" t="inlineStr">
        <is>
          <t>https://www.tcgplayer.com/product/521989</t>
        </is>
      </c>
      <c r="AB88" s="102" t="inlineStr">
        <is>
          <t>Trainer SIR. Follow Iono playbook.</t>
        </is>
      </c>
    </row>
    <row r="89" ht="15" customHeight="1" s="81">
      <c r="A89" s="99" t="inlineStr">
        <is>
          <t>M050</t>
        </is>
      </c>
      <c r="B89" s="92" t="inlineStr">
        <is>
          <t>Modern Chase PSA 10</t>
        </is>
      </c>
      <c r="C89" s="110" t="inlineStr">
        <is>
          <t>T2</t>
        </is>
      </c>
      <c r="D89" s="92" t="inlineStr">
        <is>
          <t>Iron Hands ex Alt Art</t>
        </is>
      </c>
      <c r="E89" s="92" t="inlineStr">
        <is>
          <t>Paradox Rift</t>
        </is>
      </c>
      <c r="F89" s="110" t="inlineStr">
        <is>
          <t>228/182</t>
        </is>
      </c>
      <c r="G89" s="110" t="inlineStr">
        <is>
          <t>PSA 10</t>
        </is>
      </c>
      <c r="H89" s="113" t="n">
        <v>280</v>
      </c>
      <c r="I89" s="114" t="n">
        <v>46153</v>
      </c>
      <c r="J89" s="115" t="n">
        <v>155.69</v>
      </c>
      <c r="K89" s="115" t="n">
        <v>152.15</v>
      </c>
      <c r="L89" s="115" t="n">
        <v>140.12</v>
      </c>
      <c r="M89" s="94">
        <f>IFERROR((H89-J89)/J89,0)</f>
        <v/>
      </c>
      <c r="N89" s="94">
        <f>IFERROR((H89-K89)/K89,0)</f>
        <v/>
      </c>
      <c r="O89" s="94">
        <f>IFERROR((H89-L89)/L89,0)</f>
        <v/>
      </c>
      <c r="P89" s="113" t="n">
        <v>210</v>
      </c>
      <c r="Q89" s="113" t="n">
        <v>420</v>
      </c>
      <c r="R89" s="110" t="inlineStr">
        <is>
          <t>2-5yr</t>
        </is>
      </c>
      <c r="S89" s="110" t="n">
        <v>3</v>
      </c>
      <c r="T89" s="116" t="n">
        <v>1500</v>
      </c>
      <c r="U89" s="117">
        <f>MAX(0,MIN(100,50+((M89*0.6)+(N89*0.4))*200))</f>
        <v/>
      </c>
      <c r="V89" s="117">
        <f>MAX(20,MIN(100,50+(P89-H89)/P89*100))</f>
        <v/>
      </c>
      <c r="W89" s="117">
        <f>IFERROR(MAX(0,MIN(100,100-LOG10(T89)*16)),60)</f>
        <v/>
      </c>
      <c r="X89" s="117">
        <f>IF(C89="T2",85,IF(C89="T4",70,IF(C89="T1",65,IF(C89="T3",55,45))))</f>
        <v/>
      </c>
      <c r="Y89" s="118">
        <f>U89*0.55+W89*0.20+V89*0.15+X89*0.10+ROW()/1000000</f>
        <v/>
      </c>
      <c r="Z89" s="101">
        <f>IF(Y89&gt;=75,"STRONG BUY",IF(Y89&gt;=60,"BUY",IF(Y89&gt;=40,"HOLD",IF(Y89&gt;=25,"TRIM","SELL"))))</f>
        <v/>
      </c>
      <c r="AA89" s="119" t="inlineStr">
        <is>
          <t>https://www.tcgplayer.com/product/536451</t>
        </is>
      </c>
      <c r="AB89" s="102" t="inlineStr">
        <is>
          <t>Future paradox Pokemon. Niche but growing.</t>
        </is>
      </c>
    </row>
    <row r="90" ht="15" customHeight="1" s="81">
      <c r="A90" s="99" t="inlineStr">
        <is>
          <t>M051</t>
        </is>
      </c>
      <c r="B90" s="92" t="inlineStr">
        <is>
          <t>Modern Chase PSA 10</t>
        </is>
      </c>
      <c r="C90" s="110" t="inlineStr">
        <is>
          <t>T2</t>
        </is>
      </c>
      <c r="D90" s="92" t="inlineStr">
        <is>
          <t>Roaring Moon ex Alt Art</t>
        </is>
      </c>
      <c r="E90" s="92" t="inlineStr">
        <is>
          <t>Paradox Rift</t>
        </is>
      </c>
      <c r="F90" s="110" t="inlineStr">
        <is>
          <t>229/182</t>
        </is>
      </c>
      <c r="G90" s="110" t="inlineStr">
        <is>
          <t>PSA 10</t>
        </is>
      </c>
      <c r="H90" s="113" t="n">
        <v>340</v>
      </c>
      <c r="I90" s="114" t="n">
        <v>46153</v>
      </c>
      <c r="J90" s="115" t="n">
        <v>194.84</v>
      </c>
      <c r="K90" s="115" t="n">
        <v>189.54</v>
      </c>
      <c r="L90" s="115" t="n">
        <v>169.25</v>
      </c>
      <c r="M90" s="94">
        <f>IFERROR((H90-J90)/J90,0)</f>
        <v/>
      </c>
      <c r="N90" s="94">
        <f>IFERROR((H90-K90)/K90,0)</f>
        <v/>
      </c>
      <c r="O90" s="94">
        <f>IFERROR((H90-L90)/L90,0)</f>
        <v/>
      </c>
      <c r="P90" s="113" t="n">
        <v>260</v>
      </c>
      <c r="Q90" s="113" t="n">
        <v>510</v>
      </c>
      <c r="R90" s="110" t="inlineStr">
        <is>
          <t>2-5yr</t>
        </is>
      </c>
      <c r="S90" s="110" t="n">
        <v>4</v>
      </c>
      <c r="T90" s="116" t="n">
        <v>1600</v>
      </c>
      <c r="U90" s="117">
        <f>MAX(0,MIN(100,50+((M90*0.6)+(N90*0.4))*200))</f>
        <v/>
      </c>
      <c r="V90" s="117">
        <f>MAX(20,MIN(100,50+(P90-H90)/P90*100))</f>
        <v/>
      </c>
      <c r="W90" s="117">
        <f>IFERROR(MAX(0,MIN(100,100-LOG10(T90)*16)),60)</f>
        <v/>
      </c>
      <c r="X90" s="117">
        <f>IF(C90="T2",85,IF(C90="T4",70,IF(C90="T1",65,IF(C90="T3",55,45))))</f>
        <v/>
      </c>
      <c r="Y90" s="118">
        <f>U90*0.55+W90*0.20+V90*0.15+X90*0.10+ROW()/1000000</f>
        <v/>
      </c>
      <c r="Z90" s="101">
        <f>IF(Y90&gt;=75,"STRONG BUY",IF(Y90&gt;=60,"BUY",IF(Y90&gt;=40,"HOLD",IF(Y90&gt;=25,"TRIM","SELL"))))</f>
        <v/>
      </c>
      <c r="AA90" s="119" t="inlineStr">
        <is>
          <t>https://www.tcgplayer.com/product/536452</t>
        </is>
      </c>
      <c r="AB90" s="102" t="inlineStr">
        <is>
          <t>Past paradox. Strong art.</t>
        </is>
      </c>
    </row>
    <row r="91" ht="15" customHeight="1" s="81">
      <c r="A91" s="99" t="inlineStr">
        <is>
          <t>M052</t>
        </is>
      </c>
      <c r="B91" s="92" t="inlineStr">
        <is>
          <t>Modern Chase PSA 10</t>
        </is>
      </c>
      <c r="C91" s="110" t="inlineStr">
        <is>
          <t>T2</t>
        </is>
      </c>
      <c r="D91" s="92" t="inlineStr">
        <is>
          <t>Penny SIR</t>
        </is>
      </c>
      <c r="E91" s="92" t="inlineStr">
        <is>
          <t>Paradox Rift</t>
        </is>
      </c>
      <c r="F91" s="110" t="inlineStr">
        <is>
          <t>238/182</t>
        </is>
      </c>
      <c r="G91" s="110" t="inlineStr">
        <is>
          <t>PSA 10</t>
        </is>
      </c>
      <c r="H91" s="113" t="n">
        <v>380</v>
      </c>
      <c r="I91" s="114" t="n">
        <v>46153</v>
      </c>
      <c r="J91" s="115" t="n">
        <v>211.56</v>
      </c>
      <c r="K91" s="115" t="n">
        <v>201.88</v>
      </c>
      <c r="L91" s="115" t="n">
        <v>178.69</v>
      </c>
      <c r="M91" s="94">
        <f>IFERROR((H91-J91)/J91,0)</f>
        <v/>
      </c>
      <c r="N91" s="94">
        <f>IFERROR((H91-K91)/K91,0)</f>
        <v/>
      </c>
      <c r="O91" s="94">
        <f>IFERROR((H91-L91)/L91,0)</f>
        <v/>
      </c>
      <c r="P91" s="113" t="n">
        <v>290</v>
      </c>
      <c r="Q91" s="113" t="n">
        <v>570</v>
      </c>
      <c r="R91" s="110" t="inlineStr">
        <is>
          <t>2-5yr</t>
        </is>
      </c>
      <c r="S91" s="110" t="n">
        <v>4</v>
      </c>
      <c r="T91" s="116" t="n">
        <v>1800</v>
      </c>
      <c r="U91" s="117">
        <f>MAX(0,MIN(100,50+((M91*0.6)+(N91*0.4))*200))</f>
        <v/>
      </c>
      <c r="V91" s="117">
        <f>MAX(20,MIN(100,50+(P91-H91)/P91*100))</f>
        <v/>
      </c>
      <c r="W91" s="117">
        <f>IFERROR(MAX(0,MIN(100,100-LOG10(T91)*16)),60)</f>
        <v/>
      </c>
      <c r="X91" s="117">
        <f>IF(C91="T2",85,IF(C91="T4",70,IF(C91="T1",65,IF(C91="T3",55,45))))</f>
        <v/>
      </c>
      <c r="Y91" s="118">
        <f>U91*0.55+W91*0.20+V91*0.15+X91*0.10+ROW()/1000000</f>
        <v/>
      </c>
      <c r="Z91" s="101">
        <f>IF(Y91&gt;=75,"STRONG BUY",IF(Y91&gt;=60,"BUY",IF(Y91&gt;=40,"HOLD",IF(Y91&gt;=25,"TRIM","SELL"))))</f>
        <v/>
      </c>
      <c r="AA91" s="119" t="inlineStr">
        <is>
          <t>https://www.tcgplayer.com/product/536461</t>
        </is>
      </c>
      <c r="AB91" s="102" t="inlineStr">
        <is>
          <t>Penny trainer SIR. Younger trainer demographic.</t>
        </is>
      </c>
    </row>
    <row r="92" ht="15" customHeight="1" s="81">
      <c r="A92" s="99" t="inlineStr">
        <is>
          <t>M053</t>
        </is>
      </c>
      <c r="B92" s="92" t="inlineStr">
        <is>
          <t>Modern Chase PSA 10</t>
        </is>
      </c>
      <c r="C92" s="110" t="inlineStr">
        <is>
          <t>T2</t>
        </is>
      </c>
      <c r="D92" s="92" t="inlineStr">
        <is>
          <t>Garchomp ex Alt Art</t>
        </is>
      </c>
      <c r="E92" s="92" t="inlineStr">
        <is>
          <t>Paradox Rift</t>
        </is>
      </c>
      <c r="F92" s="110" t="inlineStr">
        <is>
          <t>230/182</t>
        </is>
      </c>
      <c r="G92" s="110" t="inlineStr">
        <is>
          <t>PSA 10</t>
        </is>
      </c>
      <c r="H92" s="113" t="n">
        <v>240</v>
      </c>
      <c r="I92" s="114" t="n">
        <v>46153</v>
      </c>
      <c r="J92" s="115" t="n">
        <v>137.41</v>
      </c>
      <c r="K92" s="115" t="n">
        <v>136.93</v>
      </c>
      <c r="L92" s="115" t="n">
        <v>127.22</v>
      </c>
      <c r="M92" s="94">
        <f>IFERROR((H92-J92)/J92,0)</f>
        <v/>
      </c>
      <c r="N92" s="94">
        <f>IFERROR((H92-K92)/K92,0)</f>
        <v/>
      </c>
      <c r="O92" s="94">
        <f>IFERROR((H92-L92)/L92,0)</f>
        <v/>
      </c>
      <c r="P92" s="113" t="n">
        <v>180</v>
      </c>
      <c r="Q92" s="113" t="n">
        <v>360</v>
      </c>
      <c r="R92" s="110" t="inlineStr">
        <is>
          <t>2-5yr</t>
        </is>
      </c>
      <c r="S92" s="110" t="n">
        <v>3</v>
      </c>
      <c r="T92" s="116" t="n">
        <v>1700</v>
      </c>
      <c r="U92" s="117">
        <f>MAX(0,MIN(100,50+((M92*0.6)+(N92*0.4))*200))</f>
        <v/>
      </c>
      <c r="V92" s="117">
        <f>MAX(20,MIN(100,50+(P92-H92)/P92*100))</f>
        <v/>
      </c>
      <c r="W92" s="117">
        <f>IFERROR(MAX(0,MIN(100,100-LOG10(T92)*16)),60)</f>
        <v/>
      </c>
      <c r="X92" s="117">
        <f>IF(C92="T2",85,IF(C92="T4",70,IF(C92="T1",65,IF(C92="T3",55,45))))</f>
        <v/>
      </c>
      <c r="Y92" s="118">
        <f>U92*0.55+W92*0.20+V92*0.15+X92*0.10+ROW()/1000000</f>
        <v/>
      </c>
      <c r="Z92" s="101">
        <f>IF(Y92&gt;=75,"STRONG BUY",IF(Y92&gt;=60,"BUY",IF(Y92&gt;=40,"HOLD",IF(Y92&gt;=25,"TRIM","SELL"))))</f>
        <v/>
      </c>
      <c r="AA92" s="119" t="inlineStr">
        <is>
          <t>https://www.tcgplayer.com/product/536453</t>
        </is>
      </c>
      <c r="AB92" s="102" t="inlineStr">
        <is>
          <t>Garchomp consistent fan favorite.</t>
        </is>
      </c>
    </row>
    <row r="93" ht="15" customHeight="1" s="81">
      <c r="A93" s="99" t="inlineStr">
        <is>
          <t>M054</t>
        </is>
      </c>
      <c r="B93" s="92" t="inlineStr">
        <is>
          <t>Modern Chase PSA 10</t>
        </is>
      </c>
      <c r="C93" s="110" t="inlineStr">
        <is>
          <t>T2</t>
        </is>
      </c>
      <c r="D93" s="92" t="inlineStr">
        <is>
          <t>Roaring Moon ex SIR</t>
        </is>
      </c>
      <c r="E93" s="92" t="inlineStr">
        <is>
          <t>Paradox Rift</t>
        </is>
      </c>
      <c r="F93" s="110" t="inlineStr">
        <is>
          <t>251/182</t>
        </is>
      </c>
      <c r="G93" s="110" t="inlineStr">
        <is>
          <t>PSA 10</t>
        </is>
      </c>
      <c r="H93" s="113" t="n">
        <v>640</v>
      </c>
      <c r="I93" s="114" t="n">
        <v>46153</v>
      </c>
      <c r="J93" s="115" t="n">
        <v>372.63</v>
      </c>
      <c r="K93" s="115" t="n">
        <v>353.44</v>
      </c>
      <c r="L93" s="115" t="n">
        <v>315.12</v>
      </c>
      <c r="M93" s="94">
        <f>IFERROR((H93-J93)/J93,0)</f>
        <v/>
      </c>
      <c r="N93" s="94">
        <f>IFERROR((H93-K93)/K93,0)</f>
        <v/>
      </c>
      <c r="O93" s="94">
        <f>IFERROR((H93-L93)/L93,0)</f>
        <v/>
      </c>
      <c r="P93" s="113" t="n">
        <v>480</v>
      </c>
      <c r="Q93" s="113" t="n">
        <v>960</v>
      </c>
      <c r="R93" s="110" t="inlineStr">
        <is>
          <t>2-5yr</t>
        </is>
      </c>
      <c r="S93" s="110" t="n">
        <v>4</v>
      </c>
      <c r="T93" s="116" t="n">
        <v>1400</v>
      </c>
      <c r="U93" s="117">
        <f>MAX(0,MIN(100,50+((M93*0.6)+(N93*0.4))*200))</f>
        <v/>
      </c>
      <c r="V93" s="117">
        <f>MAX(20,MIN(100,50+(P93-H93)/P93*100))</f>
        <v/>
      </c>
      <c r="W93" s="117">
        <f>IFERROR(MAX(0,MIN(100,100-LOG10(T93)*16)),60)</f>
        <v/>
      </c>
      <c r="X93" s="117">
        <f>IF(C93="T2",85,IF(C93="T4",70,IF(C93="T1",65,IF(C93="T3",55,45))))</f>
        <v/>
      </c>
      <c r="Y93" s="118">
        <f>U93*0.55+W93*0.20+V93*0.15+X93*0.10+ROW()/1000000</f>
        <v/>
      </c>
      <c r="Z93" s="101">
        <f>IF(Y93&gt;=75,"STRONG BUY",IF(Y93&gt;=60,"BUY",IF(Y93&gt;=40,"HOLD",IF(Y93&gt;=25,"TRIM","SELL"))))</f>
        <v/>
      </c>
      <c r="AA93" s="119" t="inlineStr">
        <is>
          <t>https://www.tcgplayer.com/product/536474</t>
        </is>
      </c>
      <c r="AB93" s="102" t="inlineStr">
        <is>
          <t>SIR version of M051. Better art, higher premium.</t>
        </is>
      </c>
    </row>
    <row r="94" ht="15" customHeight="1" s="81">
      <c r="A94" s="99" t="inlineStr">
        <is>
          <t>M055</t>
        </is>
      </c>
      <c r="B94" s="92" t="inlineStr">
        <is>
          <t>Modern Chase PSA 10</t>
        </is>
      </c>
      <c r="C94" s="110" t="inlineStr">
        <is>
          <t>T2</t>
        </is>
      </c>
      <c r="D94" s="92" t="inlineStr">
        <is>
          <t>Garchomp ex SIR</t>
        </is>
      </c>
      <c r="E94" s="92" t="inlineStr">
        <is>
          <t>Paradox Rift</t>
        </is>
      </c>
      <c r="F94" s="110" t="inlineStr">
        <is>
          <t>252/182</t>
        </is>
      </c>
      <c r="G94" s="110" t="inlineStr">
        <is>
          <t>PSA 10</t>
        </is>
      </c>
      <c r="H94" s="113" t="n">
        <v>480</v>
      </c>
      <c r="I94" s="114" t="n">
        <v>46153</v>
      </c>
      <c r="J94" s="115" t="n">
        <v>279.11</v>
      </c>
      <c r="K94" s="115" t="n">
        <v>266.2</v>
      </c>
      <c r="L94" s="115" t="n">
        <v>248.24</v>
      </c>
      <c r="M94" s="94">
        <f>IFERROR((H94-J94)/J94,0)</f>
        <v/>
      </c>
      <c r="N94" s="94">
        <f>IFERROR((H94-K94)/K94,0)</f>
        <v/>
      </c>
      <c r="O94" s="94">
        <f>IFERROR((H94-L94)/L94,0)</f>
        <v/>
      </c>
      <c r="P94" s="113" t="n">
        <v>360</v>
      </c>
      <c r="Q94" s="113" t="n">
        <v>720</v>
      </c>
      <c r="R94" s="110" t="inlineStr">
        <is>
          <t>2-5yr</t>
        </is>
      </c>
      <c r="S94" s="110" t="n">
        <v>3</v>
      </c>
      <c r="T94" s="116" t="n">
        <v>1500</v>
      </c>
      <c r="U94" s="117">
        <f>MAX(0,MIN(100,50+((M94*0.6)+(N94*0.4))*200))</f>
        <v/>
      </c>
      <c r="V94" s="117">
        <f>MAX(20,MIN(100,50+(P94-H94)/P94*100))</f>
        <v/>
      </c>
      <c r="W94" s="117">
        <f>IFERROR(MAX(0,MIN(100,100-LOG10(T94)*16)),60)</f>
        <v/>
      </c>
      <c r="X94" s="117">
        <f>IF(C94="T2",85,IF(C94="T4",70,IF(C94="T1",65,IF(C94="T3",55,45))))</f>
        <v/>
      </c>
      <c r="Y94" s="118">
        <f>U94*0.55+W94*0.20+V94*0.15+X94*0.10+ROW()/1000000</f>
        <v/>
      </c>
      <c r="Z94" s="101">
        <f>IF(Y94&gt;=75,"STRONG BUY",IF(Y94&gt;=60,"BUY",IF(Y94&gt;=40,"HOLD",IF(Y94&gt;=25,"TRIM","SELL"))))</f>
        <v/>
      </c>
      <c r="AA94" s="119" t="inlineStr">
        <is>
          <t>https://www.tcgplayer.com/product/536475</t>
        </is>
      </c>
      <c r="AB94" s="102" t="inlineStr">
        <is>
          <t>SIR Garchomp. Pseudo-legendary play.</t>
        </is>
      </c>
    </row>
    <row r="95" ht="23.25" customHeight="1" s="81">
      <c r="A95" s="99" t="inlineStr">
        <is>
          <t>M056</t>
        </is>
      </c>
      <c r="B95" s="92" t="inlineStr">
        <is>
          <t>Modern Chase PSA 10</t>
        </is>
      </c>
      <c r="C95" s="110" t="inlineStr">
        <is>
          <t>T2</t>
        </is>
      </c>
      <c r="D95" s="92" t="inlineStr">
        <is>
          <t>Charizard ex Shiny</t>
        </is>
      </c>
      <c r="E95" s="92" t="inlineStr">
        <is>
          <t>Paldean Fates</t>
        </is>
      </c>
      <c r="F95" s="110" t="inlineStr">
        <is>
          <t>234/091</t>
        </is>
      </c>
      <c r="G95" s="110" t="inlineStr">
        <is>
          <t>PSA 10</t>
        </is>
      </c>
      <c r="H95" s="113" t="n">
        <v>740</v>
      </c>
      <c r="I95" s="114" t="n">
        <v>46153</v>
      </c>
      <c r="J95" s="115" t="n">
        <v>453.26</v>
      </c>
      <c r="K95" s="115" t="n">
        <v>439.01</v>
      </c>
      <c r="L95" s="115" t="n">
        <v>414.79</v>
      </c>
      <c r="M95" s="94">
        <f>IFERROR((H95-J95)/J95,0)</f>
        <v/>
      </c>
      <c r="N95" s="94">
        <f>IFERROR((H95-K95)/K95,0)</f>
        <v/>
      </c>
      <c r="O95" s="94">
        <f>IFERROR((H95-L95)/L95,0)</f>
        <v/>
      </c>
      <c r="P95" s="113" t="n">
        <v>560</v>
      </c>
      <c r="Q95" s="113" t="n">
        <v>1110</v>
      </c>
      <c r="R95" s="110" t="inlineStr">
        <is>
          <t>2-5yr</t>
        </is>
      </c>
      <c r="S95" s="110" t="n">
        <v>4</v>
      </c>
      <c r="T95" s="116" t="n">
        <v>2300</v>
      </c>
      <c r="U95" s="117">
        <f>MAX(0,MIN(100,50+((M95*0.6)+(N95*0.4))*200))</f>
        <v/>
      </c>
      <c r="V95" s="117">
        <f>MAX(20,MIN(100,50+(P95-H95)/P95*100))</f>
        <v/>
      </c>
      <c r="W95" s="117">
        <f>IFERROR(MAX(0,MIN(100,100-LOG10(T95)*16)),60)</f>
        <v/>
      </c>
      <c r="X95" s="117">
        <f>IF(C95="T2",85,IF(C95="T4",70,IF(C95="T1",65,IF(C95="T3",55,45))))</f>
        <v/>
      </c>
      <c r="Y95" s="118">
        <f>U95*0.55+W95*0.20+V95*0.15+X95*0.10+ROW()/1000000</f>
        <v/>
      </c>
      <c r="Z95" s="101">
        <f>IF(Y95&gt;=75,"STRONG BUY",IF(Y95&gt;=60,"BUY",IF(Y95&gt;=40,"HOLD",IF(Y95&gt;=25,"TRIM","SELL"))))</f>
        <v/>
      </c>
      <c r="AA95" s="119" t="inlineStr">
        <is>
          <t>https://www.tcgplayer.com/product/542687</t>
        </is>
      </c>
      <c r="AB95" s="102" t="inlineStr">
        <is>
          <t>Shiny Charizard from PF. Already popular collector chase.</t>
        </is>
      </c>
    </row>
    <row r="96" ht="15" customHeight="1" s="81">
      <c r="A96" s="99" t="inlineStr">
        <is>
          <t>M057</t>
        </is>
      </c>
      <c r="B96" s="92" t="inlineStr">
        <is>
          <t>Modern Chase PSA 10</t>
        </is>
      </c>
      <c r="C96" s="110" t="inlineStr">
        <is>
          <t>T2</t>
        </is>
      </c>
      <c r="D96" s="92" t="inlineStr">
        <is>
          <t>Mewtwo ex Shiny</t>
        </is>
      </c>
      <c r="E96" s="92" t="inlineStr">
        <is>
          <t>Paldean Fates</t>
        </is>
      </c>
      <c r="F96" s="110" t="inlineStr">
        <is>
          <t>235/091</t>
        </is>
      </c>
      <c r="G96" s="110" t="inlineStr">
        <is>
          <t>PSA 10</t>
        </is>
      </c>
      <c r="H96" s="113" t="n">
        <v>640</v>
      </c>
      <c r="I96" s="114" t="n">
        <v>46153</v>
      </c>
      <c r="J96" s="115" t="n">
        <v>377.88</v>
      </c>
      <c r="K96" s="115" t="n">
        <v>360.82</v>
      </c>
      <c r="L96" s="115" t="n">
        <v>337.62</v>
      </c>
      <c r="M96" s="94">
        <f>IFERROR((H96-J96)/J96,0)</f>
        <v/>
      </c>
      <c r="N96" s="94">
        <f>IFERROR((H96-K96)/K96,0)</f>
        <v/>
      </c>
      <c r="O96" s="94">
        <f>IFERROR((H96-L96)/L96,0)</f>
        <v/>
      </c>
      <c r="P96" s="113" t="n">
        <v>480</v>
      </c>
      <c r="Q96" s="113" t="n">
        <v>960</v>
      </c>
      <c r="R96" s="110" t="inlineStr">
        <is>
          <t>2-5yr</t>
        </is>
      </c>
      <c r="S96" s="110" t="n">
        <v>4</v>
      </c>
      <c r="T96" s="116" t="n">
        <v>2100</v>
      </c>
      <c r="U96" s="117">
        <f>MAX(0,MIN(100,50+((M96*0.6)+(N96*0.4))*200))</f>
        <v/>
      </c>
      <c r="V96" s="117">
        <f>MAX(20,MIN(100,50+(P96-H96)/P96*100))</f>
        <v/>
      </c>
      <c r="W96" s="117">
        <f>IFERROR(MAX(0,MIN(100,100-LOG10(T96)*16)),60)</f>
        <v/>
      </c>
      <c r="X96" s="117">
        <f>IF(C96="T2",85,IF(C96="T4",70,IF(C96="T1",65,IF(C96="T3",55,45))))</f>
        <v/>
      </c>
      <c r="Y96" s="118">
        <f>U96*0.55+W96*0.20+V96*0.15+X96*0.10+ROW()/1000000</f>
        <v/>
      </c>
      <c r="Z96" s="101">
        <f>IF(Y96&gt;=75,"STRONG BUY",IF(Y96&gt;=60,"BUY",IF(Y96&gt;=40,"HOLD",IF(Y96&gt;=25,"TRIM","SELL"))))</f>
        <v/>
      </c>
      <c r="AA96" s="119" t="inlineStr">
        <is>
          <t>https://www.tcgplayer.com/product/542688</t>
        </is>
      </c>
      <c r="AB96" s="102" t="inlineStr">
        <is>
          <t>Shiny Mewtwo. Mewtwo brand.</t>
        </is>
      </c>
    </row>
    <row r="97" ht="15" customHeight="1" s="81">
      <c r="A97" s="99" t="inlineStr">
        <is>
          <t>M058</t>
        </is>
      </c>
      <c r="B97" s="92" t="inlineStr">
        <is>
          <t>Modern Chase PSA 10</t>
        </is>
      </c>
      <c r="C97" s="110" t="inlineStr">
        <is>
          <t>T2</t>
        </is>
      </c>
      <c r="D97" s="92" t="inlineStr">
        <is>
          <t>Pikachu Shiny</t>
        </is>
      </c>
      <c r="E97" s="92" t="inlineStr">
        <is>
          <t>Paldean Fates</t>
        </is>
      </c>
      <c r="F97" s="110" t="inlineStr">
        <is>
          <t>232/091</t>
        </is>
      </c>
      <c r="G97" s="110" t="inlineStr">
        <is>
          <t>PSA 10</t>
        </is>
      </c>
      <c r="H97" s="113" t="n">
        <v>400</v>
      </c>
      <c r="I97" s="114" t="n">
        <v>46153</v>
      </c>
      <c r="J97" s="115" t="n">
        <v>239.93</v>
      </c>
      <c r="K97" s="115" t="n">
        <v>224.78</v>
      </c>
      <c r="L97" s="115" t="n">
        <v>208.09</v>
      </c>
      <c r="M97" s="94">
        <f>IFERROR((H97-J97)/J97,0)</f>
        <v/>
      </c>
      <c r="N97" s="94">
        <f>IFERROR((H97-K97)/K97,0)</f>
        <v/>
      </c>
      <c r="O97" s="94">
        <f>IFERROR((H97-L97)/L97,0)</f>
        <v/>
      </c>
      <c r="P97" s="113" t="n">
        <v>300</v>
      </c>
      <c r="Q97" s="113" t="n">
        <v>600</v>
      </c>
      <c r="R97" s="110" t="inlineStr">
        <is>
          <t>2-5yr</t>
        </is>
      </c>
      <c r="S97" s="110" t="n">
        <v>4</v>
      </c>
      <c r="T97" s="116" t="n">
        <v>2500</v>
      </c>
      <c r="U97" s="117">
        <f>MAX(0,MIN(100,50+((M97*0.6)+(N97*0.4))*200))</f>
        <v/>
      </c>
      <c r="V97" s="117">
        <f>MAX(20,MIN(100,50+(P97-H97)/P97*100))</f>
        <v/>
      </c>
      <c r="W97" s="117">
        <f>IFERROR(MAX(0,MIN(100,100-LOG10(T97)*16)),60)</f>
        <v/>
      </c>
      <c r="X97" s="117">
        <f>IF(C97="T2",85,IF(C97="T4",70,IF(C97="T1",65,IF(C97="T3",55,45))))</f>
        <v/>
      </c>
      <c r="Y97" s="118">
        <f>U97*0.55+W97*0.20+V97*0.15+X97*0.10+ROW()/1000000</f>
        <v/>
      </c>
      <c r="Z97" s="101">
        <f>IF(Y97&gt;=75,"STRONG BUY",IF(Y97&gt;=60,"BUY",IF(Y97&gt;=40,"HOLD",IF(Y97&gt;=25,"TRIM","SELL"))))</f>
        <v/>
      </c>
      <c r="AA97" s="119" t="inlineStr">
        <is>
          <t>https://www.tcgplayer.com/product/542685</t>
        </is>
      </c>
      <c r="AB97" s="102" t="inlineStr">
        <is>
          <t>Shiny Pikachu - always strong demand.</t>
        </is>
      </c>
    </row>
    <row r="98" ht="15" customHeight="1" s="81">
      <c r="A98" s="99" t="inlineStr">
        <is>
          <t>M059</t>
        </is>
      </c>
      <c r="B98" s="92" t="inlineStr">
        <is>
          <t>Modern Chase PSA 10</t>
        </is>
      </c>
      <c r="C98" s="110" t="inlineStr">
        <is>
          <t>T2</t>
        </is>
      </c>
      <c r="D98" s="92" t="inlineStr">
        <is>
          <t>Greninja ex SIR</t>
        </is>
      </c>
      <c r="E98" s="92" t="inlineStr">
        <is>
          <t>Twilight Masquerade</t>
        </is>
      </c>
      <c r="F98" s="110" t="inlineStr">
        <is>
          <t>232/167</t>
        </is>
      </c>
      <c r="G98" s="110" t="inlineStr">
        <is>
          <t>PSA 10</t>
        </is>
      </c>
      <c r="H98" s="113" t="n">
        <v>540</v>
      </c>
      <c r="I98" s="114" t="n">
        <v>46153</v>
      </c>
      <c r="J98" s="115" t="n">
        <v>307.82</v>
      </c>
      <c r="K98" s="115" t="n">
        <v>289.93</v>
      </c>
      <c r="L98" s="115" t="n">
        <v>258.35</v>
      </c>
      <c r="M98" s="94">
        <f>IFERROR((H98-J98)/J98,0)</f>
        <v/>
      </c>
      <c r="N98" s="94">
        <f>IFERROR((H98-K98)/K98,0)</f>
        <v/>
      </c>
      <c r="O98" s="94">
        <f>IFERROR((H98-L98)/L98,0)</f>
        <v/>
      </c>
      <c r="P98" s="113" t="n">
        <v>410</v>
      </c>
      <c r="Q98" s="113" t="n">
        <v>810</v>
      </c>
      <c r="R98" s="110" t="inlineStr">
        <is>
          <t>2-5yr</t>
        </is>
      </c>
      <c r="S98" s="110" t="n">
        <v>4</v>
      </c>
      <c r="T98" s="116" t="n">
        <v>1800</v>
      </c>
      <c r="U98" s="117">
        <f>MAX(0,MIN(100,50+((M98*0.6)+(N98*0.4))*200))</f>
        <v/>
      </c>
      <c r="V98" s="117">
        <f>MAX(20,MIN(100,50+(P98-H98)/P98*100))</f>
        <v/>
      </c>
      <c r="W98" s="117">
        <f>IFERROR(MAX(0,MIN(100,100-LOG10(T98)*16)),60)</f>
        <v/>
      </c>
      <c r="X98" s="117">
        <f>IF(C98="T2",85,IF(C98="T4",70,IF(C98="T1",65,IF(C98="T3",55,45))))</f>
        <v/>
      </c>
      <c r="Y98" s="118">
        <f>U98*0.55+W98*0.20+V98*0.15+X98*0.10+ROW()/1000000</f>
        <v/>
      </c>
      <c r="Z98" s="101">
        <f>IF(Y98&gt;=75,"STRONG BUY",IF(Y98&gt;=60,"BUY",IF(Y98&gt;=40,"HOLD",IF(Y98&gt;=25,"TRIM","SELL"))))</f>
        <v/>
      </c>
      <c r="AA98" s="119" t="inlineStr">
        <is>
          <t>https://www.tcgplayer.com/product/567103</t>
        </is>
      </c>
      <c r="AB98" s="102" t="inlineStr">
        <is>
          <t>Greninja chase. Strong art.</t>
        </is>
      </c>
    </row>
    <row r="99" ht="15" customHeight="1" s="81">
      <c r="A99" s="99" t="inlineStr">
        <is>
          <t>M060</t>
        </is>
      </c>
      <c r="B99" s="92" t="inlineStr">
        <is>
          <t>Modern Chase PSA 10</t>
        </is>
      </c>
      <c r="C99" s="110" t="inlineStr">
        <is>
          <t>T2</t>
        </is>
      </c>
      <c r="D99" s="92" t="inlineStr">
        <is>
          <t>Carmine SIR</t>
        </is>
      </c>
      <c r="E99" s="92" t="inlineStr">
        <is>
          <t>Twilight Masquerade</t>
        </is>
      </c>
      <c r="F99" s="110" t="inlineStr">
        <is>
          <t>229/167</t>
        </is>
      </c>
      <c r="G99" s="110" t="inlineStr">
        <is>
          <t>PSA 10</t>
        </is>
      </c>
      <c r="H99" s="113" t="n">
        <v>480</v>
      </c>
      <c r="I99" s="114" t="n">
        <v>46153</v>
      </c>
      <c r="J99" s="115" t="n">
        <v>273.99</v>
      </c>
      <c r="K99" s="115" t="n">
        <v>262.22</v>
      </c>
      <c r="L99" s="115" t="n">
        <v>240.56</v>
      </c>
      <c r="M99" s="94">
        <f>IFERROR((H99-J99)/J99,0)</f>
        <v/>
      </c>
      <c r="N99" s="94">
        <f>IFERROR((H99-K99)/K99,0)</f>
        <v/>
      </c>
      <c r="O99" s="94">
        <f>IFERROR((H99-L99)/L99,0)</f>
        <v/>
      </c>
      <c r="P99" s="113" t="n">
        <v>360</v>
      </c>
      <c r="Q99" s="113" t="n">
        <v>720</v>
      </c>
      <c r="R99" s="110" t="inlineStr">
        <is>
          <t>2-5yr</t>
        </is>
      </c>
      <c r="S99" s="110" t="n">
        <v>4</v>
      </c>
      <c r="T99" s="116" t="n">
        <v>1900</v>
      </c>
      <c r="U99" s="117">
        <f>MAX(0,MIN(100,50+((M99*0.6)+(N99*0.4))*200))</f>
        <v/>
      </c>
      <c r="V99" s="117">
        <f>MAX(20,MIN(100,50+(P99-H99)/P99*100))</f>
        <v/>
      </c>
      <c r="W99" s="117">
        <f>IFERROR(MAX(0,MIN(100,100-LOG10(T99)*16)),60)</f>
        <v/>
      </c>
      <c r="X99" s="117">
        <f>IF(C99="T2",85,IF(C99="T4",70,IF(C99="T1",65,IF(C99="T3",55,45))))</f>
        <v/>
      </c>
      <c r="Y99" s="118">
        <f>U99*0.55+W99*0.20+V99*0.15+X99*0.10+ROW()/1000000</f>
        <v/>
      </c>
      <c r="Z99" s="101">
        <f>IF(Y99&gt;=75,"STRONG BUY",IF(Y99&gt;=60,"BUY",IF(Y99&gt;=40,"HOLD",IF(Y99&gt;=25,"TRIM","SELL"))))</f>
        <v/>
      </c>
      <c r="AA99" s="119" t="inlineStr">
        <is>
          <t>https://www.tcgplayer.com/product/567100</t>
        </is>
      </c>
      <c r="AB99" s="102" t="inlineStr">
        <is>
          <t>Trainer waifu. Carmine following Iono playbook.</t>
        </is>
      </c>
    </row>
    <row r="100" ht="15" customHeight="1" s="81">
      <c r="A100" s="99" t="inlineStr">
        <is>
          <t>M061</t>
        </is>
      </c>
      <c r="B100" s="92" t="inlineStr">
        <is>
          <t>Modern Chase PSA 10</t>
        </is>
      </c>
      <c r="C100" s="110" t="inlineStr">
        <is>
          <t>T2</t>
        </is>
      </c>
      <c r="D100" s="92" t="inlineStr">
        <is>
          <t>Hoothoot SIR</t>
        </is>
      </c>
      <c r="E100" s="92" t="inlineStr">
        <is>
          <t>Twilight Masquerade</t>
        </is>
      </c>
      <c r="F100" s="110" t="inlineStr">
        <is>
          <t>230/167</t>
        </is>
      </c>
      <c r="G100" s="110" t="inlineStr">
        <is>
          <t>PSA 10</t>
        </is>
      </c>
      <c r="H100" s="113" t="n">
        <v>240</v>
      </c>
      <c r="I100" s="114" t="n">
        <v>46153</v>
      </c>
      <c r="J100" s="115" t="n">
        <v>137.87</v>
      </c>
      <c r="K100" s="115" t="n">
        <v>127.81</v>
      </c>
      <c r="L100" s="115" t="n">
        <v>110.89</v>
      </c>
      <c r="M100" s="94">
        <f>IFERROR((H100-J100)/J100,0)</f>
        <v/>
      </c>
      <c r="N100" s="94">
        <f>IFERROR((H100-K100)/K100,0)</f>
        <v/>
      </c>
      <c r="O100" s="94">
        <f>IFERROR((H100-L100)/L100,0)</f>
        <v/>
      </c>
      <c r="P100" s="113" t="n">
        <v>180</v>
      </c>
      <c r="Q100" s="113" t="n">
        <v>360</v>
      </c>
      <c r="R100" s="110" t="inlineStr">
        <is>
          <t>2-5yr</t>
        </is>
      </c>
      <c r="S100" s="110" t="n">
        <v>3</v>
      </c>
      <c r="T100" s="116" t="n">
        <v>1700</v>
      </c>
      <c r="U100" s="117">
        <f>MAX(0,MIN(100,50+((M100*0.6)+(N100*0.4))*200))</f>
        <v/>
      </c>
      <c r="V100" s="117">
        <f>MAX(20,MIN(100,50+(P100-H100)/P100*100))</f>
        <v/>
      </c>
      <c r="W100" s="117">
        <f>IFERROR(MAX(0,MIN(100,100-LOG10(T100)*16)),60)</f>
        <v/>
      </c>
      <c r="X100" s="117">
        <f>IF(C100="T2",85,IF(C100="T4",70,IF(C100="T1",65,IF(C100="T3",55,45))))</f>
        <v/>
      </c>
      <c r="Y100" s="118">
        <f>U100*0.55+W100*0.20+V100*0.15+X100*0.10+ROW()/1000000</f>
        <v/>
      </c>
      <c r="Z100" s="101">
        <f>IF(Y100&gt;=75,"STRONG BUY",IF(Y100&gt;=60,"BUY",IF(Y100&gt;=40,"HOLD",IF(Y100&gt;=25,"TRIM","SELL"))))</f>
        <v/>
      </c>
      <c r="AA100" s="119" t="inlineStr">
        <is>
          <t>https://www.tcgplayer.com/product/567101</t>
        </is>
      </c>
      <c r="AB100" s="102" t="inlineStr">
        <is>
          <t>Cute factor pull. Up 10%/30D.</t>
        </is>
      </c>
    </row>
    <row r="101" ht="15" customHeight="1" s="81">
      <c r="A101" s="99" t="inlineStr">
        <is>
          <t>M062</t>
        </is>
      </c>
      <c r="B101" s="92" t="inlineStr">
        <is>
          <t>Modern Chase PSA 10</t>
        </is>
      </c>
      <c r="C101" s="110" t="inlineStr">
        <is>
          <t>T2</t>
        </is>
      </c>
      <c r="D101" s="92" t="inlineStr">
        <is>
          <t>Pecharunt ex SIR</t>
        </is>
      </c>
      <c r="E101" s="92" t="inlineStr">
        <is>
          <t>Shrouded Fable</t>
        </is>
      </c>
      <c r="F101" s="110" t="inlineStr">
        <is>
          <t>086/064</t>
        </is>
      </c>
      <c r="G101" s="110" t="inlineStr">
        <is>
          <t>PSA 10</t>
        </is>
      </c>
      <c r="H101" s="113" t="n">
        <v>480</v>
      </c>
      <c r="I101" s="114" t="n">
        <v>46153</v>
      </c>
      <c r="J101" s="115" t="n">
        <v>280.94</v>
      </c>
      <c r="K101" s="115" t="n">
        <v>262</v>
      </c>
      <c r="L101" s="115" t="n">
        <v>246.48</v>
      </c>
      <c r="M101" s="94">
        <f>IFERROR((H101-J101)/J101,0)</f>
        <v/>
      </c>
      <c r="N101" s="94">
        <f>IFERROR((H101-K101)/K101,0)</f>
        <v/>
      </c>
      <c r="O101" s="94">
        <f>IFERROR((H101-L101)/L101,0)</f>
        <v/>
      </c>
      <c r="P101" s="113" t="n">
        <v>360</v>
      </c>
      <c r="Q101" s="113" t="n">
        <v>720</v>
      </c>
      <c r="R101" s="110" t="inlineStr">
        <is>
          <t>2-5yr</t>
        </is>
      </c>
      <c r="S101" s="110" t="n">
        <v>4</v>
      </c>
      <c r="T101" s="116" t="n">
        <v>1500</v>
      </c>
      <c r="U101" s="117">
        <f>MAX(0,MIN(100,50+((M101*0.6)+(N101*0.4))*200))</f>
        <v/>
      </c>
      <c r="V101" s="117">
        <f>MAX(20,MIN(100,50+(P101-H101)/P101*100))</f>
        <v/>
      </c>
      <c r="W101" s="117">
        <f>IFERROR(MAX(0,MIN(100,100-LOG10(T101)*16)),60)</f>
        <v/>
      </c>
      <c r="X101" s="117">
        <f>IF(C101="T2",85,IF(C101="T4",70,IF(C101="T1",65,IF(C101="T3",55,45))))</f>
        <v/>
      </c>
      <c r="Y101" s="118">
        <f>U101*0.55+W101*0.20+V101*0.15+X101*0.10+ROW()/1000000</f>
        <v/>
      </c>
      <c r="Z101" s="101">
        <f>IF(Y101&gt;=75,"STRONG BUY",IF(Y101&gt;=60,"BUY",IF(Y101&gt;=40,"HOLD",IF(Y101&gt;=25,"TRIM","SELL"))))</f>
        <v/>
      </c>
      <c r="AA101" s="119" t="inlineStr">
        <is>
          <t>https://www.tcgplayer.com/product/586420</t>
        </is>
      </c>
      <c r="AB101" s="102" t="inlineStr">
        <is>
          <t>New mythical. Shrouded Fable chase.</t>
        </is>
      </c>
    </row>
    <row r="102" ht="15" customHeight="1" s="81">
      <c r="A102" s="99" t="inlineStr">
        <is>
          <t>M063</t>
        </is>
      </c>
      <c r="B102" s="92" t="inlineStr">
        <is>
          <t>Modern Chase PSA 10</t>
        </is>
      </c>
      <c r="C102" s="110" t="inlineStr">
        <is>
          <t>T2</t>
        </is>
      </c>
      <c r="D102" s="92" t="inlineStr">
        <is>
          <t>Fezandipiti ex Alt Art</t>
        </is>
      </c>
      <c r="E102" s="92" t="inlineStr">
        <is>
          <t>Shrouded Fable</t>
        </is>
      </c>
      <c r="F102" s="110" t="inlineStr">
        <is>
          <t>071/064</t>
        </is>
      </c>
      <c r="G102" s="110" t="inlineStr">
        <is>
          <t>PSA 10</t>
        </is>
      </c>
      <c r="H102" s="113" t="n">
        <v>300</v>
      </c>
      <c r="I102" s="114" t="n">
        <v>46153</v>
      </c>
      <c r="J102" s="115" t="n">
        <v>175</v>
      </c>
      <c r="K102" s="115" t="n">
        <v>173.62</v>
      </c>
      <c r="L102" s="115" t="n">
        <v>161.07</v>
      </c>
      <c r="M102" s="94">
        <f>IFERROR((H102-J102)/J102,0)</f>
        <v/>
      </c>
      <c r="N102" s="94">
        <f>IFERROR((H102-K102)/K102,0)</f>
        <v/>
      </c>
      <c r="O102" s="94">
        <f>IFERROR((H102-L102)/L102,0)</f>
        <v/>
      </c>
      <c r="P102" s="113" t="n">
        <v>230</v>
      </c>
      <c r="Q102" s="113" t="n">
        <v>450</v>
      </c>
      <c r="R102" s="110" t="inlineStr">
        <is>
          <t>2-5yr</t>
        </is>
      </c>
      <c r="S102" s="110" t="n">
        <v>3</v>
      </c>
      <c r="T102" s="116" t="n">
        <v>1300</v>
      </c>
      <c r="U102" s="117">
        <f>MAX(0,MIN(100,50+((M102*0.6)+(N102*0.4))*200))</f>
        <v/>
      </c>
      <c r="V102" s="117">
        <f>MAX(20,MIN(100,50+(P102-H102)/P102*100))</f>
        <v/>
      </c>
      <c r="W102" s="117">
        <f>IFERROR(MAX(0,MIN(100,100-LOG10(T102)*16)),60)</f>
        <v/>
      </c>
      <c r="X102" s="117">
        <f>IF(C102="T2",85,IF(C102="T4",70,IF(C102="T1",65,IF(C102="T3",55,45))))</f>
        <v/>
      </c>
      <c r="Y102" s="118">
        <f>U102*0.55+W102*0.20+V102*0.15+X102*0.10+ROW()/1000000</f>
        <v/>
      </c>
      <c r="Z102" s="101">
        <f>IF(Y102&gt;=75,"STRONG BUY",IF(Y102&gt;=60,"BUY",IF(Y102&gt;=40,"HOLD",IF(Y102&gt;=25,"TRIM","SELL"))))</f>
        <v/>
      </c>
      <c r="AA102" s="119" t="inlineStr">
        <is>
          <t>https://www.tcgplayer.com/product/586412</t>
        </is>
      </c>
      <c r="AB102" s="102" t="inlineStr">
        <is>
          <t>Loyal Three. Strong art.</t>
        </is>
      </c>
    </row>
    <row r="103" ht="15" customHeight="1" s="81">
      <c r="A103" s="99" t="inlineStr">
        <is>
          <t>M064</t>
        </is>
      </c>
      <c r="B103" s="92" t="inlineStr">
        <is>
          <t>Modern Chase PSA 10</t>
        </is>
      </c>
      <c r="C103" s="110" t="inlineStr">
        <is>
          <t>T2</t>
        </is>
      </c>
      <c r="D103" s="92" t="inlineStr">
        <is>
          <t>Terapagos ex SIR</t>
        </is>
      </c>
      <c r="E103" s="92" t="inlineStr">
        <is>
          <t>Stellar Crown</t>
        </is>
      </c>
      <c r="F103" s="110" t="inlineStr">
        <is>
          <t>176/142</t>
        </is>
      </c>
      <c r="G103" s="110" t="inlineStr">
        <is>
          <t>PSA 10</t>
        </is>
      </c>
      <c r="H103" s="113" t="n">
        <v>640</v>
      </c>
      <c r="I103" s="114" t="n">
        <v>46153</v>
      </c>
      <c r="J103" s="115" t="n">
        <v>378.69</v>
      </c>
      <c r="K103" s="115" t="n">
        <v>352.75</v>
      </c>
      <c r="L103" s="115" t="n">
        <v>319.18</v>
      </c>
      <c r="M103" s="94">
        <f>IFERROR((H103-J103)/J103,0)</f>
        <v/>
      </c>
      <c r="N103" s="94">
        <f>IFERROR((H103-K103)/K103,0)</f>
        <v/>
      </c>
      <c r="O103" s="94">
        <f>IFERROR((H103-L103)/L103,0)</f>
        <v/>
      </c>
      <c r="P103" s="113" t="n">
        <v>480</v>
      </c>
      <c r="Q103" s="113" t="n">
        <v>960</v>
      </c>
      <c r="R103" s="110" t="inlineStr">
        <is>
          <t>2-5yr</t>
        </is>
      </c>
      <c r="S103" s="110" t="n">
        <v>4</v>
      </c>
      <c r="T103" s="116" t="n">
        <v>1600</v>
      </c>
      <c r="U103" s="117">
        <f>MAX(0,MIN(100,50+((M103*0.6)+(N103*0.4))*200))</f>
        <v/>
      </c>
      <c r="V103" s="117">
        <f>MAX(20,MIN(100,50+(P103-H103)/P103*100))</f>
        <v/>
      </c>
      <c r="W103" s="117">
        <f>IFERROR(MAX(0,MIN(100,100-LOG10(T103)*16)),60)</f>
        <v/>
      </c>
      <c r="X103" s="117">
        <f>IF(C103="T2",85,IF(C103="T4",70,IF(C103="T1",65,IF(C103="T3",55,45))))</f>
        <v/>
      </c>
      <c r="Y103" s="118">
        <f>U103*0.55+W103*0.20+V103*0.15+X103*0.10+ROW()/1000000</f>
        <v/>
      </c>
      <c r="Z103" s="101">
        <f>IF(Y103&gt;=75,"STRONG BUY",IF(Y103&gt;=60,"BUY",IF(Y103&gt;=40,"HOLD",IF(Y103&gt;=25,"TRIM","SELL"))))</f>
        <v/>
      </c>
      <c r="AA103" s="119" t="inlineStr">
        <is>
          <t>https://www.tcgplayer.com/product/598340</t>
        </is>
      </c>
      <c r="AB103" s="102" t="inlineStr">
        <is>
          <t>Stellar Crown box pull. Mascot card.</t>
        </is>
      </c>
    </row>
    <row r="104" ht="15" customHeight="1" s="81">
      <c r="A104" s="99" t="inlineStr">
        <is>
          <t>M065</t>
        </is>
      </c>
      <c r="B104" s="92" t="inlineStr">
        <is>
          <t>Modern Chase PSA 10</t>
        </is>
      </c>
      <c r="C104" s="110" t="inlineStr">
        <is>
          <t>T2</t>
        </is>
      </c>
      <c r="D104" s="92" t="inlineStr">
        <is>
          <t>Lacey SIR</t>
        </is>
      </c>
      <c r="E104" s="92" t="inlineStr">
        <is>
          <t>Stellar Crown</t>
        </is>
      </c>
      <c r="F104" s="110" t="inlineStr">
        <is>
          <t>171/142</t>
        </is>
      </c>
      <c r="G104" s="110" t="inlineStr">
        <is>
          <t>PSA 10</t>
        </is>
      </c>
      <c r="H104" s="113" t="n">
        <v>400</v>
      </c>
      <c r="I104" s="114" t="n">
        <v>46153</v>
      </c>
      <c r="J104" s="115" t="n">
        <v>240.28</v>
      </c>
      <c r="K104" s="115" t="n">
        <v>222.17</v>
      </c>
      <c r="L104" s="115" t="n">
        <v>206.77</v>
      </c>
      <c r="M104" s="94">
        <f>IFERROR((H104-J104)/J104,0)</f>
        <v/>
      </c>
      <c r="N104" s="94">
        <f>IFERROR((H104-K104)/K104,0)</f>
        <v/>
      </c>
      <c r="O104" s="94">
        <f>IFERROR((H104-L104)/L104,0)</f>
        <v/>
      </c>
      <c r="P104" s="113" t="n">
        <v>300</v>
      </c>
      <c r="Q104" s="113" t="n">
        <v>600</v>
      </c>
      <c r="R104" s="110" t="inlineStr">
        <is>
          <t>2-5yr</t>
        </is>
      </c>
      <c r="S104" s="110" t="n">
        <v>3</v>
      </c>
      <c r="T104" s="116" t="n">
        <v>1700</v>
      </c>
      <c r="U104" s="117">
        <f>MAX(0,MIN(100,50+((M104*0.6)+(N104*0.4))*200))</f>
        <v/>
      </c>
      <c r="V104" s="117">
        <f>MAX(20,MIN(100,50+(P104-H104)/P104*100))</f>
        <v/>
      </c>
      <c r="W104" s="117">
        <f>IFERROR(MAX(0,MIN(100,100-LOG10(T104)*16)),60)</f>
        <v/>
      </c>
      <c r="X104" s="117">
        <f>IF(C104="T2",85,IF(C104="T4",70,IF(C104="T1",65,IF(C104="T3",55,45))))</f>
        <v/>
      </c>
      <c r="Y104" s="118">
        <f>U104*0.55+W104*0.20+V104*0.15+X104*0.10+ROW()/1000000</f>
        <v/>
      </c>
      <c r="Z104" s="101">
        <f>IF(Y104&gt;=75,"STRONG BUY",IF(Y104&gt;=60,"BUY",IF(Y104&gt;=40,"HOLD",IF(Y104&gt;=25,"TRIM","SELL"))))</f>
        <v/>
      </c>
      <c r="AA104" s="119" t="inlineStr">
        <is>
          <t>https://www.tcgplayer.com/product/598335</t>
        </is>
      </c>
      <c r="AB104" s="102" t="inlineStr">
        <is>
          <t>Trainer SIR. Lower tier waifu but consistent.</t>
        </is>
      </c>
    </row>
    <row r="105" ht="15" customHeight="1" s="81">
      <c r="A105" s="99" t="inlineStr">
        <is>
          <t>M066</t>
        </is>
      </c>
      <c r="B105" s="92" t="inlineStr">
        <is>
          <t>Modern Chase PSA 10</t>
        </is>
      </c>
      <c r="C105" s="110" t="inlineStr">
        <is>
          <t>T2</t>
        </is>
      </c>
      <c r="D105" s="92" t="inlineStr">
        <is>
          <t>Pikachu ex Alt Art</t>
        </is>
      </c>
      <c r="E105" s="92" t="inlineStr">
        <is>
          <t>Surging Sparks</t>
        </is>
      </c>
      <c r="F105" s="110" t="inlineStr">
        <is>
          <t>238/191</t>
        </is>
      </c>
      <c r="G105" s="110" t="inlineStr">
        <is>
          <t>PSA 10</t>
        </is>
      </c>
      <c r="H105" s="113" t="n">
        <v>400</v>
      </c>
      <c r="I105" s="114" t="n">
        <v>46153</v>
      </c>
      <c r="J105" s="115" t="n">
        <v>240.31</v>
      </c>
      <c r="K105" s="115" t="n">
        <v>231.9</v>
      </c>
      <c r="L105" s="115" t="n">
        <v>215.06</v>
      </c>
      <c r="M105" s="94">
        <f>IFERROR((H105-J105)/J105,0)</f>
        <v/>
      </c>
      <c r="N105" s="94">
        <f>IFERROR((H105-K105)/K105,0)</f>
        <v/>
      </c>
      <c r="O105" s="94">
        <f>IFERROR((H105-L105)/L105,0)</f>
        <v/>
      </c>
      <c r="P105" s="113" t="n">
        <v>300</v>
      </c>
      <c r="Q105" s="113" t="n">
        <v>600</v>
      </c>
      <c r="R105" s="110" t="inlineStr">
        <is>
          <t>2-5yr</t>
        </is>
      </c>
      <c r="S105" s="110" t="n">
        <v>4</v>
      </c>
      <c r="T105" s="116" t="n">
        <v>2200</v>
      </c>
      <c r="U105" s="117">
        <f>MAX(0,MIN(100,50+((M105*0.6)+(N105*0.4))*200))</f>
        <v/>
      </c>
      <c r="V105" s="117">
        <f>MAX(20,MIN(100,50+(P105-H105)/P105*100))</f>
        <v/>
      </c>
      <c r="W105" s="117">
        <f>IFERROR(MAX(0,MIN(100,100-LOG10(T105)*16)),60)</f>
        <v/>
      </c>
      <c r="X105" s="117">
        <f>IF(C105="T2",85,IF(C105="T4",70,IF(C105="T1",65,IF(C105="T3",55,45))))</f>
        <v/>
      </c>
      <c r="Y105" s="118">
        <f>U105*0.55+W105*0.20+V105*0.15+X105*0.10+ROW()/1000000</f>
        <v/>
      </c>
      <c r="Z105" s="101">
        <f>IF(Y105&gt;=75,"STRONG BUY",IF(Y105&gt;=60,"BUY",IF(Y105&gt;=40,"HOLD",IF(Y105&gt;=25,"TRIM","SELL"))))</f>
        <v/>
      </c>
      <c r="AA105" s="119" t="inlineStr">
        <is>
          <t>https://www.tcgplayer.com/product/610489</t>
        </is>
      </c>
      <c r="AB105" s="102" t="inlineStr">
        <is>
          <t>Pikachu ex alt - high pop but liquid.</t>
        </is>
      </c>
    </row>
    <row r="106" ht="15" customHeight="1" s="81">
      <c r="A106" s="99" t="inlineStr">
        <is>
          <t>M067</t>
        </is>
      </c>
      <c r="B106" s="92" t="inlineStr">
        <is>
          <t>Modern Chase PSA 10</t>
        </is>
      </c>
      <c r="C106" s="110" t="inlineStr">
        <is>
          <t>T2</t>
        </is>
      </c>
      <c r="D106" s="92" t="inlineStr">
        <is>
          <t>Latias ex Alt Art</t>
        </is>
      </c>
      <c r="E106" s="92" t="inlineStr">
        <is>
          <t>Surging Sparks</t>
        </is>
      </c>
      <c r="F106" s="110" t="inlineStr">
        <is>
          <t>239/191</t>
        </is>
      </c>
      <c r="G106" s="110" t="inlineStr">
        <is>
          <t>PSA 10</t>
        </is>
      </c>
      <c r="H106" s="113" t="n">
        <v>300</v>
      </c>
      <c r="I106" s="114" t="n">
        <v>46153</v>
      </c>
      <c r="J106" s="115" t="n">
        <v>177.65</v>
      </c>
      <c r="K106" s="115" t="n">
        <v>168.96</v>
      </c>
      <c r="L106" s="115" t="n">
        <v>155.96</v>
      </c>
      <c r="M106" s="94">
        <f>IFERROR((H106-J106)/J106,0)</f>
        <v/>
      </c>
      <c r="N106" s="94">
        <f>IFERROR((H106-K106)/K106,0)</f>
        <v/>
      </c>
      <c r="O106" s="94">
        <f>IFERROR((H106-L106)/L106,0)</f>
        <v/>
      </c>
      <c r="P106" s="113" t="n">
        <v>230</v>
      </c>
      <c r="Q106" s="113" t="n">
        <v>450</v>
      </c>
      <c r="R106" s="110" t="inlineStr">
        <is>
          <t>2-5yr</t>
        </is>
      </c>
      <c r="S106" s="110" t="n">
        <v>3</v>
      </c>
      <c r="T106" s="116" t="n">
        <v>1800</v>
      </c>
      <c r="U106" s="117">
        <f>MAX(0,MIN(100,50+((M106*0.6)+(N106*0.4))*200))</f>
        <v/>
      </c>
      <c r="V106" s="117">
        <f>MAX(20,MIN(100,50+(P106-H106)/P106*100))</f>
        <v/>
      </c>
      <c r="W106" s="117">
        <f>IFERROR(MAX(0,MIN(100,100-LOG10(T106)*16)),60)</f>
        <v/>
      </c>
      <c r="X106" s="117">
        <f>IF(C106="T2",85,IF(C106="T4",70,IF(C106="T1",65,IF(C106="T3",55,45))))</f>
        <v/>
      </c>
      <c r="Y106" s="118">
        <f>U106*0.55+W106*0.20+V106*0.15+X106*0.10+ROW()/1000000</f>
        <v/>
      </c>
      <c r="Z106" s="101">
        <f>IF(Y106&gt;=75,"STRONG BUY",IF(Y106&gt;=60,"BUY",IF(Y106&gt;=40,"HOLD",IF(Y106&gt;=25,"TRIM","SELL"))))</f>
        <v/>
      </c>
      <c r="AA106" s="119" t="inlineStr">
        <is>
          <t>https://www.tcgplayer.com/product/610490</t>
        </is>
      </c>
      <c r="AB106" s="102" t="inlineStr">
        <is>
          <t>Eon duo Latias. Pairs with Latios.</t>
        </is>
      </c>
    </row>
    <row r="107" ht="15" customHeight="1" s="81">
      <c r="A107" s="99" t="inlineStr">
        <is>
          <t>M068</t>
        </is>
      </c>
      <c r="B107" s="92" t="inlineStr">
        <is>
          <t>Modern Chase PSA 10</t>
        </is>
      </c>
      <c r="C107" s="110" t="inlineStr">
        <is>
          <t>T2</t>
        </is>
      </c>
      <c r="D107" s="92" t="inlineStr">
        <is>
          <t>Hydreigon ex Alt Art</t>
        </is>
      </c>
      <c r="E107" s="92" t="inlineStr">
        <is>
          <t>Surging Sparks</t>
        </is>
      </c>
      <c r="F107" s="110" t="inlineStr">
        <is>
          <t>240/191</t>
        </is>
      </c>
      <c r="G107" s="110" t="inlineStr">
        <is>
          <t>PSA 10</t>
        </is>
      </c>
      <c r="H107" s="113" t="n">
        <v>260</v>
      </c>
      <c r="I107" s="114" t="n">
        <v>46153</v>
      </c>
      <c r="J107" s="115" t="n">
        <v>148.63</v>
      </c>
      <c r="K107" s="115" t="n">
        <v>144.5</v>
      </c>
      <c r="L107" s="115" t="n">
        <v>134.75</v>
      </c>
      <c r="M107" s="94">
        <f>IFERROR((H107-J107)/J107,0)</f>
        <v/>
      </c>
      <c r="N107" s="94">
        <f>IFERROR((H107-K107)/K107,0)</f>
        <v/>
      </c>
      <c r="O107" s="94">
        <f>IFERROR((H107-L107)/L107,0)</f>
        <v/>
      </c>
      <c r="P107" s="113" t="n">
        <v>195</v>
      </c>
      <c r="Q107" s="113" t="n">
        <v>390</v>
      </c>
      <c r="R107" s="110" t="inlineStr">
        <is>
          <t>2-5yr</t>
        </is>
      </c>
      <c r="S107" s="110" t="n">
        <v>3</v>
      </c>
      <c r="T107" s="116" t="n">
        <v>1600</v>
      </c>
      <c r="U107" s="117">
        <f>MAX(0,MIN(100,50+((M107*0.6)+(N107*0.4))*200))</f>
        <v/>
      </c>
      <c r="V107" s="117">
        <f>MAX(20,MIN(100,50+(P107-H107)/P107*100))</f>
        <v/>
      </c>
      <c r="W107" s="117">
        <f>IFERROR(MAX(0,MIN(100,100-LOG10(T107)*16)),60)</f>
        <v/>
      </c>
      <c r="X107" s="117">
        <f>IF(C107="T2",85,IF(C107="T4",70,IF(C107="T1",65,IF(C107="T3",55,45))))</f>
        <v/>
      </c>
      <c r="Y107" s="118">
        <f>U107*0.55+W107*0.20+V107*0.15+X107*0.10+ROW()/1000000</f>
        <v/>
      </c>
      <c r="Z107" s="101">
        <f>IF(Y107&gt;=75,"STRONG BUY",IF(Y107&gt;=60,"BUY",IF(Y107&gt;=40,"HOLD",IF(Y107&gt;=25,"TRIM","SELL"))))</f>
        <v/>
      </c>
      <c r="AA107" s="119" t="inlineStr">
        <is>
          <t>https://www.tcgplayer.com/product/610491</t>
        </is>
      </c>
      <c r="AB107" s="102" t="inlineStr">
        <is>
          <t>Pseudo-legendary alt.</t>
        </is>
      </c>
    </row>
    <row r="108" ht="23.25" customHeight="1" s="81">
      <c r="A108" s="99" t="inlineStr">
        <is>
          <t>M069</t>
        </is>
      </c>
      <c r="B108" s="92" t="inlineStr">
        <is>
          <t>Modern Chase PSA 10</t>
        </is>
      </c>
      <c r="C108" s="110" t="inlineStr">
        <is>
          <t>T2</t>
        </is>
      </c>
      <c r="D108" s="92" t="inlineStr">
        <is>
          <t>Umbreon ex SIR</t>
        </is>
      </c>
      <c r="E108" s="92" t="inlineStr">
        <is>
          <t>Prismatic Evolutions</t>
        </is>
      </c>
      <c r="F108" s="110" t="inlineStr">
        <is>
          <t>161/131</t>
        </is>
      </c>
      <c r="G108" s="110" t="inlineStr">
        <is>
          <t>PSA 10</t>
        </is>
      </c>
      <c r="H108" s="113" t="n">
        <v>5200</v>
      </c>
      <c r="I108" s="114" t="n">
        <v>46153</v>
      </c>
      <c r="J108" s="115" t="n">
        <v>4035.72</v>
      </c>
      <c r="K108" s="115" t="n">
        <v>3999.78</v>
      </c>
      <c r="L108" s="115" t="n">
        <v>3982.85</v>
      </c>
      <c r="M108" s="94">
        <f>IFERROR((H108-J108)/J108,0)</f>
        <v/>
      </c>
      <c r="N108" s="94">
        <f>IFERROR((H108-K108)/K108,0)</f>
        <v/>
      </c>
      <c r="O108" s="94">
        <f>IFERROR((H108-L108)/L108,0)</f>
        <v/>
      </c>
      <c r="P108" s="113" t="n">
        <v>3900</v>
      </c>
      <c r="Q108" s="113" t="n">
        <v>7800</v>
      </c>
      <c r="R108" s="110" t="inlineStr">
        <is>
          <t>5-10yr</t>
        </is>
      </c>
      <c r="S108" s="110" t="n">
        <v>5</v>
      </c>
      <c r="T108" s="116" t="n">
        <v>800</v>
      </c>
      <c r="U108" s="117">
        <f>MAX(0,MIN(100,50+((M108*0.6)+(N108*0.4))*200))</f>
        <v/>
      </c>
      <c r="V108" s="117">
        <f>MAX(20,MIN(100,50+(P108-H108)/P108*100))</f>
        <v/>
      </c>
      <c r="W108" s="117">
        <f>IFERROR(MAX(0,MIN(100,100-LOG10(T108)*16)),60)</f>
        <v/>
      </c>
      <c r="X108" s="117">
        <f>IF(C108="T2",85,IF(C108="T4",70,IF(C108="T1",65,IF(C108="T3",55,45))))</f>
        <v/>
      </c>
      <c r="Y108" s="118">
        <f>U108*0.55+W108*0.20+V108*0.15+X108*0.10+ROW()/1000000</f>
        <v/>
      </c>
      <c r="Z108" s="101">
        <f>IF(Y108&gt;=75,"STRONG BUY",IF(Y108&gt;=60,"BUY",IF(Y108&gt;=40,"HOLD",IF(Y108&gt;=25,"TRIM","SELL"))))</f>
        <v/>
      </c>
      <c r="AA108" s="119" t="inlineStr">
        <is>
          <t>https://www.pricecharting.com/game/pokemon-prismatic-evolutions/umbreon-ex-161</t>
        </is>
      </c>
      <c r="AB108" s="102" t="inlineStr">
        <is>
          <t>PE Umbreon SIR. Most expensive S&amp;V card. PSA 10 climbing.</t>
        </is>
      </c>
    </row>
    <row r="109" ht="23.25" customHeight="1" s="81">
      <c r="A109" s="99" t="inlineStr">
        <is>
          <t>M070</t>
        </is>
      </c>
      <c r="B109" s="92" t="inlineStr">
        <is>
          <t>Modern Chase PSA 10</t>
        </is>
      </c>
      <c r="C109" s="110" t="inlineStr">
        <is>
          <t>T4</t>
        </is>
      </c>
      <c r="D109" s="92" t="inlineStr">
        <is>
          <t>Umbreon ex SIR</t>
        </is>
      </c>
      <c r="E109" s="92" t="inlineStr">
        <is>
          <t>Prismatic Evolutions</t>
        </is>
      </c>
      <c r="F109" s="110" t="inlineStr">
        <is>
          <t>161/131</t>
        </is>
      </c>
      <c r="G109" s="110" t="inlineStr">
        <is>
          <t>Raw NM</t>
        </is>
      </c>
      <c r="H109" s="113" t="n">
        <v>1300</v>
      </c>
      <c r="I109" s="114" t="n">
        <v>46153</v>
      </c>
      <c r="J109" s="115" t="n">
        <v>986.5700000000001</v>
      </c>
      <c r="K109" s="115" t="n">
        <v>980.53</v>
      </c>
      <c r="L109" s="115" t="n">
        <v>1007.86</v>
      </c>
      <c r="M109" s="94">
        <f>IFERROR((H109-J109)/J109,0)</f>
        <v/>
      </c>
      <c r="N109" s="94">
        <f>IFERROR((H109-K109)/K109,0)</f>
        <v/>
      </c>
      <c r="O109" s="94">
        <f>IFERROR((H109-L109)/L109,0)</f>
        <v/>
      </c>
      <c r="P109" s="113" t="n">
        <v>980</v>
      </c>
      <c r="Q109" s="113" t="n">
        <v>1950</v>
      </c>
      <c r="R109" s="110" t="inlineStr">
        <is>
          <t>2-5yr</t>
        </is>
      </c>
      <c r="S109" s="110" t="n">
        <v>5</v>
      </c>
      <c r="T109" s="120" t="n"/>
      <c r="U109" s="117">
        <f>MAX(0,MIN(100,50+((M109*0.6)+(N109*0.4))*200))</f>
        <v/>
      </c>
      <c r="V109" s="117">
        <f>MAX(20,MIN(100,50+(P109-H109)/P109*100))</f>
        <v/>
      </c>
      <c r="W109" s="117">
        <f>IFERROR(MAX(0,MIN(100,100-LOG10(T109)*16)),60)</f>
        <v/>
      </c>
      <c r="X109" s="117">
        <f>IF(C109="T2",85,IF(C109="T4",70,IF(C109="T1",65,IF(C109="T3",55,45))))</f>
        <v/>
      </c>
      <c r="Y109" s="118">
        <f>U109*0.55+W109*0.20+V109*0.15+X109*0.10+ROW()/1000000</f>
        <v/>
      </c>
      <c r="Z109" s="101">
        <f>IF(Y109&gt;=75,"STRONG BUY",IF(Y109&gt;=60,"BUY",IF(Y109&gt;=40,"HOLD",IF(Y109&gt;=25,"TRIM","SELL"))))</f>
        <v/>
      </c>
      <c r="AA109" s="119" t="inlineStr">
        <is>
          <t>https://www.tcgplayer.com/product/610516</t>
        </is>
      </c>
      <c r="AB109" s="102" t="inlineStr">
        <is>
          <t>Raw PE Umbreon. Grade and flip - cleanest math in the game right now.</t>
        </is>
      </c>
    </row>
    <row r="110" ht="15" customHeight="1" s="81">
      <c r="A110" s="99" t="inlineStr">
        <is>
          <t>M071</t>
        </is>
      </c>
      <c r="B110" s="92" t="inlineStr">
        <is>
          <t>Modern Chase PSA 10</t>
        </is>
      </c>
      <c r="C110" s="110" t="inlineStr">
        <is>
          <t>T2</t>
        </is>
      </c>
      <c r="D110" s="92" t="inlineStr">
        <is>
          <t>Sylveon ex SIR</t>
        </is>
      </c>
      <c r="E110" s="92" t="inlineStr">
        <is>
          <t>Prismatic Evolutions</t>
        </is>
      </c>
      <c r="F110" s="110" t="inlineStr">
        <is>
          <t>156/131</t>
        </is>
      </c>
      <c r="G110" s="110" t="inlineStr">
        <is>
          <t>PSA 10</t>
        </is>
      </c>
      <c r="H110" s="113" t="n">
        <v>1500</v>
      </c>
      <c r="I110" s="114" t="n">
        <v>46153</v>
      </c>
      <c r="J110" s="115" t="n">
        <v>1184.42</v>
      </c>
      <c r="K110" s="115" t="n">
        <v>1141.7</v>
      </c>
      <c r="L110" s="115" t="n">
        <v>1083.48</v>
      </c>
      <c r="M110" s="94">
        <f>IFERROR((H110-J110)/J110,0)</f>
        <v/>
      </c>
      <c r="N110" s="94">
        <f>IFERROR((H110-K110)/K110,0)</f>
        <v/>
      </c>
      <c r="O110" s="94">
        <f>IFERROR((H110-L110)/L110,0)</f>
        <v/>
      </c>
      <c r="P110" s="113" t="n">
        <v>1130</v>
      </c>
      <c r="Q110" s="113" t="n">
        <v>2250</v>
      </c>
      <c r="R110" s="110" t="inlineStr">
        <is>
          <t>2-5yr</t>
        </is>
      </c>
      <c r="S110" s="110" t="n">
        <v>4</v>
      </c>
      <c r="T110" s="116" t="n">
        <v>1200</v>
      </c>
      <c r="U110" s="117">
        <f>MAX(0,MIN(100,50+((M110*0.6)+(N110*0.4))*200))</f>
        <v/>
      </c>
      <c r="V110" s="117">
        <f>MAX(20,MIN(100,50+(P110-H110)/P110*100))</f>
        <v/>
      </c>
      <c r="W110" s="117">
        <f>IFERROR(MAX(0,MIN(100,100-LOG10(T110)*16)),60)</f>
        <v/>
      </c>
      <c r="X110" s="117">
        <f>IF(C110="T2",85,IF(C110="T4",70,IF(C110="T1",65,IF(C110="T3",55,45))))</f>
        <v/>
      </c>
      <c r="Y110" s="118">
        <f>U110*0.55+W110*0.20+V110*0.15+X110*0.10+ROW()/1000000</f>
        <v/>
      </c>
      <c r="Z110" s="101">
        <f>IF(Y110&gt;=75,"STRONG BUY",IF(Y110&gt;=60,"BUY",IF(Y110&gt;=40,"HOLD",IF(Y110&gt;=25,"TRIM","SELL"))))</f>
        <v/>
      </c>
      <c r="AA110" s="119" t="inlineStr">
        <is>
          <t>https://www.pricecharting.com/game/pokemon-prismatic-evolutions/sylveon-ex-156</t>
        </is>
      </c>
      <c r="AB110" s="102" t="inlineStr">
        <is>
          <t>PE Sylveon SIR. 30-40% discount to Umbreon.</t>
        </is>
      </c>
    </row>
    <row r="111" ht="15" customHeight="1" s="81">
      <c r="A111" s="99" t="inlineStr">
        <is>
          <t>M072</t>
        </is>
      </c>
      <c r="B111" s="92" t="inlineStr">
        <is>
          <t>Modern Chase PSA 10</t>
        </is>
      </c>
      <c r="C111" s="110" t="inlineStr">
        <is>
          <t>T2</t>
        </is>
      </c>
      <c r="D111" s="92" t="inlineStr">
        <is>
          <t>Espeon ex SIR</t>
        </is>
      </c>
      <c r="E111" s="92" t="inlineStr">
        <is>
          <t>Prismatic Evolutions</t>
        </is>
      </c>
      <c r="F111" s="110" t="inlineStr">
        <is>
          <t>155/131</t>
        </is>
      </c>
      <c r="G111" s="110" t="inlineStr">
        <is>
          <t>PSA 10</t>
        </is>
      </c>
      <c r="H111" s="113" t="n">
        <v>1400</v>
      </c>
      <c r="I111" s="114" t="n">
        <v>46153</v>
      </c>
      <c r="J111" s="115" t="n">
        <v>1089.15</v>
      </c>
      <c r="K111" s="115" t="n">
        <v>1031.86</v>
      </c>
      <c r="L111" s="115" t="n">
        <v>944.04</v>
      </c>
      <c r="M111" s="94">
        <f>IFERROR((H111-J111)/J111,0)</f>
        <v/>
      </c>
      <c r="N111" s="94">
        <f>IFERROR((H111-K111)/K111,0)</f>
        <v/>
      </c>
      <c r="O111" s="94">
        <f>IFERROR((H111-L111)/L111,0)</f>
        <v/>
      </c>
      <c r="P111" s="113" t="n">
        <v>1050</v>
      </c>
      <c r="Q111" s="113" t="n">
        <v>2100</v>
      </c>
      <c r="R111" s="110" t="inlineStr">
        <is>
          <t>2-5yr</t>
        </is>
      </c>
      <c r="S111" s="110" t="n">
        <v>4</v>
      </c>
      <c r="T111" s="116" t="n">
        <v>1300</v>
      </c>
      <c r="U111" s="117">
        <f>MAX(0,MIN(100,50+((M111*0.6)+(N111*0.4))*200))</f>
        <v/>
      </c>
      <c r="V111" s="117">
        <f>MAX(20,MIN(100,50+(P111-H111)/P111*100))</f>
        <v/>
      </c>
      <c r="W111" s="117">
        <f>IFERROR(MAX(0,MIN(100,100-LOG10(T111)*16)),60)</f>
        <v/>
      </c>
      <c r="X111" s="117">
        <f>IF(C111="T2",85,IF(C111="T4",70,IF(C111="T1",65,IF(C111="T3",55,45))))</f>
        <v/>
      </c>
      <c r="Y111" s="118">
        <f>U111*0.55+W111*0.20+V111*0.15+X111*0.10+ROW()/1000000</f>
        <v/>
      </c>
      <c r="Z111" s="101">
        <f>IF(Y111&gt;=75,"STRONG BUY",IF(Y111&gt;=60,"BUY",IF(Y111&gt;=40,"HOLD",IF(Y111&gt;=25,"TRIM","SELL"))))</f>
        <v/>
      </c>
      <c r="AA111" s="119" t="inlineStr">
        <is>
          <t>https://www.tcgplayer.com/product/610510</t>
        </is>
      </c>
      <c r="AB111" s="102" t="inlineStr">
        <is>
          <t>Sun Eeveelution premium.</t>
        </is>
      </c>
    </row>
    <row r="112" ht="15" customHeight="1" s="81">
      <c r="A112" s="99" t="inlineStr">
        <is>
          <t>M073</t>
        </is>
      </c>
      <c r="B112" s="92" t="inlineStr">
        <is>
          <t>Modern Chase PSA 10</t>
        </is>
      </c>
      <c r="C112" s="110" t="inlineStr">
        <is>
          <t>T2</t>
        </is>
      </c>
      <c r="D112" s="92" t="inlineStr">
        <is>
          <t>Vaporeon ex SIR</t>
        </is>
      </c>
      <c r="E112" s="92" t="inlineStr">
        <is>
          <t>Prismatic Evolutions</t>
        </is>
      </c>
      <c r="F112" s="110" t="inlineStr">
        <is>
          <t>159/131</t>
        </is>
      </c>
      <c r="G112" s="110" t="inlineStr">
        <is>
          <t>PSA 10</t>
        </is>
      </c>
      <c r="H112" s="113" t="n">
        <v>1080</v>
      </c>
      <c r="I112" s="114" t="n">
        <v>46153</v>
      </c>
      <c r="J112" s="115" t="n">
        <v>851.4400000000001</v>
      </c>
      <c r="K112" s="115" t="n">
        <v>794.61</v>
      </c>
      <c r="L112" s="115" t="n">
        <v>713.4</v>
      </c>
      <c r="M112" s="94">
        <f>IFERROR((H112-J112)/J112,0)</f>
        <v/>
      </c>
      <c r="N112" s="94">
        <f>IFERROR((H112-K112)/K112,0)</f>
        <v/>
      </c>
      <c r="O112" s="94">
        <f>IFERROR((H112-L112)/L112,0)</f>
        <v/>
      </c>
      <c r="P112" s="113" t="n">
        <v>810</v>
      </c>
      <c r="Q112" s="113" t="n">
        <v>1620</v>
      </c>
      <c r="R112" s="110" t="inlineStr">
        <is>
          <t>2-5yr</t>
        </is>
      </c>
      <c r="S112" s="110" t="n">
        <v>4</v>
      </c>
      <c r="T112" s="116" t="n">
        <v>1400</v>
      </c>
      <c r="U112" s="117">
        <f>MAX(0,MIN(100,50+((M112*0.6)+(N112*0.4))*200))</f>
        <v/>
      </c>
      <c r="V112" s="117">
        <f>MAX(20,MIN(100,50+(P112-H112)/P112*100))</f>
        <v/>
      </c>
      <c r="W112" s="117">
        <f>IFERROR(MAX(0,MIN(100,100-LOG10(T112)*16)),60)</f>
        <v/>
      </c>
      <c r="X112" s="117">
        <f>IF(C112="T2",85,IF(C112="T4",70,IF(C112="T1",65,IF(C112="T3",55,45))))</f>
        <v/>
      </c>
      <c r="Y112" s="118">
        <f>U112*0.55+W112*0.20+V112*0.15+X112*0.10+ROW()/1000000</f>
        <v/>
      </c>
      <c r="Z112" s="101">
        <f>IF(Y112&gt;=75,"STRONG BUY",IF(Y112&gt;=60,"BUY",IF(Y112&gt;=40,"HOLD",IF(Y112&gt;=25,"TRIM","SELL"))))</f>
        <v/>
      </c>
      <c r="AA112" s="119" t="inlineStr">
        <is>
          <t>https://www.tcgplayer.com/product/610514</t>
        </is>
      </c>
      <c r="AB112" s="102" t="inlineStr">
        <is>
          <t>Water Eeveelution PE SIR.</t>
        </is>
      </c>
    </row>
    <row r="113" ht="15" customHeight="1" s="81">
      <c r="A113" s="99" t="inlineStr">
        <is>
          <t>M074</t>
        </is>
      </c>
      <c r="B113" s="92" t="inlineStr">
        <is>
          <t>Modern Chase PSA 10</t>
        </is>
      </c>
      <c r="C113" s="110" t="inlineStr">
        <is>
          <t>T2</t>
        </is>
      </c>
      <c r="D113" s="92" t="inlineStr">
        <is>
          <t>Glaceon ex SIR</t>
        </is>
      </c>
      <c r="E113" s="92" t="inlineStr">
        <is>
          <t>Prismatic Evolutions</t>
        </is>
      </c>
      <c r="F113" s="110" t="inlineStr">
        <is>
          <t>158/131</t>
        </is>
      </c>
      <c r="G113" s="110" t="inlineStr">
        <is>
          <t>PSA 10</t>
        </is>
      </c>
      <c r="H113" s="113" t="n">
        <v>920</v>
      </c>
      <c r="I113" s="114" t="n">
        <v>46153</v>
      </c>
      <c r="J113" s="115" t="n">
        <v>698.11</v>
      </c>
      <c r="K113" s="115" t="n">
        <v>669.1799999999999</v>
      </c>
      <c r="L113" s="115" t="n">
        <v>624.39</v>
      </c>
      <c r="M113" s="94">
        <f>IFERROR((H113-J113)/J113,0)</f>
        <v/>
      </c>
      <c r="N113" s="94">
        <f>IFERROR((H113-K113)/K113,0)</f>
        <v/>
      </c>
      <c r="O113" s="94">
        <f>IFERROR((H113-L113)/L113,0)</f>
        <v/>
      </c>
      <c r="P113" s="113" t="n">
        <v>690</v>
      </c>
      <c r="Q113" s="113" t="n">
        <v>1380</v>
      </c>
      <c r="R113" s="110" t="inlineStr">
        <is>
          <t>2-5yr</t>
        </is>
      </c>
      <c r="S113" s="110" t="n">
        <v>4</v>
      </c>
      <c r="T113" s="116" t="n">
        <v>1500</v>
      </c>
      <c r="U113" s="117">
        <f>MAX(0,MIN(100,50+((M113*0.6)+(N113*0.4))*200))</f>
        <v/>
      </c>
      <c r="V113" s="117">
        <f>MAX(20,MIN(100,50+(P113-H113)/P113*100))</f>
        <v/>
      </c>
      <c r="W113" s="117">
        <f>IFERROR(MAX(0,MIN(100,100-LOG10(T113)*16)),60)</f>
        <v/>
      </c>
      <c r="X113" s="117">
        <f>IF(C113="T2",85,IF(C113="T4",70,IF(C113="T1",65,IF(C113="T3",55,45))))</f>
        <v/>
      </c>
      <c r="Y113" s="118">
        <f>U113*0.55+W113*0.20+V113*0.15+X113*0.10+ROW()/1000000</f>
        <v/>
      </c>
      <c r="Z113" s="101">
        <f>IF(Y113&gt;=75,"STRONG BUY",IF(Y113&gt;=60,"BUY",IF(Y113&gt;=40,"HOLD",IF(Y113&gt;=25,"TRIM","SELL"))))</f>
        <v/>
      </c>
      <c r="AA113" s="119" t="inlineStr">
        <is>
          <t>https://www.tcgplayer.com/product/610513</t>
        </is>
      </c>
      <c r="AB113" s="102" t="inlineStr">
        <is>
          <t>Ice Eeveelution PE SIR.</t>
        </is>
      </c>
    </row>
    <row r="114" ht="23.25" customHeight="1" s="81">
      <c r="A114" s="99" t="inlineStr">
        <is>
          <t>M075</t>
        </is>
      </c>
      <c r="B114" s="92" t="inlineStr">
        <is>
          <t>Modern Chase PSA 10</t>
        </is>
      </c>
      <c r="C114" s="110" t="inlineStr">
        <is>
          <t>T2</t>
        </is>
      </c>
      <c r="D114" s="92" t="inlineStr">
        <is>
          <t>Leafeon ex SIR</t>
        </is>
      </c>
      <c r="E114" s="92" t="inlineStr">
        <is>
          <t>Prismatic Evolutions</t>
        </is>
      </c>
      <c r="F114" s="110" t="inlineStr">
        <is>
          <t>144/131</t>
        </is>
      </c>
      <c r="G114" s="110" t="inlineStr">
        <is>
          <t>PSA 10</t>
        </is>
      </c>
      <c r="H114" s="113" t="n">
        <v>860</v>
      </c>
      <c r="I114" s="114" t="n">
        <v>46153</v>
      </c>
      <c r="J114" s="115" t="n">
        <v>677.91</v>
      </c>
      <c r="K114" s="115" t="n">
        <v>647.62</v>
      </c>
      <c r="L114" s="115" t="n">
        <v>614.6799999999999</v>
      </c>
      <c r="M114" s="94">
        <f>IFERROR((H114-J114)/J114,0)</f>
        <v/>
      </c>
      <c r="N114" s="94">
        <f>IFERROR((H114-K114)/K114,0)</f>
        <v/>
      </c>
      <c r="O114" s="94">
        <f>IFERROR((H114-L114)/L114,0)</f>
        <v/>
      </c>
      <c r="P114" s="113" t="n">
        <v>650</v>
      </c>
      <c r="Q114" s="113" t="n">
        <v>1290</v>
      </c>
      <c r="R114" s="110" t="inlineStr">
        <is>
          <t>2-5yr</t>
        </is>
      </c>
      <c r="S114" s="110" t="n">
        <v>3</v>
      </c>
      <c r="T114" s="116" t="n">
        <v>1600</v>
      </c>
      <c r="U114" s="117">
        <f>MAX(0,MIN(100,50+((M114*0.6)+(N114*0.4))*200))</f>
        <v/>
      </c>
      <c r="V114" s="117">
        <f>MAX(20,MIN(100,50+(P114-H114)/P114*100))</f>
        <v/>
      </c>
      <c r="W114" s="117">
        <f>IFERROR(MAX(0,MIN(100,100-LOG10(T114)*16)),60)</f>
        <v/>
      </c>
      <c r="X114" s="117">
        <f>IF(C114="T2",85,IF(C114="T4",70,IF(C114="T1",65,IF(C114="T3",55,45))))</f>
        <v/>
      </c>
      <c r="Y114" s="118">
        <f>U114*0.55+W114*0.20+V114*0.15+X114*0.10+ROW()/1000000</f>
        <v/>
      </c>
      <c r="Z114" s="101">
        <f>IF(Y114&gt;=75,"STRONG BUY",IF(Y114&gt;=60,"BUY",IF(Y114&gt;=40,"HOLD",IF(Y114&gt;=25,"TRIM","SELL"))))</f>
        <v/>
      </c>
      <c r="AA114" s="119" t="inlineStr">
        <is>
          <t>https://www.tcgplayer.com/product/610499</t>
        </is>
      </c>
      <c r="AB114" s="102" t="inlineStr">
        <is>
          <t>Grass Eeveelution PE SIR. Cheapest entry to PE Eeveelution set.</t>
        </is>
      </c>
    </row>
    <row r="115" ht="23.25" customHeight="1" s="81">
      <c r="A115" s="99" t="inlineStr">
        <is>
          <t>M076</t>
        </is>
      </c>
      <c r="B115" s="92" t="inlineStr">
        <is>
          <t>Modern Chase PSA 10</t>
        </is>
      </c>
      <c r="C115" s="110" t="inlineStr">
        <is>
          <t>T2</t>
        </is>
      </c>
      <c r="D115" s="92" t="inlineStr">
        <is>
          <t>Marnie SIR</t>
        </is>
      </c>
      <c r="E115" s="92" t="inlineStr">
        <is>
          <t>Journey Together</t>
        </is>
      </c>
      <c r="F115" s="110" t="inlineStr">
        <is>
          <t>180/159</t>
        </is>
      </c>
      <c r="G115" s="110" t="inlineStr">
        <is>
          <t>PSA 10</t>
        </is>
      </c>
      <c r="H115" s="113" t="n">
        <v>480</v>
      </c>
      <c r="I115" s="114" t="n">
        <v>46153</v>
      </c>
      <c r="J115" s="115" t="n">
        <v>370.04</v>
      </c>
      <c r="K115" s="115" t="n">
        <v>343.48</v>
      </c>
      <c r="L115" s="115" t="n">
        <v>304.63</v>
      </c>
      <c r="M115" s="94">
        <f>IFERROR((H115-J115)/J115,0)</f>
        <v/>
      </c>
      <c r="N115" s="94">
        <f>IFERROR((H115-K115)/K115,0)</f>
        <v/>
      </c>
      <c r="O115" s="94">
        <f>IFERROR((H115-L115)/L115,0)</f>
        <v/>
      </c>
      <c r="P115" s="113" t="n">
        <v>360</v>
      </c>
      <c r="Q115" s="113" t="n">
        <v>720</v>
      </c>
      <c r="R115" s="110" t="inlineStr">
        <is>
          <t>2-5yr</t>
        </is>
      </c>
      <c r="S115" s="110" t="n">
        <v>4</v>
      </c>
      <c r="T115" s="116" t="n">
        <v>1700</v>
      </c>
      <c r="U115" s="117">
        <f>MAX(0,MIN(100,50+((M115*0.6)+(N115*0.4))*200))</f>
        <v/>
      </c>
      <c r="V115" s="117">
        <f>MAX(20,MIN(100,50+(P115-H115)/P115*100))</f>
        <v/>
      </c>
      <c r="W115" s="117">
        <f>IFERROR(MAX(0,MIN(100,100-LOG10(T115)*16)),60)</f>
        <v/>
      </c>
      <c r="X115" s="117">
        <f>IF(C115="T2",85,IF(C115="T4",70,IF(C115="T1",65,IF(C115="T3",55,45))))</f>
        <v/>
      </c>
      <c r="Y115" s="118">
        <f>U115*0.55+W115*0.20+V115*0.15+X115*0.10+ROW()/1000000</f>
        <v/>
      </c>
      <c r="Z115" s="101">
        <f>IF(Y115&gt;=75,"STRONG BUY",IF(Y115&gt;=60,"BUY",IF(Y115&gt;=40,"HOLD",IF(Y115&gt;=25,"TRIM","SELL"))))</f>
        <v/>
      </c>
      <c r="AA115" s="119" t="inlineStr">
        <is>
          <t>https://www.tcgplayer.com/product/645321</t>
        </is>
      </c>
      <c r="AB115" s="102" t="inlineStr">
        <is>
          <t>Marnie reprint chase from Journey Together. Up 10%/30D.</t>
        </is>
      </c>
    </row>
    <row r="116" ht="15" customHeight="1" s="81">
      <c r="A116" s="99" t="inlineStr">
        <is>
          <t>M077</t>
        </is>
      </c>
      <c r="B116" s="92" t="inlineStr">
        <is>
          <t>Modern Chase PSA 10</t>
        </is>
      </c>
      <c r="C116" s="110" t="inlineStr">
        <is>
          <t>T2</t>
        </is>
      </c>
      <c r="D116" s="92" t="inlineStr">
        <is>
          <t>N's Zoroark ex Alt</t>
        </is>
      </c>
      <c r="E116" s="92" t="inlineStr">
        <is>
          <t>Journey Together</t>
        </is>
      </c>
      <c r="F116" s="110" t="inlineStr">
        <is>
          <t>175/159</t>
        </is>
      </c>
      <c r="G116" s="110" t="inlineStr">
        <is>
          <t>PSA 10</t>
        </is>
      </c>
      <c r="H116" s="113" t="n">
        <v>280</v>
      </c>
      <c r="I116" s="114" t="n">
        <v>46153</v>
      </c>
      <c r="J116" s="115" t="n">
        <v>214.7</v>
      </c>
      <c r="K116" s="115" t="n">
        <v>207.93</v>
      </c>
      <c r="L116" s="115" t="n">
        <v>187.23</v>
      </c>
      <c r="M116" s="94">
        <f>IFERROR((H116-J116)/J116,0)</f>
        <v/>
      </c>
      <c r="N116" s="94">
        <f>IFERROR((H116-K116)/K116,0)</f>
        <v/>
      </c>
      <c r="O116" s="94">
        <f>IFERROR((H116-L116)/L116,0)</f>
        <v/>
      </c>
      <c r="P116" s="113" t="n">
        <v>210</v>
      </c>
      <c r="Q116" s="113" t="n">
        <v>420</v>
      </c>
      <c r="R116" s="110" t="inlineStr">
        <is>
          <t>2-5yr</t>
        </is>
      </c>
      <c r="S116" s="110" t="n">
        <v>3</v>
      </c>
      <c r="T116" s="116" t="n">
        <v>1900</v>
      </c>
      <c r="U116" s="117">
        <f>MAX(0,MIN(100,50+((M116*0.6)+(N116*0.4))*200))</f>
        <v/>
      </c>
      <c r="V116" s="117">
        <f>MAX(20,MIN(100,50+(P116-H116)/P116*100))</f>
        <v/>
      </c>
      <c r="W116" s="117">
        <f>IFERROR(MAX(0,MIN(100,100-LOG10(T116)*16)),60)</f>
        <v/>
      </c>
      <c r="X116" s="117">
        <f>IF(C116="T2",85,IF(C116="T4",70,IF(C116="T1",65,IF(C116="T3",55,45))))</f>
        <v/>
      </c>
      <c r="Y116" s="118">
        <f>U116*0.55+W116*0.20+V116*0.15+X116*0.10+ROW()/1000000</f>
        <v/>
      </c>
      <c r="Z116" s="101">
        <f>IF(Y116&gt;=75,"STRONG BUY",IF(Y116&gt;=60,"BUY",IF(Y116&gt;=40,"HOLD",IF(Y116&gt;=25,"TRIM","SELL"))))</f>
        <v/>
      </c>
      <c r="AA116" s="119" t="inlineStr">
        <is>
          <t>https://www.tcgplayer.com/product/645316</t>
        </is>
      </c>
      <c r="AB116" s="102" t="inlineStr">
        <is>
          <t>N + Zoroark = nostalgia + cult fav.</t>
        </is>
      </c>
    </row>
    <row r="117" ht="15" customHeight="1" s="81">
      <c r="A117" s="99" t="inlineStr">
        <is>
          <t>M078</t>
        </is>
      </c>
      <c r="B117" s="92" t="inlineStr">
        <is>
          <t>Modern Chase PSA 10</t>
        </is>
      </c>
      <c r="C117" s="110" t="inlineStr">
        <is>
          <t>T2</t>
        </is>
      </c>
      <c r="D117" s="92" t="inlineStr">
        <is>
          <t>Lillie's Determination SIR</t>
        </is>
      </c>
      <c r="E117" s="92" t="inlineStr">
        <is>
          <t>Mega Evolution (ME01)</t>
        </is>
      </c>
      <c r="F117" s="110" t="inlineStr">
        <is>
          <t>184/132</t>
        </is>
      </c>
      <c r="G117" s="110" t="inlineStr">
        <is>
          <t>PSA 10</t>
        </is>
      </c>
      <c r="H117" s="113" t="n">
        <v>320</v>
      </c>
      <c r="I117" s="114" t="n">
        <v>46153</v>
      </c>
      <c r="J117" s="115" t="n">
        <v>189.27</v>
      </c>
      <c r="K117" s="115" t="n">
        <v>153.34</v>
      </c>
      <c r="L117" s="115" t="n">
        <v>112.18</v>
      </c>
      <c r="M117" s="94">
        <f>IFERROR((H117-J117)/J117,0)</f>
        <v/>
      </c>
      <c r="N117" s="94">
        <f>IFERROR((H117-K117)/K117,0)</f>
        <v/>
      </c>
      <c r="O117" s="94">
        <f>IFERROR((H117-L117)/L117,0)</f>
        <v/>
      </c>
      <c r="P117" s="113" t="n">
        <v>240</v>
      </c>
      <c r="Q117" s="113" t="n">
        <v>480</v>
      </c>
      <c r="R117" s="110" t="inlineStr">
        <is>
          <t>1-2yr</t>
        </is>
      </c>
      <c r="S117" s="110" t="n">
        <v>4</v>
      </c>
      <c r="T117" s="116" t="n">
        <v>1100</v>
      </c>
      <c r="U117" s="117">
        <f>MAX(0,MIN(100,50+((M117*0.6)+(N117*0.4))*200))</f>
        <v/>
      </c>
      <c r="V117" s="117">
        <f>MAX(20,MIN(100,50+(P117-H117)/P117*100))</f>
        <v/>
      </c>
      <c r="W117" s="117">
        <f>IFERROR(MAX(0,MIN(100,100-LOG10(T117)*16)),60)</f>
        <v/>
      </c>
      <c r="X117" s="117">
        <f>IF(C117="T2",85,IF(C117="T4",70,IF(C117="T1",65,IF(C117="T3",55,45))))</f>
        <v/>
      </c>
      <c r="Y117" s="118">
        <f>U117*0.55+W117*0.20+V117*0.15+X117*0.10+ROW()/1000000</f>
        <v/>
      </c>
      <c r="Z117" s="101">
        <f>IF(Y117&gt;=75,"STRONG BUY",IF(Y117&gt;=60,"BUY",IF(Y117&gt;=40,"HOLD",IF(Y117&gt;=25,"TRIM","SELL"))))</f>
        <v/>
      </c>
      <c r="AA117" s="119" t="inlineStr">
        <is>
          <t>https://www.tcgplayer.com/product/654523</t>
        </is>
      </c>
      <c r="AB117" s="102" t="inlineStr">
        <is>
          <t>Trainer waifu pattern. Up 30%/30D - HOT mover.</t>
        </is>
      </c>
    </row>
    <row r="118" ht="23.25" customHeight="1" s="81">
      <c r="A118" s="99" t="inlineStr">
        <is>
          <t>M079</t>
        </is>
      </c>
      <c r="B118" s="92" t="inlineStr">
        <is>
          <t>Modern Chase PSA 10</t>
        </is>
      </c>
      <c r="C118" s="110" t="inlineStr">
        <is>
          <t>T4</t>
        </is>
      </c>
      <c r="D118" s="92" t="inlineStr">
        <is>
          <t>Lillie's Determination SIR</t>
        </is>
      </c>
      <c r="E118" s="92" t="inlineStr">
        <is>
          <t>Mega Evolution (ME01)</t>
        </is>
      </c>
      <c r="F118" s="110" t="inlineStr">
        <is>
          <t>184/132</t>
        </is>
      </c>
      <c r="G118" s="110" t="inlineStr">
        <is>
          <t>Raw NM</t>
        </is>
      </c>
      <c r="H118" s="113" t="n">
        <v>65</v>
      </c>
      <c r="I118" s="114" t="n">
        <v>46153</v>
      </c>
      <c r="J118" s="115" t="n">
        <v>61.68</v>
      </c>
      <c r="K118" s="115" t="n">
        <v>50.3</v>
      </c>
      <c r="L118" s="115" t="n">
        <v>36.59</v>
      </c>
      <c r="M118" s="94">
        <f>IFERROR((H118-J118)/J118,0)</f>
        <v/>
      </c>
      <c r="N118" s="94">
        <f>IFERROR((H118-K118)/K118,0)</f>
        <v/>
      </c>
      <c r="O118" s="94">
        <f>IFERROR((H118-L118)/L118,0)</f>
        <v/>
      </c>
      <c r="P118" s="113" t="n">
        <v>50</v>
      </c>
      <c r="Q118" s="113" t="n">
        <v>100</v>
      </c>
      <c r="R118" s="110" t="inlineStr">
        <is>
          <t>1-2yr</t>
        </is>
      </c>
      <c r="S118" s="110" t="n">
        <v>3</v>
      </c>
      <c r="T118" s="120" t="n"/>
      <c r="U118" s="117">
        <f>MAX(0,MIN(100,50+((M118*0.6)+(N118*0.4))*200))</f>
        <v/>
      </c>
      <c r="V118" s="117">
        <f>MAX(20,MIN(100,50+(P118-H118)/P118*100))</f>
        <v/>
      </c>
      <c r="W118" s="117">
        <f>IFERROR(MAX(0,MIN(100,100-LOG10(T118)*16)),60)</f>
        <v/>
      </c>
      <c r="X118" s="117">
        <f>IF(C118="T2",85,IF(C118="T4",70,IF(C118="T1",65,IF(C118="T3",55,45))))</f>
        <v/>
      </c>
      <c r="Y118" s="118">
        <f>U118*0.55+W118*0.20+V118*0.15+X118*0.10+ROW()/1000000</f>
        <v/>
      </c>
      <c r="Z118" s="101">
        <f>IF(Y118&gt;=75,"STRONG BUY",IF(Y118&gt;=60,"BUY",IF(Y118&gt;=40,"HOLD",IF(Y118&gt;=25,"TRIM","SELL"))))</f>
        <v/>
      </c>
      <c r="AA118" s="119" t="inlineStr">
        <is>
          <t>https://www.tcgplayer.com/product/654523</t>
        </is>
      </c>
      <c r="AB118" s="102" t="inlineStr">
        <is>
          <t>Cheapest raw flip play. Sub to PSA Bulk; 2x money.</t>
        </is>
      </c>
    </row>
    <row r="119" ht="23.25" customHeight="1" s="81">
      <c r="A119" s="99" t="inlineStr">
        <is>
          <t>M080</t>
        </is>
      </c>
      <c r="B119" s="92" t="inlineStr">
        <is>
          <t>Modern Chase PSA 10</t>
        </is>
      </c>
      <c r="C119" s="110" t="inlineStr">
        <is>
          <t>T2</t>
        </is>
      </c>
      <c r="D119" s="92" t="inlineStr">
        <is>
          <t>Mega Charizard X ex SIR</t>
        </is>
      </c>
      <c r="E119" s="92" t="inlineStr">
        <is>
          <t>Mega Evolution (ME01)</t>
        </is>
      </c>
      <c r="F119" s="110" t="inlineStr">
        <is>
          <t>180/132</t>
        </is>
      </c>
      <c r="G119" s="110" t="inlineStr">
        <is>
          <t>PSA 10</t>
        </is>
      </c>
      <c r="H119" s="113" t="n">
        <v>1800</v>
      </c>
      <c r="I119" s="114" t="n">
        <v>46153</v>
      </c>
      <c r="J119" s="115" t="n">
        <v>1358.65</v>
      </c>
      <c r="K119" s="115" t="n">
        <v>1207.47</v>
      </c>
      <c r="L119" s="115" t="n">
        <v>957.35</v>
      </c>
      <c r="M119" s="94">
        <f>IFERROR((H119-J119)/J119,0)</f>
        <v/>
      </c>
      <c r="N119" s="94">
        <f>IFERROR((H119-K119)/K119,0)</f>
        <v/>
      </c>
      <c r="O119" s="94">
        <f>IFERROR((H119-L119)/L119,0)</f>
        <v/>
      </c>
      <c r="P119" s="113" t="n">
        <v>1350</v>
      </c>
      <c r="Q119" s="113" t="n">
        <v>2700</v>
      </c>
      <c r="R119" s="110" t="inlineStr">
        <is>
          <t>2-5yr</t>
        </is>
      </c>
      <c r="S119" s="110" t="n">
        <v>5</v>
      </c>
      <c r="T119" s="116" t="n">
        <v>900</v>
      </c>
      <c r="U119" s="117">
        <f>MAX(0,MIN(100,50+((M119*0.6)+(N119*0.4))*200))</f>
        <v/>
      </c>
      <c r="V119" s="117">
        <f>MAX(20,MIN(100,50+(P119-H119)/P119*100))</f>
        <v/>
      </c>
      <c r="W119" s="117">
        <f>IFERROR(MAX(0,MIN(100,100-LOG10(T119)*16)),60)</f>
        <v/>
      </c>
      <c r="X119" s="117">
        <f>IF(C119="T2",85,IF(C119="T4",70,IF(C119="T1",65,IF(C119="T3",55,45))))</f>
        <v/>
      </c>
      <c r="Y119" s="118">
        <f>U119*0.55+W119*0.20+V119*0.15+X119*0.10+ROW()/1000000</f>
        <v/>
      </c>
      <c r="Z119" s="101">
        <f>IF(Y119&gt;=75,"STRONG BUY",IF(Y119&gt;=60,"BUY",IF(Y119&gt;=40,"HOLD",IF(Y119&gt;=25,"TRIM","SELL"))))</f>
        <v/>
      </c>
      <c r="AA119" s="119" t="inlineStr">
        <is>
          <t>https://www.tcgplayer.com/product/654519</t>
        </is>
      </c>
      <c r="AB119" s="102" t="inlineStr">
        <is>
          <t>Mega Charizard X reintro. Up 18%/30D. Top momentum.</t>
        </is>
      </c>
    </row>
    <row r="120" ht="23.25" customHeight="1" s="81">
      <c r="A120" s="99" t="inlineStr">
        <is>
          <t>M081</t>
        </is>
      </c>
      <c r="B120" s="92" t="inlineStr">
        <is>
          <t>Modern Chase PSA 10</t>
        </is>
      </c>
      <c r="C120" s="110" t="inlineStr">
        <is>
          <t>T2</t>
        </is>
      </c>
      <c r="D120" s="92" t="inlineStr">
        <is>
          <t>Mega Gengar ex SIR</t>
        </is>
      </c>
      <c r="E120" s="92" t="inlineStr">
        <is>
          <t>Ascended Heroes</t>
        </is>
      </c>
      <c r="F120" s="110" t="inlineStr">
        <is>
          <t>284/217</t>
        </is>
      </c>
      <c r="G120" s="110" t="inlineStr">
        <is>
          <t>PSA 10</t>
        </is>
      </c>
      <c r="H120" s="113" t="n">
        <v>3000</v>
      </c>
      <c r="I120" s="114" t="n">
        <v>46153</v>
      </c>
      <c r="J120" s="115" t="n">
        <v>2131.38</v>
      </c>
      <c r="K120" s="115" t="n">
        <v>1778.54</v>
      </c>
      <c r="L120" s="115" t="n">
        <v>1411.24</v>
      </c>
      <c r="M120" s="94">
        <f>IFERROR((H120-J120)/J120,0)</f>
        <v/>
      </c>
      <c r="N120" s="94">
        <f>IFERROR((H120-K120)/K120,0)</f>
        <v/>
      </c>
      <c r="O120" s="94">
        <f>IFERROR((H120-L120)/L120,0)</f>
        <v/>
      </c>
      <c r="P120" s="113" t="n">
        <v>2250</v>
      </c>
      <c r="Q120" s="113" t="n">
        <v>4500</v>
      </c>
      <c r="R120" s="110" t="inlineStr">
        <is>
          <t>1-2yr</t>
        </is>
      </c>
      <c r="S120" s="110" t="n">
        <v>5</v>
      </c>
      <c r="T120" s="116" t="n">
        <v>400</v>
      </c>
      <c r="U120" s="117">
        <f>MAX(0,MIN(100,50+((M120*0.6)+(N120*0.4))*200))</f>
        <v/>
      </c>
      <c r="V120" s="117">
        <f>MAX(20,MIN(100,50+(P120-H120)/P120*100))</f>
        <v/>
      </c>
      <c r="W120" s="117">
        <f>IFERROR(MAX(0,MIN(100,100-LOG10(T120)*16)),60)</f>
        <v/>
      </c>
      <c r="X120" s="117">
        <f>IF(C120="T2",85,IF(C120="T4",70,IF(C120="T1",65,IF(C120="T3",55,45))))</f>
        <v/>
      </c>
      <c r="Y120" s="118">
        <f>U120*0.55+W120*0.20+V120*0.15+X120*0.10+ROW()/1000000</f>
        <v/>
      </c>
      <c r="Z120" s="101">
        <f>IF(Y120&gt;=75,"STRONG BUY",IF(Y120&gt;=60,"BUY",IF(Y120&gt;=40,"HOLD",IF(Y120&gt;=25,"TRIM","SELL"))))</f>
        <v/>
      </c>
      <c r="AA120" s="119" t="inlineStr">
        <is>
          <t>https://www.pricecharting.com/game/pokemon-ascended-heroes/mega-gengar-ex-284</t>
        </is>
      </c>
      <c r="AB120" s="102" t="inlineStr">
        <is>
          <t>PSA 10 of the 2026 king card. Up 22%/30D. Pop building.</t>
        </is>
      </c>
    </row>
    <row r="121" ht="23.25" customHeight="1" s="81">
      <c r="A121" s="99" t="inlineStr">
        <is>
          <t>M082</t>
        </is>
      </c>
      <c r="B121" s="92" t="inlineStr">
        <is>
          <t>Modern Chase PSA 10</t>
        </is>
      </c>
      <c r="C121" s="110" t="inlineStr">
        <is>
          <t>T4</t>
        </is>
      </c>
      <c r="D121" s="92" t="inlineStr">
        <is>
          <t>Mega Gengar ex SIR</t>
        </is>
      </c>
      <c r="E121" s="92" t="inlineStr">
        <is>
          <t>Ascended Heroes</t>
        </is>
      </c>
      <c r="F121" s="110" t="inlineStr">
        <is>
          <t>284/217</t>
        </is>
      </c>
      <c r="G121" s="110" t="inlineStr">
        <is>
          <t>Raw NM</t>
        </is>
      </c>
      <c r="H121" s="113" t="n">
        <v>1480</v>
      </c>
      <c r="I121" s="114" t="n">
        <v>46153</v>
      </c>
      <c r="J121" s="115" t="n">
        <v>1122.41</v>
      </c>
      <c r="K121" s="115" t="n">
        <v>945.09</v>
      </c>
      <c r="L121" s="115" t="n">
        <v>749.72</v>
      </c>
      <c r="M121" s="94">
        <f>IFERROR((H121-J121)/J121,0)</f>
        <v/>
      </c>
      <c r="N121" s="94">
        <f>IFERROR((H121-K121)/K121,0)</f>
        <v/>
      </c>
      <c r="O121" s="94">
        <f>IFERROR((H121-L121)/L121,0)</f>
        <v/>
      </c>
      <c r="P121" s="113" t="n">
        <v>1110</v>
      </c>
      <c r="Q121" s="113" t="n">
        <v>2220</v>
      </c>
      <c r="R121" s="110" t="inlineStr">
        <is>
          <t>1-2yr</t>
        </is>
      </c>
      <c r="S121" s="110" t="n">
        <v>4</v>
      </c>
      <c r="T121" s="120" t="n"/>
      <c r="U121" s="117">
        <f>MAX(0,MIN(100,50+((M121*0.6)+(N121*0.4))*200))</f>
        <v/>
      </c>
      <c r="V121" s="117">
        <f>MAX(20,MIN(100,50+(P121-H121)/P121*100))</f>
        <v/>
      </c>
      <c r="W121" s="117">
        <f>IFERROR(MAX(0,MIN(100,100-LOG10(T121)*16)),60)</f>
        <v/>
      </c>
      <c r="X121" s="117">
        <f>IF(C121="T2",85,IF(C121="T4",70,IF(C121="T1",65,IF(C121="T3",55,45))))</f>
        <v/>
      </c>
      <c r="Y121" s="118">
        <f>U121*0.55+W121*0.20+V121*0.15+X121*0.10+ROW()/1000000</f>
        <v/>
      </c>
      <c r="Z121" s="101">
        <f>IF(Y121&gt;=75,"STRONG BUY",IF(Y121&gt;=60,"BUY",IF(Y121&gt;=40,"HOLD",IF(Y121&gt;=25,"TRIM","SELL"))))</f>
        <v/>
      </c>
      <c r="AA121" s="119" t="inlineStr">
        <is>
          <t>https://www.tcgplayer.com/product/676096</t>
        </is>
      </c>
      <c r="AB121" s="102" t="inlineStr">
        <is>
          <t>Raw Mega Gengar. Momentum trade - 30% trailing stop.</t>
        </is>
      </c>
    </row>
    <row r="122" ht="23.25" customHeight="1" s="81">
      <c r="A122" s="99" t="inlineStr">
        <is>
          <t>M083</t>
        </is>
      </c>
      <c r="B122" s="92" t="inlineStr">
        <is>
          <t>Modern Chase PSA 10</t>
        </is>
      </c>
      <c r="C122" s="110" t="inlineStr">
        <is>
          <t>T2</t>
        </is>
      </c>
      <c r="D122" s="92" t="inlineStr">
        <is>
          <t>Mega Gengar ex MAR</t>
        </is>
      </c>
      <c r="E122" s="92" t="inlineStr">
        <is>
          <t>Ascended Heroes</t>
        </is>
      </c>
      <c r="F122" s="110" t="inlineStr">
        <is>
          <t>269/217</t>
        </is>
      </c>
      <c r="G122" s="110" t="inlineStr">
        <is>
          <t>PSA 10</t>
        </is>
      </c>
      <c r="H122" s="113" t="n">
        <v>480</v>
      </c>
      <c r="I122" s="114" t="n">
        <v>46153</v>
      </c>
      <c r="J122" s="115" t="n">
        <v>370.86</v>
      </c>
      <c r="K122" s="115" t="n">
        <v>331.59</v>
      </c>
      <c r="L122" s="115" t="n">
        <v>275.25</v>
      </c>
      <c r="M122" s="94">
        <f>IFERROR((H122-J122)/J122,0)</f>
        <v/>
      </c>
      <c r="N122" s="94">
        <f>IFERROR((H122-K122)/K122,0)</f>
        <v/>
      </c>
      <c r="O122" s="94">
        <f>IFERROR((H122-L122)/L122,0)</f>
        <v/>
      </c>
      <c r="P122" s="113" t="n">
        <v>360</v>
      </c>
      <c r="Q122" s="113" t="n">
        <v>720</v>
      </c>
      <c r="R122" s="110" t="inlineStr">
        <is>
          <t>1-2yr</t>
        </is>
      </c>
      <c r="S122" s="110" t="n">
        <v>4</v>
      </c>
      <c r="T122" s="116" t="n">
        <v>1200</v>
      </c>
      <c r="U122" s="117">
        <f>MAX(0,MIN(100,50+((M122*0.6)+(N122*0.4))*200))</f>
        <v/>
      </c>
      <c r="V122" s="117">
        <f>MAX(20,MIN(100,50+(P122-H122)/P122*100))</f>
        <v/>
      </c>
      <c r="W122" s="117">
        <f>IFERROR(MAX(0,MIN(100,100-LOG10(T122)*16)),60)</f>
        <v/>
      </c>
      <c r="X122" s="117">
        <f>IF(C122="T2",85,IF(C122="T4",70,IF(C122="T1",65,IF(C122="T3",55,45))))</f>
        <v/>
      </c>
      <c r="Y122" s="118">
        <f>U122*0.55+W122*0.20+V122*0.15+X122*0.10+ROW()/1000000</f>
        <v/>
      </c>
      <c r="Z122" s="101">
        <f>IF(Y122&gt;=75,"STRONG BUY",IF(Y122&gt;=60,"BUY",IF(Y122&gt;=40,"HOLD",IF(Y122&gt;=25,"TRIM","SELL"))))</f>
        <v/>
      </c>
      <c r="AA122" s="119" t="inlineStr">
        <is>
          <t>https://www.tcgplayer.com/product/676081</t>
        </is>
      </c>
      <c r="AB122" s="102" t="inlineStr">
        <is>
          <t>Mega Attack Rare variant. Cheaper Mega Gengar exposure.</t>
        </is>
      </c>
    </row>
    <row r="123" ht="23.25" customHeight="1" s="81">
      <c r="A123" s="99" t="inlineStr">
        <is>
          <t>M084</t>
        </is>
      </c>
      <c r="B123" s="92" t="inlineStr">
        <is>
          <t>Modern Chase PSA 10</t>
        </is>
      </c>
      <c r="C123" s="110" t="inlineStr">
        <is>
          <t>T2</t>
        </is>
      </c>
      <c r="D123" s="92" t="inlineStr">
        <is>
          <t>Mega Rayquaza ex SIR</t>
        </is>
      </c>
      <c r="E123" s="92" t="inlineStr">
        <is>
          <t>Ascended Heroes</t>
        </is>
      </c>
      <c r="F123" s="110" t="inlineStr">
        <is>
          <t>286/217</t>
        </is>
      </c>
      <c r="G123" s="110" t="inlineStr">
        <is>
          <t>PSA 10</t>
        </is>
      </c>
      <c r="H123" s="113" t="n">
        <v>1400</v>
      </c>
      <c r="I123" s="114" t="n">
        <v>46153</v>
      </c>
      <c r="J123" s="115" t="n">
        <v>1087.31</v>
      </c>
      <c r="K123" s="115" t="n">
        <v>951.53</v>
      </c>
      <c r="L123" s="115" t="n">
        <v>808.6799999999999</v>
      </c>
      <c r="M123" s="94">
        <f>IFERROR((H123-J123)/J123,0)</f>
        <v/>
      </c>
      <c r="N123" s="94">
        <f>IFERROR((H123-K123)/K123,0)</f>
        <v/>
      </c>
      <c r="O123" s="94">
        <f>IFERROR((H123-L123)/L123,0)</f>
        <v/>
      </c>
      <c r="P123" s="113" t="n">
        <v>1050</v>
      </c>
      <c r="Q123" s="113" t="n">
        <v>2100</v>
      </c>
      <c r="R123" s="110" t="inlineStr">
        <is>
          <t>2-5yr</t>
        </is>
      </c>
      <c r="S123" s="110" t="n">
        <v>5</v>
      </c>
      <c r="T123" s="116" t="n">
        <v>600</v>
      </c>
      <c r="U123" s="117">
        <f>MAX(0,MIN(100,50+((M123*0.6)+(N123*0.4))*200))</f>
        <v/>
      </c>
      <c r="V123" s="117">
        <f>MAX(20,MIN(100,50+(P123-H123)/P123*100))</f>
        <v/>
      </c>
      <c r="W123" s="117">
        <f>IFERROR(MAX(0,MIN(100,100-LOG10(T123)*16)),60)</f>
        <v/>
      </c>
      <c r="X123" s="117">
        <f>IF(C123="T2",85,IF(C123="T4",70,IF(C123="T1",65,IF(C123="T3",55,45))))</f>
        <v/>
      </c>
      <c r="Y123" s="118">
        <f>U123*0.55+W123*0.20+V123*0.15+X123*0.10+ROW()/1000000</f>
        <v/>
      </c>
      <c r="Z123" s="101">
        <f>IF(Y123&gt;=75,"STRONG BUY",IF(Y123&gt;=60,"BUY",IF(Y123&gt;=40,"HOLD",IF(Y123&gt;=25,"TRIM","SELL"))))</f>
        <v/>
      </c>
      <c r="AA123" s="119" t="inlineStr">
        <is>
          <t>https://www.tcgplayer.com/product/676098</t>
        </is>
      </c>
      <c r="AB123" s="102" t="inlineStr">
        <is>
          <t>Mega Rayquaza in Ascended Heroes. Dragon collector pull.</t>
        </is>
      </c>
    </row>
    <row r="124" ht="15" customHeight="1" s="81">
      <c r="A124" s="99" t="inlineStr">
        <is>
          <t>M085</t>
        </is>
      </c>
      <c r="B124" s="92" t="inlineStr">
        <is>
          <t>Modern Chase PSA 10</t>
        </is>
      </c>
      <c r="C124" s="110" t="inlineStr">
        <is>
          <t>T2</t>
        </is>
      </c>
      <c r="D124" s="92" t="inlineStr">
        <is>
          <t>Mega Lucario ex SIR</t>
        </is>
      </c>
      <c r="E124" s="92" t="inlineStr">
        <is>
          <t>Ascended Heroes</t>
        </is>
      </c>
      <c r="F124" s="110" t="inlineStr">
        <is>
          <t>285/217</t>
        </is>
      </c>
      <c r="G124" s="110" t="inlineStr">
        <is>
          <t>PSA 10</t>
        </is>
      </c>
      <c r="H124" s="113" t="n">
        <v>820</v>
      </c>
      <c r="I124" s="114" t="n">
        <v>46153</v>
      </c>
      <c r="J124" s="115" t="n">
        <v>627.23</v>
      </c>
      <c r="K124" s="115" t="n">
        <v>567.9299999999999</v>
      </c>
      <c r="L124" s="115" t="n">
        <v>484.12</v>
      </c>
      <c r="M124" s="94">
        <f>IFERROR((H124-J124)/J124,0)</f>
        <v/>
      </c>
      <c r="N124" s="94">
        <f>IFERROR((H124-K124)/K124,0)</f>
        <v/>
      </c>
      <c r="O124" s="94">
        <f>IFERROR((H124-L124)/L124,0)</f>
        <v/>
      </c>
      <c r="P124" s="113" t="n">
        <v>620</v>
      </c>
      <c r="Q124" s="113" t="n">
        <v>1230</v>
      </c>
      <c r="R124" s="110" t="inlineStr">
        <is>
          <t>2-5yr</t>
        </is>
      </c>
      <c r="S124" s="110" t="n">
        <v>4</v>
      </c>
      <c r="T124" s="116" t="n">
        <v>800</v>
      </c>
      <c r="U124" s="117">
        <f>MAX(0,MIN(100,50+((M124*0.6)+(N124*0.4))*200))</f>
        <v/>
      </c>
      <c r="V124" s="117">
        <f>MAX(20,MIN(100,50+(P124-H124)/P124*100))</f>
        <v/>
      </c>
      <c r="W124" s="117">
        <f>IFERROR(MAX(0,MIN(100,100-LOG10(T124)*16)),60)</f>
        <v/>
      </c>
      <c r="X124" s="117">
        <f>IF(C124="T2",85,IF(C124="T4",70,IF(C124="T1",65,IF(C124="T3",55,45))))</f>
        <v/>
      </c>
      <c r="Y124" s="118">
        <f>U124*0.55+W124*0.20+V124*0.15+X124*0.10+ROW()/1000000</f>
        <v/>
      </c>
      <c r="Z124" s="101">
        <f>IF(Y124&gt;=75,"STRONG BUY",IF(Y124&gt;=60,"BUY",IF(Y124&gt;=40,"HOLD",IF(Y124&gt;=25,"TRIM","SELL"))))</f>
        <v/>
      </c>
      <c r="AA124" s="119" t="inlineStr">
        <is>
          <t>https://www.tcgplayer.com/product/676097</t>
        </is>
      </c>
      <c r="AB124" s="102" t="inlineStr">
        <is>
          <t>Lucario brand strength + Mega. Strong.</t>
        </is>
      </c>
    </row>
    <row r="125" ht="23.25" customHeight="1" s="81">
      <c r="A125" s="99" t="inlineStr">
        <is>
          <t>M086</t>
        </is>
      </c>
      <c r="B125" s="92" t="inlineStr">
        <is>
          <t>Modern Chase PSA 10</t>
        </is>
      </c>
      <c r="C125" s="110" t="inlineStr">
        <is>
          <t>T2</t>
        </is>
      </c>
      <c r="D125" s="92" t="inlineStr">
        <is>
          <t>Mega Lopunny ex SIR</t>
        </is>
      </c>
      <c r="E125" s="92" t="inlineStr">
        <is>
          <t>Ascended Heroes</t>
        </is>
      </c>
      <c r="F125" s="110" t="inlineStr">
        <is>
          <t>283/217</t>
        </is>
      </c>
      <c r="G125" s="110" t="inlineStr">
        <is>
          <t>PSA 10</t>
        </is>
      </c>
      <c r="H125" s="113" t="n">
        <v>480</v>
      </c>
      <c r="I125" s="114" t="n">
        <v>46153</v>
      </c>
      <c r="J125" s="115" t="n">
        <v>376.01</v>
      </c>
      <c r="K125" s="115" t="n">
        <v>344.65</v>
      </c>
      <c r="L125" s="115" t="n">
        <v>295.73</v>
      </c>
      <c r="M125" s="94">
        <f>IFERROR((H125-J125)/J125,0)</f>
        <v/>
      </c>
      <c r="N125" s="94">
        <f>IFERROR((H125-K125)/K125,0)</f>
        <v/>
      </c>
      <c r="O125" s="94">
        <f>IFERROR((H125-L125)/L125,0)</f>
        <v/>
      </c>
      <c r="P125" s="113" t="n">
        <v>360</v>
      </c>
      <c r="Q125" s="113" t="n">
        <v>720</v>
      </c>
      <c r="R125" s="110" t="inlineStr">
        <is>
          <t>2-5yr</t>
        </is>
      </c>
      <c r="S125" s="110" t="n">
        <v>4</v>
      </c>
      <c r="T125" s="116" t="n">
        <v>1000</v>
      </c>
      <c r="U125" s="117">
        <f>MAX(0,MIN(100,50+((M125*0.6)+(N125*0.4))*200))</f>
        <v/>
      </c>
      <c r="V125" s="117">
        <f>MAX(20,MIN(100,50+(P125-H125)/P125*100))</f>
        <v/>
      </c>
      <c r="W125" s="117">
        <f>IFERROR(MAX(0,MIN(100,100-LOG10(T125)*16)),60)</f>
        <v/>
      </c>
      <c r="X125" s="117">
        <f>IF(C125="T2",85,IF(C125="T4",70,IF(C125="T1",65,IF(C125="T3",55,45))))</f>
        <v/>
      </c>
      <c r="Y125" s="118">
        <f>U125*0.55+W125*0.20+V125*0.15+X125*0.10+ROW()/1000000</f>
        <v/>
      </c>
      <c r="Z125" s="101">
        <f>IF(Y125&gt;=75,"STRONG BUY",IF(Y125&gt;=60,"BUY",IF(Y125&gt;=40,"HOLD",IF(Y125&gt;=25,"TRIM","SELL"))))</f>
        <v/>
      </c>
      <c r="AA125" s="119" t="inlineStr">
        <is>
          <t>https://www.tcgplayer.com/product/676095</t>
        </is>
      </c>
      <c r="AB125" s="102" t="inlineStr">
        <is>
          <t>Sleeper Mega. Lopunny is uniquely popular in Japan.</t>
        </is>
      </c>
    </row>
    <row r="126" ht="23.25" customHeight="1" s="81">
      <c r="A126" s="99" t="inlineStr">
        <is>
          <t>M087</t>
        </is>
      </c>
      <c r="B126" s="92" t="inlineStr">
        <is>
          <t>Modern Chase PSA 10</t>
        </is>
      </c>
      <c r="C126" s="110" t="inlineStr">
        <is>
          <t>T4</t>
        </is>
      </c>
      <c r="D126" s="92" t="inlineStr">
        <is>
          <t>Mega Charizard Y ex SIR</t>
        </is>
      </c>
      <c r="E126" s="92" t="inlineStr">
        <is>
          <t>Ascended Heroes</t>
        </is>
      </c>
      <c r="F126" s="110" t="inlineStr">
        <is>
          <t>288/217</t>
        </is>
      </c>
      <c r="G126" s="110" t="inlineStr">
        <is>
          <t>Raw NM</t>
        </is>
      </c>
      <c r="H126" s="113" t="n">
        <v>280</v>
      </c>
      <c r="I126" s="114" t="n">
        <v>46153</v>
      </c>
      <c r="J126" s="115" t="n">
        <v>272.62</v>
      </c>
      <c r="K126" s="115" t="n">
        <v>231.82</v>
      </c>
      <c r="L126" s="115" t="n">
        <v>186.18</v>
      </c>
      <c r="M126" s="94">
        <f>IFERROR((H126-J126)/J126,0)</f>
        <v/>
      </c>
      <c r="N126" s="94">
        <f>IFERROR((H126-K126)/K126,0)</f>
        <v/>
      </c>
      <c r="O126" s="94">
        <f>IFERROR((H126-L126)/L126,0)</f>
        <v/>
      </c>
      <c r="P126" s="113" t="n">
        <v>220</v>
      </c>
      <c r="Q126" s="113" t="n">
        <v>400</v>
      </c>
      <c r="R126" s="110" t="inlineStr">
        <is>
          <t>1-2yr</t>
        </is>
      </c>
      <c r="S126" s="110" t="n">
        <v>4</v>
      </c>
      <c r="T126" s="120" t="n"/>
      <c r="U126" s="117">
        <f>MAX(0,MIN(100,50+((M126*0.6)+(N126*0.4))*200))</f>
        <v/>
      </c>
      <c r="V126" s="117">
        <f>MAX(20,MIN(100,50+(P126-H126)/P126*100))</f>
        <v/>
      </c>
      <c r="W126" s="117">
        <f>IFERROR(MAX(0,MIN(100,100-LOG10(T126)*16)),60)</f>
        <v/>
      </c>
      <c r="X126" s="117">
        <f>IF(C126="T2",85,IF(C126="T4",70,IF(C126="T1",65,IF(C126="T3",55,45))))</f>
        <v/>
      </c>
      <c r="Y126" s="118">
        <f>U126*0.55+W126*0.20+V126*0.15+X126*0.10+ROW()/1000000</f>
        <v/>
      </c>
      <c r="Z126" s="101">
        <f>IF(Y126&gt;=75,"STRONG BUY",IF(Y126&gt;=60,"BUY",IF(Y126&gt;=40,"HOLD",IF(Y126&gt;=25,"TRIM","SELL"))))</f>
        <v/>
      </c>
      <c r="AA126" s="119" t="inlineStr">
        <is>
          <t>https://www.tcgplayer.com/product/676100</t>
        </is>
      </c>
      <c r="AB126" s="102" t="inlineStr">
        <is>
          <t>Raw Mega Y Charizard. Submit for grade. +20%/30D momentum.</t>
        </is>
      </c>
    </row>
    <row r="127" ht="23.25" customHeight="1" s="81">
      <c r="A127" s="99" t="inlineStr">
        <is>
          <t>M088</t>
        </is>
      </c>
      <c r="B127" s="92" t="inlineStr">
        <is>
          <t>Modern Chase PSA 10</t>
        </is>
      </c>
      <c r="C127" s="110" t="inlineStr">
        <is>
          <t>T2</t>
        </is>
      </c>
      <c r="D127" s="92" t="inlineStr">
        <is>
          <t>Mega Charizard Y ex SIR</t>
        </is>
      </c>
      <c r="E127" s="92" t="inlineStr">
        <is>
          <t>Ascended Heroes</t>
        </is>
      </c>
      <c r="F127" s="110" t="inlineStr">
        <is>
          <t>288/217</t>
        </is>
      </c>
      <c r="G127" s="110" t="inlineStr">
        <is>
          <t>PSA 10</t>
        </is>
      </c>
      <c r="H127" s="113" t="n">
        <v>1700</v>
      </c>
      <c r="I127" s="114" t="n">
        <v>46153</v>
      </c>
      <c r="J127" s="115" t="n">
        <v>1274.22</v>
      </c>
      <c r="K127" s="115" t="n">
        <v>1081.68</v>
      </c>
      <c r="L127" s="115" t="n">
        <v>883.2</v>
      </c>
      <c r="M127" s="94">
        <f>IFERROR((H127-J127)/J127,0)</f>
        <v/>
      </c>
      <c r="N127" s="94">
        <f>IFERROR((H127-K127)/K127,0)</f>
        <v/>
      </c>
      <c r="O127" s="94">
        <f>IFERROR((H127-L127)/L127,0)</f>
        <v/>
      </c>
      <c r="P127" s="113" t="n">
        <v>1280</v>
      </c>
      <c r="Q127" s="113" t="n">
        <v>2550</v>
      </c>
      <c r="R127" s="110" t="inlineStr">
        <is>
          <t>1-2yr</t>
        </is>
      </c>
      <c r="S127" s="110" t="n">
        <v>5</v>
      </c>
      <c r="T127" s="116" t="n">
        <v>700</v>
      </c>
      <c r="U127" s="117">
        <f>MAX(0,MIN(100,50+((M127*0.6)+(N127*0.4))*200))</f>
        <v/>
      </c>
      <c r="V127" s="117">
        <f>MAX(20,MIN(100,50+(P127-H127)/P127*100))</f>
        <v/>
      </c>
      <c r="W127" s="117">
        <f>IFERROR(MAX(0,MIN(100,100-LOG10(T127)*16)),60)</f>
        <v/>
      </c>
      <c r="X127" s="117">
        <f>IF(C127="T2",85,IF(C127="T4",70,IF(C127="T1",65,IF(C127="T3",55,45))))</f>
        <v/>
      </c>
      <c r="Y127" s="118">
        <f>U127*0.55+W127*0.20+V127*0.15+X127*0.10+ROW()/1000000</f>
        <v/>
      </c>
      <c r="Z127" s="101">
        <f>IF(Y127&gt;=75,"STRONG BUY",IF(Y127&gt;=60,"BUY",IF(Y127&gt;=40,"HOLD",IF(Y127&gt;=25,"TRIM","SELL"))))</f>
        <v/>
      </c>
      <c r="AA127" s="119" t="inlineStr">
        <is>
          <t>https://www.tcgplayer.com/product/676100</t>
        </is>
      </c>
      <c r="AB127" s="102" t="inlineStr">
        <is>
          <t>Mega Y Charizard. Pairs with Mega X. Both surging.</t>
        </is>
      </c>
    </row>
    <row r="128" ht="23.25" customHeight="1" s="81">
      <c r="A128" s="99" t="inlineStr">
        <is>
          <t>M089</t>
        </is>
      </c>
      <c r="B128" s="92" t="inlineStr">
        <is>
          <t>Modern Chase PSA 10</t>
        </is>
      </c>
      <c r="C128" s="110" t="inlineStr">
        <is>
          <t>T2</t>
        </is>
      </c>
      <c r="D128" s="92" t="inlineStr">
        <is>
          <t>Van Gogh Pikachu</t>
        </is>
      </c>
      <c r="E128" s="92" t="inlineStr">
        <is>
          <t>Van Gogh Museum Promo</t>
        </is>
      </c>
      <c r="F128" s="110" t="inlineStr">
        <is>
          <t>085</t>
        </is>
      </c>
      <c r="G128" s="110" t="inlineStr">
        <is>
          <t>PSA 10</t>
        </is>
      </c>
      <c r="H128" s="113" t="n">
        <v>2800</v>
      </c>
      <c r="I128" s="114" t="n">
        <v>46153</v>
      </c>
      <c r="J128" s="115" t="n">
        <v>2172.27</v>
      </c>
      <c r="K128" s="115" t="n">
        <v>2124.6</v>
      </c>
      <c r="L128" s="115" t="n">
        <v>1963.93</v>
      </c>
      <c r="M128" s="94">
        <f>IFERROR((H128-J128)/J128,0)</f>
        <v/>
      </c>
      <c r="N128" s="94">
        <f>IFERROR((H128-K128)/K128,0)</f>
        <v/>
      </c>
      <c r="O128" s="94">
        <f>IFERROR((H128-L128)/L128,0)</f>
        <v/>
      </c>
      <c r="P128" s="113" t="n">
        <v>2100</v>
      </c>
      <c r="Q128" s="113" t="n">
        <v>4200</v>
      </c>
      <c r="R128" s="110" t="inlineStr">
        <is>
          <t>2-5yr</t>
        </is>
      </c>
      <c r="S128" s="110" t="n">
        <v>4</v>
      </c>
      <c r="T128" s="116" t="n">
        <v>1400</v>
      </c>
      <c r="U128" s="117">
        <f>MAX(0,MIN(100,50+((M128*0.6)+(N128*0.4))*200))</f>
        <v/>
      </c>
      <c r="V128" s="117">
        <f>MAX(20,MIN(100,50+(P128-H128)/P128*100))</f>
        <v/>
      </c>
      <c r="W128" s="117">
        <f>IFERROR(MAX(0,MIN(100,100-LOG10(T128)*16)),60)</f>
        <v/>
      </c>
      <c r="X128" s="117">
        <f>IF(C128="T2",85,IF(C128="T4",70,IF(C128="T1",65,IF(C128="T3",55,45))))</f>
        <v/>
      </c>
      <c r="Y128" s="118">
        <f>U128*0.55+W128*0.20+V128*0.15+X128*0.10+ROW()/1000000</f>
        <v/>
      </c>
      <c r="Z128" s="101">
        <f>IF(Y128&gt;=75,"STRONG BUY",IF(Y128&gt;=60,"BUY",IF(Y128&gt;=40,"HOLD",IF(Y128&gt;=25,"TRIM","SELL"))))</f>
        <v/>
      </c>
      <c r="AA128" s="119" t="inlineStr">
        <is>
          <t>https://www.pricecharting.com/game/pokemon-promo/van-gogh-pikachu-085</t>
        </is>
      </c>
      <c r="AB128" s="102" t="inlineStr">
        <is>
          <t>Cultural crossover. Authenticate carefully - many fakes.</t>
        </is>
      </c>
    </row>
    <row r="129" ht="15" customHeight="1" s="81">
      <c r="A129" s="99" t="inlineStr">
        <is>
          <t>M090</t>
        </is>
      </c>
      <c r="B129" s="92" t="inlineStr">
        <is>
          <t>Modern Chase PSA 10</t>
        </is>
      </c>
      <c r="C129" s="110" t="inlineStr">
        <is>
          <t>T4</t>
        </is>
      </c>
      <c r="D129" s="92" t="inlineStr">
        <is>
          <t>Van Gogh Pikachu</t>
        </is>
      </c>
      <c r="E129" s="92" t="inlineStr">
        <is>
          <t>Van Gogh Museum Promo</t>
        </is>
      </c>
      <c r="F129" s="110" t="inlineStr">
        <is>
          <t>085</t>
        </is>
      </c>
      <c r="G129" s="110" t="inlineStr">
        <is>
          <t>Raw NM</t>
        </is>
      </c>
      <c r="H129" s="113" t="n">
        <v>600</v>
      </c>
      <c r="I129" s="114" t="n">
        <v>46153</v>
      </c>
      <c r="J129" s="115" t="n">
        <v>600.61</v>
      </c>
      <c r="K129" s="115" t="n">
        <v>591.52</v>
      </c>
      <c r="L129" s="115" t="n">
        <v>589.6900000000001</v>
      </c>
      <c r="M129" s="94">
        <f>IFERROR((H129-J129)/J129,0)</f>
        <v/>
      </c>
      <c r="N129" s="94">
        <f>IFERROR((H129-K129)/K129,0)</f>
        <v/>
      </c>
      <c r="O129" s="94">
        <f>IFERROR((H129-L129)/L129,0)</f>
        <v/>
      </c>
      <c r="P129" s="113" t="n">
        <v>450</v>
      </c>
      <c r="Q129" s="113" t="n">
        <v>850</v>
      </c>
      <c r="R129" s="110" t="inlineStr">
        <is>
          <t>2-5yr</t>
        </is>
      </c>
      <c r="S129" s="110" t="n">
        <v>4</v>
      </c>
      <c r="T129" s="120" t="n"/>
      <c r="U129" s="117">
        <f>MAX(0,MIN(100,50+((M129*0.6)+(N129*0.4))*200))</f>
        <v/>
      </c>
      <c r="V129" s="117">
        <f>MAX(20,MIN(100,50+(P129-H129)/P129*100))</f>
        <v/>
      </c>
      <c r="W129" s="117">
        <f>IFERROR(MAX(0,MIN(100,100-LOG10(T129)*16)),60)</f>
        <v/>
      </c>
      <c r="X129" s="117">
        <f>IF(C129="T2",85,IF(C129="T4",70,IF(C129="T1",65,IF(C129="T3",55,45))))</f>
        <v/>
      </c>
      <c r="Y129" s="118">
        <f>U129*0.55+W129*0.20+V129*0.15+X129*0.10+ROW()/1000000</f>
        <v/>
      </c>
      <c r="Z129" s="101">
        <f>IF(Y129&gt;=75,"STRONG BUY",IF(Y129&gt;=60,"BUY",IF(Y129&gt;=40,"HOLD",IF(Y129&gt;=25,"TRIM","SELL"))))</f>
        <v/>
      </c>
      <c r="AA129" s="119" t="inlineStr">
        <is>
          <t>https://www.pricecharting.com/game/pokemon-promo/van-gogh-pikachu-085</t>
        </is>
      </c>
      <c r="AB129" s="102" t="inlineStr">
        <is>
          <t>Raw with provenance. Grade and flip.</t>
        </is>
      </c>
    </row>
    <row r="130" ht="15" customHeight="1" s="81">
      <c r="A130" s="99" t="inlineStr">
        <is>
          <t>M091</t>
        </is>
      </c>
      <c r="B130" s="92" t="inlineStr">
        <is>
          <t>Modern Chase PSA 10</t>
        </is>
      </c>
      <c r="C130" s="110" t="inlineStr">
        <is>
          <t>T2</t>
        </is>
      </c>
      <c r="D130" s="92" t="inlineStr">
        <is>
          <t>Pokemon Day 2026 Pikachu Promo</t>
        </is>
      </c>
      <c r="E130" s="92" t="inlineStr">
        <is>
          <t>30th Anniversary Promo</t>
        </is>
      </c>
      <c r="F130" s="110" t="inlineStr">
        <is>
          <t>001/030</t>
        </is>
      </c>
      <c r="G130" s="110" t="inlineStr">
        <is>
          <t>PSA 10</t>
        </is>
      </c>
      <c r="H130" s="113" t="n">
        <v>240</v>
      </c>
      <c r="I130" s="114" t="n">
        <v>46153</v>
      </c>
      <c r="J130" s="115" t="n">
        <v>175.76</v>
      </c>
      <c r="K130" s="115" t="n">
        <v>164.17</v>
      </c>
      <c r="L130" s="115" t="n">
        <v>142.72</v>
      </c>
      <c r="M130" s="94">
        <f>IFERROR((H130-J130)/J130,0)</f>
        <v/>
      </c>
      <c r="N130" s="94">
        <f>IFERROR((H130-K130)/K130,0)</f>
        <v/>
      </c>
      <c r="O130" s="94">
        <f>IFERROR((H130-L130)/L130,0)</f>
        <v/>
      </c>
      <c r="P130" s="113" t="n">
        <v>180</v>
      </c>
      <c r="Q130" s="113" t="n">
        <v>360</v>
      </c>
      <c r="R130" s="110" t="inlineStr">
        <is>
          <t>1-3yr</t>
        </is>
      </c>
      <c r="S130" s="110" t="n">
        <v>3</v>
      </c>
      <c r="T130" s="116" t="n">
        <v>1100</v>
      </c>
      <c r="U130" s="117">
        <f>MAX(0,MIN(100,50+((M130*0.6)+(N130*0.4))*200))</f>
        <v/>
      </c>
      <c r="V130" s="117">
        <f>MAX(20,MIN(100,50+(P130-H130)/P130*100))</f>
        <v/>
      </c>
      <c r="W130" s="117">
        <f>IFERROR(MAX(0,MIN(100,100-LOG10(T130)*16)),60)</f>
        <v/>
      </c>
      <c r="X130" s="117">
        <f>IF(C130="T2",85,IF(C130="T4",70,IF(C130="T1",65,IF(C130="T3",55,45))))</f>
        <v/>
      </c>
      <c r="Y130" s="118">
        <f>U130*0.55+W130*0.20+V130*0.15+X130*0.10+ROW()/1000000</f>
        <v/>
      </c>
      <c r="Z130" s="101">
        <f>IF(Y130&gt;=75,"STRONG BUY",IF(Y130&gt;=60,"BUY",IF(Y130&gt;=40,"HOLD",IF(Y130&gt;=25,"TRIM","SELL"))))</f>
        <v/>
      </c>
      <c r="AA130" s="119" t="inlineStr">
        <is>
          <t>https://www.pricecharting.com/game/pokemon-promo/pokemon-day-2026-pikachu</t>
        </is>
      </c>
      <c r="AB130" s="102" t="inlineStr">
        <is>
          <t>30th anniversary stamped Pikachu. Sleeper.</t>
        </is>
      </c>
    </row>
    <row r="131" ht="23.25" customHeight="1" s="81">
      <c r="A131" s="99" t="inlineStr">
        <is>
          <t>M092</t>
        </is>
      </c>
      <c r="B131" s="92" t="inlineStr">
        <is>
          <t>Modern Chase PSA 10</t>
        </is>
      </c>
      <c r="C131" s="110" t="inlineStr">
        <is>
          <t>T2</t>
        </is>
      </c>
      <c r="D131" s="92" t="inlineStr">
        <is>
          <t>Birthday Pikachu Promo</t>
        </is>
      </c>
      <c r="E131" s="92" t="inlineStr">
        <is>
          <t>Black Star Promo #24</t>
        </is>
      </c>
      <c r="F131" s="110" t="inlineStr">
        <is>
          <t>24</t>
        </is>
      </c>
      <c r="G131" s="110" t="inlineStr">
        <is>
          <t>PSA 10</t>
        </is>
      </c>
      <c r="H131" s="113" t="n">
        <v>1100</v>
      </c>
      <c r="I131" s="114" t="n">
        <v>46153</v>
      </c>
      <c r="J131" s="115" t="n">
        <v>856.65</v>
      </c>
      <c r="K131" s="115" t="n">
        <v>807.48</v>
      </c>
      <c r="L131" s="115" t="n">
        <v>759.3</v>
      </c>
      <c r="M131" s="94">
        <f>IFERROR((H131-J131)/J131,0)</f>
        <v/>
      </c>
      <c r="N131" s="94">
        <f>IFERROR((H131-K131)/K131,0)</f>
        <v/>
      </c>
      <c r="O131" s="94">
        <f>IFERROR((H131-L131)/L131,0)</f>
        <v/>
      </c>
      <c r="P131" s="113" t="n">
        <v>830</v>
      </c>
      <c r="Q131" s="113" t="n">
        <v>1650</v>
      </c>
      <c r="R131" s="110" t="inlineStr">
        <is>
          <t>5-10yr</t>
        </is>
      </c>
      <c r="S131" s="110" t="n">
        <v>4</v>
      </c>
      <c r="T131" s="116" t="n">
        <v>350</v>
      </c>
      <c r="U131" s="117">
        <f>MAX(0,MIN(100,50+((M131*0.6)+(N131*0.4))*200))</f>
        <v/>
      </c>
      <c r="V131" s="117">
        <f>MAX(20,MIN(100,50+(P131-H131)/P131*100))</f>
        <v/>
      </c>
      <c r="W131" s="117">
        <f>IFERROR(MAX(0,MIN(100,100-LOG10(T131)*16)),60)</f>
        <v/>
      </c>
      <c r="X131" s="117">
        <f>IF(C131="T2",85,IF(C131="T4",70,IF(C131="T1",65,IF(C131="T3",55,45))))</f>
        <v/>
      </c>
      <c r="Y131" s="118">
        <f>U131*0.55+W131*0.20+V131*0.15+X131*0.10+ROW()/1000000</f>
        <v/>
      </c>
      <c r="Z131" s="101">
        <f>IF(Y131&gt;=75,"STRONG BUY",IF(Y131&gt;=60,"BUY",IF(Y131&gt;=40,"HOLD",IF(Y131&gt;=25,"TRIM","SELL"))))</f>
        <v/>
      </c>
      <c r="AA131" s="119" t="inlineStr">
        <is>
          <t>https://www.pricecharting.com/game/pokemon-promo/birthday-pikachu-24</t>
        </is>
      </c>
      <c r="AB131" s="102" t="inlineStr">
        <is>
          <t>Classic 1999 Black Star promo. Birthday card meme.</t>
        </is>
      </c>
    </row>
    <row r="132" ht="15" customHeight="1" s="81">
      <c r="A132" s="99" t="inlineStr">
        <is>
          <t>M093</t>
        </is>
      </c>
      <c r="B132" s="92" t="inlineStr">
        <is>
          <t>Modern Chase PSA 10</t>
        </is>
      </c>
      <c r="C132" s="110" t="inlineStr">
        <is>
          <t>T2</t>
        </is>
      </c>
      <c r="D132" s="92" t="inlineStr">
        <is>
          <t>Tropical Wind Trainer</t>
        </is>
      </c>
      <c r="E132" s="92" t="inlineStr">
        <is>
          <t>WCS 2010</t>
        </is>
      </c>
      <c r="F132" s="110" t="inlineStr">
        <is>
          <t>Promo</t>
        </is>
      </c>
      <c r="G132" s="110" t="inlineStr">
        <is>
          <t>PSA 10</t>
        </is>
      </c>
      <c r="H132" s="113" t="n">
        <v>3200</v>
      </c>
      <c r="I132" s="114" t="n">
        <v>46153</v>
      </c>
      <c r="J132" s="115" t="n">
        <v>3152.4</v>
      </c>
      <c r="K132" s="115" t="n">
        <v>2991.92</v>
      </c>
      <c r="L132" s="115" t="n">
        <v>2743.7</v>
      </c>
      <c r="M132" s="94">
        <f>IFERROR((H132-J132)/J132,0)</f>
        <v/>
      </c>
      <c r="N132" s="94">
        <f>IFERROR((H132-K132)/K132,0)</f>
        <v/>
      </c>
      <c r="O132" s="94">
        <f>IFERROR((H132-L132)/L132,0)</f>
        <v/>
      </c>
      <c r="P132" s="113" t="n">
        <v>2500</v>
      </c>
      <c r="Q132" s="113" t="n">
        <v>4700</v>
      </c>
      <c r="R132" s="110" t="inlineStr">
        <is>
          <t>5-10yr</t>
        </is>
      </c>
      <c r="S132" s="110" t="n">
        <v>4</v>
      </c>
      <c r="T132" s="116" t="n">
        <v>180</v>
      </c>
      <c r="U132" s="117">
        <f>MAX(0,MIN(100,50+((M132*0.6)+(N132*0.4))*200))</f>
        <v/>
      </c>
      <c r="V132" s="117">
        <f>MAX(20,MIN(100,50+(P132-H132)/P132*100))</f>
        <v/>
      </c>
      <c r="W132" s="117">
        <f>IFERROR(MAX(0,MIN(100,100-LOG10(T132)*16)),60)</f>
        <v/>
      </c>
      <c r="X132" s="117">
        <f>IF(C132="T2",85,IF(C132="T4",70,IF(C132="T1",65,IF(C132="T3",55,45))))</f>
        <v/>
      </c>
      <c r="Y132" s="118">
        <f>U132*0.55+W132*0.20+V132*0.15+X132*0.10+ROW()/1000000</f>
        <v/>
      </c>
      <c r="Z132" s="101">
        <f>IF(Y132&gt;=75,"STRONG BUY",IF(Y132&gt;=60,"BUY",IF(Y132&gt;=40,"HOLD",IF(Y132&gt;=25,"TRIM","SELL"))))</f>
        <v/>
      </c>
      <c r="AA132" s="119" t="inlineStr">
        <is>
          <t>https://www.pricecharting.com/game/pokemon-promo/tropical-wind-2010</t>
        </is>
      </c>
      <c r="AB132" s="102" t="inlineStr">
        <is>
          <t>WCS Trainer promo. Tiny pop in PSA 10.</t>
        </is>
      </c>
    </row>
    <row r="133" ht="15" customHeight="1" s="81">
      <c r="A133" s="99" t="inlineStr">
        <is>
          <t>S001</t>
        </is>
      </c>
      <c r="B133" s="92" t="inlineStr">
        <is>
          <t>Sealed Modern</t>
        </is>
      </c>
      <c r="C133" s="110" t="inlineStr">
        <is>
          <t>T3</t>
        </is>
      </c>
      <c r="D133" s="92" t="inlineStr">
        <is>
          <t>Evolving Skies Booster Box</t>
        </is>
      </c>
      <c r="E133" s="92" t="inlineStr">
        <is>
          <t>Evolving Skies</t>
        </is>
      </c>
      <c r="F133" s="110" t="inlineStr">
        <is>
          <t>Box</t>
        </is>
      </c>
      <c r="G133" s="110" t="inlineStr">
        <is>
          <t>Sealed (36 packs)</t>
        </is>
      </c>
      <c r="H133" s="113" t="n">
        <v>290</v>
      </c>
      <c r="I133" s="114" t="n">
        <v>46153</v>
      </c>
      <c r="J133" s="115" t="n">
        <v>282.85</v>
      </c>
      <c r="K133" s="115" t="n">
        <v>273.99</v>
      </c>
      <c r="L133" s="115" t="n">
        <v>260.59</v>
      </c>
      <c r="M133" s="94">
        <f>IFERROR((H133-J133)/J133,0)</f>
        <v/>
      </c>
      <c r="N133" s="94">
        <f>IFERROR((H133-K133)/K133,0)</f>
        <v/>
      </c>
      <c r="O133" s="94">
        <f>IFERROR((H133-L133)/L133,0)</f>
        <v/>
      </c>
      <c r="P133" s="113" t="n">
        <v>250</v>
      </c>
      <c r="Q133" s="113" t="n">
        <v>360</v>
      </c>
      <c r="R133" s="110" t="inlineStr">
        <is>
          <t>5-10yr</t>
        </is>
      </c>
      <c r="S133" s="110" t="n">
        <v>5</v>
      </c>
      <c r="T133" s="120" t="n"/>
      <c r="U133" s="117">
        <f>MAX(0,MIN(100,50+((M133*0.6)+(N133*0.4))*200))</f>
        <v/>
      </c>
      <c r="V133" s="117">
        <f>MAX(20,MIN(100,50+(P133-H133)/P133*100))</f>
        <v/>
      </c>
      <c r="W133" s="117">
        <f>IFERROR(MAX(0,MIN(100,100-LOG10(T133)*16)),60)</f>
        <v/>
      </c>
      <c r="X133" s="117">
        <f>IF(C133="T2",85,IF(C133="T4",70,IF(C133="T1",65,IF(C133="T3",55,45))))</f>
        <v/>
      </c>
      <c r="Y133" s="118">
        <f>U133*0.55+W133*0.20+V133*0.15+X133*0.10+ROW()/1000000</f>
        <v/>
      </c>
      <c r="Z133" s="101">
        <f>IF(Y133&gt;=75,"STRONG BUY",IF(Y133&gt;=60,"BUY",IF(Y133&gt;=40,"HOLD",IF(Y133&gt;=25,"TRIM","SELL"))))</f>
        <v/>
      </c>
      <c r="AA133" s="119" t="inlineStr">
        <is>
          <t>https://www.pricecharting.com/game/pokemon-evolving-skies/booster-box</t>
        </is>
      </c>
      <c r="AB133" s="102" t="inlineStr">
        <is>
          <t>OOP. $143 MSRP -&gt; $290. Verify weight 545g ±5g.</t>
        </is>
      </c>
    </row>
    <row r="134" ht="15" customHeight="1" s="81">
      <c r="A134" s="99" t="inlineStr">
        <is>
          <t>S002</t>
        </is>
      </c>
      <c r="B134" s="92" t="inlineStr">
        <is>
          <t>Sealed Modern</t>
        </is>
      </c>
      <c r="C134" s="110" t="inlineStr">
        <is>
          <t>T3</t>
        </is>
      </c>
      <c r="D134" s="92" t="inlineStr">
        <is>
          <t>Evolving Skies ETB</t>
        </is>
      </c>
      <c r="E134" s="92" t="inlineStr">
        <is>
          <t>Evolving Skies</t>
        </is>
      </c>
      <c r="F134" s="110" t="inlineStr">
        <is>
          <t>ETB</t>
        </is>
      </c>
      <c r="G134" s="110" t="inlineStr">
        <is>
          <t>Sealed</t>
        </is>
      </c>
      <c r="H134" s="113" t="n">
        <v>120</v>
      </c>
      <c r="I134" s="114" t="n">
        <v>46153</v>
      </c>
      <c r="J134" s="115" t="n">
        <v>118.29</v>
      </c>
      <c r="K134" s="115" t="n">
        <v>112.82</v>
      </c>
      <c r="L134" s="115" t="n">
        <v>98.44</v>
      </c>
      <c r="M134" s="94">
        <f>IFERROR((H134-J134)/J134,0)</f>
        <v/>
      </c>
      <c r="N134" s="94">
        <f>IFERROR((H134-K134)/K134,0)</f>
        <v/>
      </c>
      <c r="O134" s="94">
        <f>IFERROR((H134-L134)/L134,0)</f>
        <v/>
      </c>
      <c r="P134" s="113" t="n">
        <v>95</v>
      </c>
      <c r="Q134" s="113" t="n">
        <v>170</v>
      </c>
      <c r="R134" s="110" t="inlineStr">
        <is>
          <t>5-10yr</t>
        </is>
      </c>
      <c r="S134" s="110" t="n">
        <v>4</v>
      </c>
      <c r="T134" s="120" t="n"/>
      <c r="U134" s="117">
        <f>MAX(0,MIN(100,50+((M134*0.6)+(N134*0.4))*200))</f>
        <v/>
      </c>
      <c r="V134" s="117">
        <f>MAX(20,MIN(100,50+(P134-H134)/P134*100))</f>
        <v/>
      </c>
      <c r="W134" s="117">
        <f>IFERROR(MAX(0,MIN(100,100-LOG10(T134)*16)),60)</f>
        <v/>
      </c>
      <c r="X134" s="117">
        <f>IF(C134="T2",85,IF(C134="T4",70,IF(C134="T1",65,IF(C134="T3",55,45))))</f>
        <v/>
      </c>
      <c r="Y134" s="118">
        <f>U134*0.55+W134*0.20+V134*0.15+X134*0.10+ROW()/1000000</f>
        <v/>
      </c>
      <c r="Z134" s="101">
        <f>IF(Y134&gt;=75,"STRONG BUY",IF(Y134&gt;=60,"BUY",IF(Y134&gt;=40,"HOLD",IF(Y134&gt;=25,"TRIM","SELL"))))</f>
        <v/>
      </c>
      <c r="AA134" s="119" t="inlineStr">
        <is>
          <t>https://www.pricecharting.com/game/pokemon-evolving-skies/elite-trainer-box</t>
        </is>
      </c>
      <c r="AB134" s="102" t="inlineStr">
        <is>
          <t>OOP ETB. Lower-ticket entry to ES sealed.</t>
        </is>
      </c>
    </row>
    <row r="135" ht="15" customHeight="1" s="81">
      <c r="A135" s="99" t="inlineStr">
        <is>
          <t>S003</t>
        </is>
      </c>
      <c r="B135" s="92" t="inlineStr">
        <is>
          <t>Sealed Modern</t>
        </is>
      </c>
      <c r="C135" s="110" t="inlineStr">
        <is>
          <t>T3</t>
        </is>
      </c>
      <c r="D135" s="92" t="inlineStr">
        <is>
          <t>Evolving Skies Booster Bundle</t>
        </is>
      </c>
      <c r="E135" s="92" t="inlineStr">
        <is>
          <t>Evolving Skies</t>
        </is>
      </c>
      <c r="F135" s="110" t="inlineStr">
        <is>
          <t>Bundle</t>
        </is>
      </c>
      <c r="G135" s="110" t="inlineStr">
        <is>
          <t>Sealed (6 packs)</t>
        </is>
      </c>
      <c r="H135" s="113" t="n">
        <v>95</v>
      </c>
      <c r="I135" s="114" t="n">
        <v>46153</v>
      </c>
      <c r="J135" s="115" t="n">
        <v>94.29000000000001</v>
      </c>
      <c r="K135" s="115" t="n">
        <v>88.89</v>
      </c>
      <c r="L135" s="115" t="n">
        <v>84.01000000000001</v>
      </c>
      <c r="M135" s="94">
        <f>IFERROR((H135-J135)/J135,0)</f>
        <v/>
      </c>
      <c r="N135" s="94">
        <f>IFERROR((H135-K135)/K135,0)</f>
        <v/>
      </c>
      <c r="O135" s="94">
        <f>IFERROR((H135-L135)/L135,0)</f>
        <v/>
      </c>
      <c r="P135" s="113" t="n">
        <v>75</v>
      </c>
      <c r="Q135" s="113" t="n">
        <v>140</v>
      </c>
      <c r="R135" s="110" t="inlineStr">
        <is>
          <t>5-10yr</t>
        </is>
      </c>
      <c r="S135" s="110" t="n">
        <v>4</v>
      </c>
      <c r="T135" s="120" t="n"/>
      <c r="U135" s="117">
        <f>MAX(0,MIN(100,50+((M135*0.6)+(N135*0.4))*200))</f>
        <v/>
      </c>
      <c r="V135" s="117">
        <f>MAX(20,MIN(100,50+(P135-H135)/P135*100))</f>
        <v/>
      </c>
      <c r="W135" s="117">
        <f>IFERROR(MAX(0,MIN(100,100-LOG10(T135)*16)),60)</f>
        <v/>
      </c>
      <c r="X135" s="117">
        <f>IF(C135="T2",85,IF(C135="T4",70,IF(C135="T1",65,IF(C135="T3",55,45))))</f>
        <v/>
      </c>
      <c r="Y135" s="118">
        <f>U135*0.55+W135*0.20+V135*0.15+X135*0.10+ROW()/1000000</f>
        <v/>
      </c>
      <c r="Z135" s="101">
        <f>IF(Y135&gt;=75,"STRONG BUY",IF(Y135&gt;=60,"BUY",IF(Y135&gt;=40,"HOLD",IF(Y135&gt;=25,"TRIM","SELL"))))</f>
        <v/>
      </c>
      <c r="AA135" s="119" t="inlineStr">
        <is>
          <t>https://www.pricecharting.com/game/pokemon-evolving-skies/booster-bundle</t>
        </is>
      </c>
      <c r="AB135" s="102" t="inlineStr">
        <is>
          <t>OOP. Smaller ticket = quick flip.</t>
        </is>
      </c>
    </row>
    <row r="136" ht="15" customHeight="1" s="81">
      <c r="A136" s="99" t="inlineStr">
        <is>
          <t>S004</t>
        </is>
      </c>
      <c r="B136" s="92" t="inlineStr">
        <is>
          <t>Sealed Modern</t>
        </is>
      </c>
      <c r="C136" s="110" t="inlineStr">
        <is>
          <t>T3</t>
        </is>
      </c>
      <c r="D136" s="92" t="inlineStr">
        <is>
          <t>Crown Zenith ETB</t>
        </is>
      </c>
      <c r="E136" s="92" t="inlineStr">
        <is>
          <t>Crown Zenith</t>
        </is>
      </c>
      <c r="F136" s="110" t="inlineStr">
        <is>
          <t>ETB</t>
        </is>
      </c>
      <c r="G136" s="110" t="inlineStr">
        <is>
          <t>Sealed</t>
        </is>
      </c>
      <c r="H136" s="113" t="n">
        <v>75</v>
      </c>
      <c r="I136" s="114" t="n">
        <v>46153</v>
      </c>
      <c r="J136" s="115" t="n">
        <v>73.87</v>
      </c>
      <c r="K136" s="115" t="n">
        <v>72.59</v>
      </c>
      <c r="L136" s="115" t="n">
        <v>67.15000000000001</v>
      </c>
      <c r="M136" s="94">
        <f>IFERROR((H136-J136)/J136,0)</f>
        <v/>
      </c>
      <c r="N136" s="94">
        <f>IFERROR((H136-K136)/K136,0)</f>
        <v/>
      </c>
      <c r="O136" s="94">
        <f>IFERROR((H136-L136)/L136,0)</f>
        <v/>
      </c>
      <c r="P136" s="113" t="n">
        <v>60</v>
      </c>
      <c r="Q136" s="113" t="n">
        <v>100</v>
      </c>
      <c r="R136" s="110" t="inlineStr">
        <is>
          <t>3-5yr</t>
        </is>
      </c>
      <c r="S136" s="110" t="n">
        <v>4</v>
      </c>
      <c r="T136" s="120" t="n"/>
      <c r="U136" s="117">
        <f>MAX(0,MIN(100,50+((M136*0.6)+(N136*0.4))*200))</f>
        <v/>
      </c>
      <c r="V136" s="117">
        <f>MAX(20,MIN(100,50+(P136-H136)/P136*100))</f>
        <v/>
      </c>
      <c r="W136" s="117">
        <f>IFERROR(MAX(0,MIN(100,100-LOG10(T136)*16)),60)</f>
        <v/>
      </c>
      <c r="X136" s="117">
        <f>IF(C136="T2",85,IF(C136="T4",70,IF(C136="T1",65,IF(C136="T3",55,45))))</f>
        <v/>
      </c>
      <c r="Y136" s="118">
        <f>U136*0.55+W136*0.20+V136*0.15+X136*0.10+ROW()/1000000</f>
        <v/>
      </c>
      <c r="Z136" s="101">
        <f>IF(Y136&gt;=75,"STRONG BUY",IF(Y136&gt;=60,"BUY",IF(Y136&gt;=40,"HOLD",IF(Y136&gt;=25,"TRIM","SELL"))))</f>
        <v/>
      </c>
      <c r="AA136" s="119" t="inlineStr">
        <is>
          <t>https://www.pricecharting.com/game/pokemon-crown-zenith/elite-trainer-box</t>
        </is>
      </c>
      <c r="AB136" s="102" t="inlineStr">
        <is>
          <t>Stable. Galarian Gallery sub-set drives long-term.</t>
        </is>
      </c>
    </row>
    <row r="137" ht="15" customHeight="1" s="81">
      <c r="A137" s="99" t="inlineStr">
        <is>
          <t>S005</t>
        </is>
      </c>
      <c r="B137" s="92" t="inlineStr">
        <is>
          <t>Sealed Modern</t>
        </is>
      </c>
      <c r="C137" s="110" t="inlineStr">
        <is>
          <t>T3</t>
        </is>
      </c>
      <c r="D137" s="92" t="inlineStr">
        <is>
          <t>Crown Zenith Premium Playmat Collection</t>
        </is>
      </c>
      <c r="E137" s="92" t="inlineStr">
        <is>
          <t>Crown Zenith</t>
        </is>
      </c>
      <c r="F137" s="110" t="inlineStr">
        <is>
          <t>PPC</t>
        </is>
      </c>
      <c r="G137" s="110" t="inlineStr">
        <is>
          <t>Sealed</t>
        </is>
      </c>
      <c r="H137" s="113" t="n">
        <v>140</v>
      </c>
      <c r="I137" s="114" t="n">
        <v>46153</v>
      </c>
      <c r="J137" s="115" t="n">
        <v>136.9</v>
      </c>
      <c r="K137" s="115" t="n">
        <v>133.11</v>
      </c>
      <c r="L137" s="115" t="n">
        <v>123.09</v>
      </c>
      <c r="M137" s="94">
        <f>IFERROR((H137-J137)/J137,0)</f>
        <v/>
      </c>
      <c r="N137" s="94">
        <f>IFERROR((H137-K137)/K137,0)</f>
        <v/>
      </c>
      <c r="O137" s="94">
        <f>IFERROR((H137-L137)/L137,0)</f>
        <v/>
      </c>
      <c r="P137" s="113" t="n">
        <v>110</v>
      </c>
      <c r="Q137" s="113" t="n">
        <v>200</v>
      </c>
      <c r="R137" s="110" t="inlineStr">
        <is>
          <t>3-5yr</t>
        </is>
      </c>
      <c r="S137" s="110" t="n">
        <v>4</v>
      </c>
      <c r="T137" s="120" t="n"/>
      <c r="U137" s="117">
        <f>MAX(0,MIN(100,50+((M137*0.6)+(N137*0.4))*200))</f>
        <v/>
      </c>
      <c r="V137" s="117">
        <f>MAX(20,MIN(100,50+(P137-H137)/P137*100))</f>
        <v/>
      </c>
      <c r="W137" s="117">
        <f>IFERROR(MAX(0,MIN(100,100-LOG10(T137)*16)),60)</f>
        <v/>
      </c>
      <c r="X137" s="117">
        <f>IF(C137="T2",85,IF(C137="T4",70,IF(C137="T1",65,IF(C137="T3",55,45))))</f>
        <v/>
      </c>
      <c r="Y137" s="118">
        <f>U137*0.55+W137*0.20+V137*0.15+X137*0.10+ROW()/1000000</f>
        <v/>
      </c>
      <c r="Z137" s="101">
        <f>IF(Y137&gt;=75,"STRONG BUY",IF(Y137&gt;=60,"BUY",IF(Y137&gt;=40,"HOLD",IF(Y137&gt;=25,"TRIM","SELL"))))</f>
        <v/>
      </c>
      <c r="AA137" s="119" t="inlineStr">
        <is>
          <t>https://www.pricecharting.com/game/pokemon-crown-zenith/premium-playmat</t>
        </is>
      </c>
      <c r="AB137" s="102" t="inlineStr">
        <is>
          <t>Limited PPC product. Better EV than ETB.</t>
        </is>
      </c>
    </row>
    <row r="138" ht="15" customHeight="1" s="81">
      <c r="A138" s="99" t="inlineStr">
        <is>
          <t>S006</t>
        </is>
      </c>
      <c r="B138" s="92" t="inlineStr">
        <is>
          <t>Sealed Modern</t>
        </is>
      </c>
      <c r="C138" s="110" t="inlineStr">
        <is>
          <t>T3</t>
        </is>
      </c>
      <c r="D138" s="92" t="inlineStr">
        <is>
          <t>Brilliant Stars BB</t>
        </is>
      </c>
      <c r="E138" s="92" t="inlineStr">
        <is>
          <t>Brilliant Stars</t>
        </is>
      </c>
      <c r="F138" s="110" t="inlineStr">
        <is>
          <t>Box</t>
        </is>
      </c>
      <c r="G138" s="110" t="inlineStr">
        <is>
          <t>Sealed (36 packs)</t>
        </is>
      </c>
      <c r="H138" s="113" t="n">
        <v>220</v>
      </c>
      <c r="I138" s="114" t="n">
        <v>46153</v>
      </c>
      <c r="J138" s="115" t="n">
        <v>215.86</v>
      </c>
      <c r="K138" s="115" t="n">
        <v>208.13</v>
      </c>
      <c r="L138" s="115" t="n">
        <v>187.57</v>
      </c>
      <c r="M138" s="94">
        <f>IFERROR((H138-J138)/J138,0)</f>
        <v/>
      </c>
      <c r="N138" s="94">
        <f>IFERROR((H138-K138)/K138,0)</f>
        <v/>
      </c>
      <c r="O138" s="94">
        <f>IFERROR((H138-L138)/L138,0)</f>
        <v/>
      </c>
      <c r="P138" s="113" t="n">
        <v>175</v>
      </c>
      <c r="Q138" s="113" t="n">
        <v>320</v>
      </c>
      <c r="R138" s="110" t="inlineStr">
        <is>
          <t>3-5yr</t>
        </is>
      </c>
      <c r="S138" s="110" t="n">
        <v>4</v>
      </c>
      <c r="T138" s="120" t="n"/>
      <c r="U138" s="117">
        <f>MAX(0,MIN(100,50+((M138*0.6)+(N138*0.4))*200))</f>
        <v/>
      </c>
      <c r="V138" s="117">
        <f>MAX(20,MIN(100,50+(P138-H138)/P138*100))</f>
        <v/>
      </c>
      <c r="W138" s="117">
        <f>IFERROR(MAX(0,MIN(100,100-LOG10(T138)*16)),60)</f>
        <v/>
      </c>
      <c r="X138" s="117">
        <f>IF(C138="T2",85,IF(C138="T4",70,IF(C138="T1",65,IF(C138="T3",55,45))))</f>
        <v/>
      </c>
      <c r="Y138" s="118">
        <f>U138*0.55+W138*0.20+V138*0.15+X138*0.10+ROW()/1000000</f>
        <v/>
      </c>
      <c r="Z138" s="101">
        <f>IF(Y138&gt;=75,"STRONG BUY",IF(Y138&gt;=60,"BUY",IF(Y138&gt;=40,"HOLD",IF(Y138&gt;=25,"TRIM","SELL"))))</f>
        <v/>
      </c>
      <c r="AA138" s="119" t="inlineStr">
        <is>
          <t>https://www.pricecharting.com/game/pokemon-brilliant-stars/booster-box</t>
        </is>
      </c>
      <c r="AB138" s="102" t="inlineStr">
        <is>
          <t>OOP. Charizard VSTAR + Trainer Gallery debut.</t>
        </is>
      </c>
    </row>
    <row r="139" ht="15" customHeight="1" s="81">
      <c r="A139" s="99" t="inlineStr">
        <is>
          <t>S007</t>
        </is>
      </c>
      <c r="B139" s="92" t="inlineStr">
        <is>
          <t>Sealed Modern</t>
        </is>
      </c>
      <c r="C139" s="110" t="inlineStr">
        <is>
          <t>T3</t>
        </is>
      </c>
      <c r="D139" s="92" t="inlineStr">
        <is>
          <t>Astral Radiance BB</t>
        </is>
      </c>
      <c r="E139" s="92" t="inlineStr">
        <is>
          <t>Astral Radiance</t>
        </is>
      </c>
      <c r="F139" s="110" t="inlineStr">
        <is>
          <t>Box</t>
        </is>
      </c>
      <c r="G139" s="110" t="inlineStr">
        <is>
          <t>Sealed (36 packs)</t>
        </is>
      </c>
      <c r="H139" s="113" t="n">
        <v>180</v>
      </c>
      <c r="I139" s="114" t="n">
        <v>46153</v>
      </c>
      <c r="J139" s="115" t="n">
        <v>177.04</v>
      </c>
      <c r="K139" s="115" t="n">
        <v>168.27</v>
      </c>
      <c r="L139" s="115" t="n">
        <v>160.65</v>
      </c>
      <c r="M139" s="94">
        <f>IFERROR((H139-J139)/J139,0)</f>
        <v/>
      </c>
      <c r="N139" s="94">
        <f>IFERROR((H139-K139)/K139,0)</f>
        <v/>
      </c>
      <c r="O139" s="94">
        <f>IFERROR((H139-L139)/L139,0)</f>
        <v/>
      </c>
      <c r="P139" s="113" t="n">
        <v>140</v>
      </c>
      <c r="Q139" s="113" t="n">
        <v>260</v>
      </c>
      <c r="R139" s="110" t="inlineStr">
        <is>
          <t>3-5yr</t>
        </is>
      </c>
      <c r="S139" s="110" t="n">
        <v>3</v>
      </c>
      <c r="T139" s="120" t="n"/>
      <c r="U139" s="117">
        <f>MAX(0,MIN(100,50+((M139*0.6)+(N139*0.4))*200))</f>
        <v/>
      </c>
      <c r="V139" s="117">
        <f>MAX(20,MIN(100,50+(P139-H139)/P139*100))</f>
        <v/>
      </c>
      <c r="W139" s="117">
        <f>IFERROR(MAX(0,MIN(100,100-LOG10(T139)*16)),60)</f>
        <v/>
      </c>
      <c r="X139" s="117">
        <f>IF(C139="T2",85,IF(C139="T4",70,IF(C139="T1",65,IF(C139="T3",55,45))))</f>
        <v/>
      </c>
      <c r="Y139" s="118">
        <f>U139*0.55+W139*0.20+V139*0.15+X139*0.10+ROW()/1000000</f>
        <v/>
      </c>
      <c r="Z139" s="101">
        <f>IF(Y139&gt;=75,"STRONG BUY",IF(Y139&gt;=60,"BUY",IF(Y139&gt;=40,"HOLD",IF(Y139&gt;=25,"TRIM","SELL"))))</f>
        <v/>
      </c>
      <c r="AA139" s="119" t="inlineStr">
        <is>
          <t>https://www.pricecharting.com/game/pokemon-astral-radiance/booster-box</t>
        </is>
      </c>
      <c r="AB139" s="102" t="inlineStr">
        <is>
          <t>OOP. Origin Forme chase cards.</t>
        </is>
      </c>
    </row>
    <row r="140" ht="15" customHeight="1" s="81">
      <c r="A140" s="99" t="inlineStr">
        <is>
          <t>S008</t>
        </is>
      </c>
      <c r="B140" s="92" t="inlineStr">
        <is>
          <t>Sealed Modern</t>
        </is>
      </c>
      <c r="C140" s="110" t="inlineStr">
        <is>
          <t>T3</t>
        </is>
      </c>
      <c r="D140" s="92" t="inlineStr">
        <is>
          <t>Lost Origin BB</t>
        </is>
      </c>
      <c r="E140" s="92" t="inlineStr">
        <is>
          <t>Lost Origin</t>
        </is>
      </c>
      <c r="F140" s="110" t="inlineStr">
        <is>
          <t>Box</t>
        </is>
      </c>
      <c r="G140" s="110" t="inlineStr">
        <is>
          <t>Sealed (36 packs)</t>
        </is>
      </c>
      <c r="H140" s="113" t="n">
        <v>200</v>
      </c>
      <c r="I140" s="114" t="n">
        <v>46153</v>
      </c>
      <c r="J140" s="115" t="n">
        <v>197.94</v>
      </c>
      <c r="K140" s="115" t="n">
        <v>187.97</v>
      </c>
      <c r="L140" s="115" t="n">
        <v>172.33</v>
      </c>
      <c r="M140" s="94">
        <f>IFERROR((H140-J140)/J140,0)</f>
        <v/>
      </c>
      <c r="N140" s="94">
        <f>IFERROR((H140-K140)/K140,0)</f>
        <v/>
      </c>
      <c r="O140" s="94">
        <f>IFERROR((H140-L140)/L140,0)</f>
        <v/>
      </c>
      <c r="P140" s="113" t="n">
        <v>160</v>
      </c>
      <c r="Q140" s="113" t="n">
        <v>290</v>
      </c>
      <c r="R140" s="110" t="inlineStr">
        <is>
          <t>3-5yr</t>
        </is>
      </c>
      <c r="S140" s="110" t="n">
        <v>4</v>
      </c>
      <c r="T140" s="120" t="n"/>
      <c r="U140" s="117">
        <f>MAX(0,MIN(100,50+((M140*0.6)+(N140*0.4))*200))</f>
        <v/>
      </c>
      <c r="V140" s="117">
        <f>MAX(20,MIN(100,50+(P140-H140)/P140*100))</f>
        <v/>
      </c>
      <c r="W140" s="117">
        <f>IFERROR(MAX(0,MIN(100,100-LOG10(T140)*16)),60)</f>
        <v/>
      </c>
      <c r="X140" s="117">
        <f>IF(C140="T2",85,IF(C140="T4",70,IF(C140="T1",65,IF(C140="T3",55,45))))</f>
        <v/>
      </c>
      <c r="Y140" s="118">
        <f>U140*0.55+W140*0.20+V140*0.15+X140*0.10+ROW()/1000000</f>
        <v/>
      </c>
      <c r="Z140" s="101">
        <f>IF(Y140&gt;=75,"STRONG BUY",IF(Y140&gt;=60,"BUY",IF(Y140&gt;=40,"HOLD",IF(Y140&gt;=25,"TRIM","SELL"))))</f>
        <v/>
      </c>
      <c r="AA140" s="119" t="inlineStr">
        <is>
          <t>https://www.pricecharting.com/game/pokemon-lost-origin/booster-box</t>
        </is>
      </c>
      <c r="AB140" s="102" t="inlineStr">
        <is>
          <t>OOP. Giratina alt art chase.</t>
        </is>
      </c>
    </row>
    <row r="141" ht="15" customHeight="1" s="81">
      <c r="A141" s="99" t="inlineStr">
        <is>
          <t>S009</t>
        </is>
      </c>
      <c r="B141" s="92" t="inlineStr">
        <is>
          <t>Sealed Modern</t>
        </is>
      </c>
      <c r="C141" s="110" t="inlineStr">
        <is>
          <t>T3</t>
        </is>
      </c>
      <c r="D141" s="92" t="inlineStr">
        <is>
          <t>Silver Tempest BB</t>
        </is>
      </c>
      <c r="E141" s="92" t="inlineStr">
        <is>
          <t>Silver Tempest</t>
        </is>
      </c>
      <c r="F141" s="110" t="inlineStr">
        <is>
          <t>Box</t>
        </is>
      </c>
      <c r="G141" s="110" t="inlineStr">
        <is>
          <t>Sealed (36 packs)</t>
        </is>
      </c>
      <c r="H141" s="113" t="n">
        <v>190</v>
      </c>
      <c r="I141" s="114" t="n">
        <v>46153</v>
      </c>
      <c r="J141" s="115" t="n">
        <v>184.82</v>
      </c>
      <c r="K141" s="115" t="n">
        <v>178.47</v>
      </c>
      <c r="L141" s="115" t="n">
        <v>163.75</v>
      </c>
      <c r="M141" s="94">
        <f>IFERROR((H141-J141)/J141,0)</f>
        <v/>
      </c>
      <c r="N141" s="94">
        <f>IFERROR((H141-K141)/K141,0)</f>
        <v/>
      </c>
      <c r="O141" s="94">
        <f>IFERROR((H141-L141)/L141,0)</f>
        <v/>
      </c>
      <c r="P141" s="113" t="n">
        <v>150</v>
      </c>
      <c r="Q141" s="113" t="n">
        <v>280</v>
      </c>
      <c r="R141" s="110" t="inlineStr">
        <is>
          <t>3-5yr</t>
        </is>
      </c>
      <c r="S141" s="110" t="n">
        <v>4</v>
      </c>
      <c r="T141" s="120" t="n"/>
      <c r="U141" s="117">
        <f>MAX(0,MIN(100,50+((M141*0.6)+(N141*0.4))*200))</f>
        <v/>
      </c>
      <c r="V141" s="117">
        <f>MAX(20,MIN(100,50+(P141-H141)/P141*100))</f>
        <v/>
      </c>
      <c r="W141" s="117">
        <f>IFERROR(MAX(0,MIN(100,100-LOG10(T141)*16)),60)</f>
        <v/>
      </c>
      <c r="X141" s="117">
        <f>IF(C141="T2",85,IF(C141="T4",70,IF(C141="T1",65,IF(C141="T3",55,45))))</f>
        <v/>
      </c>
      <c r="Y141" s="118">
        <f>U141*0.55+W141*0.20+V141*0.15+X141*0.10+ROW()/1000000</f>
        <v/>
      </c>
      <c r="Z141" s="101">
        <f>IF(Y141&gt;=75,"STRONG BUY",IF(Y141&gt;=60,"BUY",IF(Y141&gt;=40,"HOLD",IF(Y141&gt;=25,"TRIM","SELL"))))</f>
        <v/>
      </c>
      <c r="AA141" s="119" t="inlineStr">
        <is>
          <t>https://www.pricecharting.com/game/pokemon-silver-tempest/booster-box</t>
        </is>
      </c>
      <c r="AB141" s="102" t="inlineStr">
        <is>
          <t>OOP. Lugia VSTAR alt chase.</t>
        </is>
      </c>
    </row>
    <row r="142" ht="15" customHeight="1" s="81">
      <c r="A142" s="99" t="inlineStr">
        <is>
          <t>S010</t>
        </is>
      </c>
      <c r="B142" s="92" t="inlineStr">
        <is>
          <t>Sealed Modern</t>
        </is>
      </c>
      <c r="C142" s="110" t="inlineStr">
        <is>
          <t>T3</t>
        </is>
      </c>
      <c r="D142" s="92" t="inlineStr">
        <is>
          <t>SV 151 Booster Bundle</t>
        </is>
      </c>
      <c r="E142" s="92" t="inlineStr">
        <is>
          <t>Scarlet &amp; Violet 151</t>
        </is>
      </c>
      <c r="F142" s="110" t="inlineStr">
        <is>
          <t>Bundle</t>
        </is>
      </c>
      <c r="G142" s="110" t="inlineStr">
        <is>
          <t>Sealed (6 packs)</t>
        </is>
      </c>
      <c r="H142" s="113" t="n">
        <v>175</v>
      </c>
      <c r="I142" s="114" t="n">
        <v>46153</v>
      </c>
      <c r="J142" s="115" t="n">
        <v>171.3</v>
      </c>
      <c r="K142" s="115" t="n">
        <v>160.18</v>
      </c>
      <c r="L142" s="115" t="n">
        <v>144.23</v>
      </c>
      <c r="M142" s="94">
        <f>IFERROR((H142-J142)/J142,0)</f>
        <v/>
      </c>
      <c r="N142" s="94">
        <f>IFERROR((H142-K142)/K142,0)</f>
        <v/>
      </c>
      <c r="O142" s="94">
        <f>IFERROR((H142-L142)/L142,0)</f>
        <v/>
      </c>
      <c r="P142" s="113" t="n">
        <v>140</v>
      </c>
      <c r="Q142" s="113" t="n">
        <v>260</v>
      </c>
      <c r="R142" s="110" t="inlineStr">
        <is>
          <t>3-5yr</t>
        </is>
      </c>
      <c r="S142" s="110" t="n">
        <v>4</v>
      </c>
      <c r="T142" s="120" t="n"/>
      <c r="U142" s="117">
        <f>MAX(0,MIN(100,50+((M142*0.6)+(N142*0.4))*200))</f>
        <v/>
      </c>
      <c r="V142" s="117">
        <f>MAX(20,MIN(100,50+(P142-H142)/P142*100))</f>
        <v/>
      </c>
      <c r="W142" s="117">
        <f>IFERROR(MAX(0,MIN(100,100-LOG10(T142)*16)),60)</f>
        <v/>
      </c>
      <c r="X142" s="117">
        <f>IF(C142="T2",85,IF(C142="T4",70,IF(C142="T1",65,IF(C142="T3",55,45))))</f>
        <v/>
      </c>
      <c r="Y142" s="118">
        <f>U142*0.55+W142*0.20+V142*0.15+X142*0.10+ROW()/1000000</f>
        <v/>
      </c>
      <c r="Z142" s="101">
        <f>IF(Y142&gt;=75,"STRONG BUY",IF(Y142&gt;=60,"BUY",IF(Y142&gt;=40,"HOLD",IF(Y142&gt;=25,"TRIM","SELL"))))</f>
        <v/>
      </c>
      <c r="AA142" s="119" t="inlineStr">
        <is>
          <t>https://www.tcgplayer.com/product/502000</t>
        </is>
      </c>
      <c r="AB142" s="102" t="inlineStr">
        <is>
          <t>$27 MSRP -&gt; $175. Gen 1 nostalgia engine.</t>
        </is>
      </c>
    </row>
    <row r="143" ht="15" customHeight="1" s="81">
      <c r="A143" s="99" t="inlineStr">
        <is>
          <t>S011</t>
        </is>
      </c>
      <c r="B143" s="92" t="inlineStr">
        <is>
          <t>Sealed Modern</t>
        </is>
      </c>
      <c r="C143" s="110" t="inlineStr">
        <is>
          <t>T3</t>
        </is>
      </c>
      <c r="D143" s="92" t="inlineStr">
        <is>
          <t>SV 151 ETB</t>
        </is>
      </c>
      <c r="E143" s="92" t="inlineStr">
        <is>
          <t>Scarlet &amp; Violet 151</t>
        </is>
      </c>
      <c r="F143" s="110" t="inlineStr">
        <is>
          <t>ETB</t>
        </is>
      </c>
      <c r="G143" s="110" t="inlineStr">
        <is>
          <t>Sealed</t>
        </is>
      </c>
      <c r="H143" s="113" t="n">
        <v>220</v>
      </c>
      <c r="I143" s="114" t="n">
        <v>46153</v>
      </c>
      <c r="J143" s="115" t="n">
        <v>218.92</v>
      </c>
      <c r="K143" s="115" t="n">
        <v>196.55</v>
      </c>
      <c r="L143" s="115" t="n">
        <v>174.71</v>
      </c>
      <c r="M143" s="94">
        <f>IFERROR((H143-J143)/J143,0)</f>
        <v/>
      </c>
      <c r="N143" s="94">
        <f>IFERROR((H143-K143)/K143,0)</f>
        <v/>
      </c>
      <c r="O143" s="94">
        <f>IFERROR((H143-L143)/L143,0)</f>
        <v/>
      </c>
      <c r="P143" s="113" t="n">
        <v>170</v>
      </c>
      <c r="Q143" s="113" t="n">
        <v>330</v>
      </c>
      <c r="R143" s="110" t="inlineStr">
        <is>
          <t>3-5yr</t>
        </is>
      </c>
      <c r="S143" s="110" t="n">
        <v>4</v>
      </c>
      <c r="T143" s="120" t="n"/>
      <c r="U143" s="117">
        <f>MAX(0,MIN(100,50+((M143*0.6)+(N143*0.4))*200))</f>
        <v/>
      </c>
      <c r="V143" s="117">
        <f>MAX(20,MIN(100,50+(P143-H143)/P143*100))</f>
        <v/>
      </c>
      <c r="W143" s="117">
        <f>IFERROR(MAX(0,MIN(100,100-LOG10(T143)*16)),60)</f>
        <v/>
      </c>
      <c r="X143" s="117">
        <f>IF(C143="T2",85,IF(C143="T4",70,IF(C143="T1",65,IF(C143="T3",55,45))))</f>
        <v/>
      </c>
      <c r="Y143" s="118">
        <f>U143*0.55+W143*0.20+V143*0.15+X143*0.10+ROW()/1000000</f>
        <v/>
      </c>
      <c r="Z143" s="101">
        <f>IF(Y143&gt;=75,"STRONG BUY",IF(Y143&gt;=60,"BUY",IF(Y143&gt;=40,"HOLD",IF(Y143&gt;=25,"TRIM","SELL"))))</f>
        <v/>
      </c>
      <c r="AA143" s="119" t="inlineStr">
        <is>
          <t>https://www.pricecharting.com/game/pokemon-scarlet-&amp;-violet-151/elite-trainer-box</t>
        </is>
      </c>
      <c r="AB143" s="102" t="inlineStr">
        <is>
          <t>151 ETB - hardest to find at retail.</t>
        </is>
      </c>
    </row>
    <row r="144" ht="15" customHeight="1" s="81">
      <c r="A144" s="99" t="inlineStr">
        <is>
          <t>S012</t>
        </is>
      </c>
      <c r="B144" s="92" t="inlineStr">
        <is>
          <t>Sealed Modern</t>
        </is>
      </c>
      <c r="C144" s="110" t="inlineStr">
        <is>
          <t>T3</t>
        </is>
      </c>
      <c r="D144" s="92" t="inlineStr">
        <is>
          <t>SV 151 Ultra-Premium Collection</t>
        </is>
      </c>
      <c r="E144" s="92" t="inlineStr">
        <is>
          <t>Scarlet &amp; Violet 151</t>
        </is>
      </c>
      <c r="F144" s="110" t="inlineStr">
        <is>
          <t>UPC</t>
        </is>
      </c>
      <c r="G144" s="110" t="inlineStr">
        <is>
          <t>Sealed</t>
        </is>
      </c>
      <c r="H144" s="113" t="n">
        <v>320</v>
      </c>
      <c r="I144" s="114" t="n">
        <v>46153</v>
      </c>
      <c r="J144" s="115" t="n">
        <v>307.56</v>
      </c>
      <c r="K144" s="115" t="n">
        <v>280.93</v>
      </c>
      <c r="L144" s="115" t="n">
        <v>241.63</v>
      </c>
      <c r="M144" s="94">
        <f>IFERROR((H144-J144)/J144,0)</f>
        <v/>
      </c>
      <c r="N144" s="94">
        <f>IFERROR((H144-K144)/K144,0)</f>
        <v/>
      </c>
      <c r="O144" s="94">
        <f>IFERROR((H144-L144)/L144,0)</f>
        <v/>
      </c>
      <c r="P144" s="113" t="n">
        <v>250</v>
      </c>
      <c r="Q144" s="113" t="n">
        <v>480</v>
      </c>
      <c r="R144" s="110" t="inlineStr">
        <is>
          <t>3-5yr</t>
        </is>
      </c>
      <c r="S144" s="110" t="n">
        <v>5</v>
      </c>
      <c r="T144" s="120" t="n"/>
      <c r="U144" s="117">
        <f>MAX(0,MIN(100,50+((M144*0.6)+(N144*0.4))*200))</f>
        <v/>
      </c>
      <c r="V144" s="117">
        <f>MAX(20,MIN(100,50+(P144-H144)/P144*100))</f>
        <v/>
      </c>
      <c r="W144" s="117">
        <f>IFERROR(MAX(0,MIN(100,100-LOG10(T144)*16)),60)</f>
        <v/>
      </c>
      <c r="X144" s="117">
        <f>IF(C144="T2",85,IF(C144="T4",70,IF(C144="T1",65,IF(C144="T3",55,45))))</f>
        <v/>
      </c>
      <c r="Y144" s="118">
        <f>U144*0.55+W144*0.20+V144*0.15+X144*0.10+ROW()/1000000</f>
        <v/>
      </c>
      <c r="Z144" s="101">
        <f>IF(Y144&gt;=75,"STRONG BUY",IF(Y144&gt;=60,"BUY",IF(Y144&gt;=40,"HOLD",IF(Y144&gt;=25,"TRIM","SELL"))))</f>
        <v/>
      </c>
      <c r="AA144" s="119" t="inlineStr">
        <is>
          <t>https://www.pricecharting.com/game/pokemon-scarlet-&amp;-violet-151/ultra-premium-collection</t>
        </is>
      </c>
      <c r="AB144" s="102" t="inlineStr">
        <is>
          <t>UPC = premium 151 sealed. Up 12%/30D.</t>
        </is>
      </c>
    </row>
    <row r="145" ht="15" customHeight="1" s="81">
      <c r="A145" s="99" t="inlineStr">
        <is>
          <t>S013</t>
        </is>
      </c>
      <c r="B145" s="92" t="inlineStr">
        <is>
          <t>Sealed Modern</t>
        </is>
      </c>
      <c r="C145" s="110" t="inlineStr">
        <is>
          <t>T3</t>
        </is>
      </c>
      <c r="D145" s="92" t="inlineStr">
        <is>
          <t>Paldea Evolved BB</t>
        </is>
      </c>
      <c r="E145" s="92" t="inlineStr">
        <is>
          <t>Paldea Evolved</t>
        </is>
      </c>
      <c r="F145" s="110" t="inlineStr">
        <is>
          <t>Box</t>
        </is>
      </c>
      <c r="G145" s="110" t="inlineStr">
        <is>
          <t>Sealed (36 packs)</t>
        </is>
      </c>
      <c r="H145" s="113" t="n">
        <v>160</v>
      </c>
      <c r="I145" s="114" t="n">
        <v>46153</v>
      </c>
      <c r="J145" s="115" t="n">
        <v>156.07</v>
      </c>
      <c r="K145" s="115" t="n">
        <v>155.37</v>
      </c>
      <c r="L145" s="115" t="n">
        <v>145.02</v>
      </c>
      <c r="M145" s="94">
        <f>IFERROR((H145-J145)/J145,0)</f>
        <v/>
      </c>
      <c r="N145" s="94">
        <f>IFERROR((H145-K145)/K145,0)</f>
        <v/>
      </c>
      <c r="O145" s="94">
        <f>IFERROR((H145-L145)/L145,0)</f>
        <v/>
      </c>
      <c r="P145" s="113" t="n">
        <v>130</v>
      </c>
      <c r="Q145" s="113" t="n">
        <v>230</v>
      </c>
      <c r="R145" s="110" t="inlineStr">
        <is>
          <t>3-5yr</t>
        </is>
      </c>
      <c r="S145" s="110" t="n">
        <v>3</v>
      </c>
      <c r="T145" s="120" t="n"/>
      <c r="U145" s="117">
        <f>MAX(0,MIN(100,50+((M145*0.6)+(N145*0.4))*200))</f>
        <v/>
      </c>
      <c r="V145" s="117">
        <f>MAX(20,MIN(100,50+(P145-H145)/P145*100))</f>
        <v/>
      </c>
      <c r="W145" s="117">
        <f>IFERROR(MAX(0,MIN(100,100-LOG10(T145)*16)),60)</f>
        <v/>
      </c>
      <c r="X145" s="117">
        <f>IF(C145="T2",85,IF(C145="T4",70,IF(C145="T1",65,IF(C145="T3",55,45))))</f>
        <v/>
      </c>
      <c r="Y145" s="118">
        <f>U145*0.55+W145*0.20+V145*0.15+X145*0.10+ROW()/1000000</f>
        <v/>
      </c>
      <c r="Z145" s="101">
        <f>IF(Y145&gt;=75,"STRONG BUY",IF(Y145&gt;=60,"BUY",IF(Y145&gt;=40,"HOLD",IF(Y145&gt;=25,"TRIM","SELL"))))</f>
        <v/>
      </c>
      <c r="AA145" s="119" t="inlineStr">
        <is>
          <t>https://www.pricecharting.com/game/pokemon-paldea-evolved/booster-box</t>
        </is>
      </c>
      <c r="AB145" s="102" t="inlineStr">
        <is>
          <t>Iono SIR chase.</t>
        </is>
      </c>
    </row>
    <row r="146" ht="15" customHeight="1" s="81">
      <c r="A146" s="99" t="inlineStr">
        <is>
          <t>S014</t>
        </is>
      </c>
      <c r="B146" s="92" t="inlineStr">
        <is>
          <t>Sealed Modern</t>
        </is>
      </c>
      <c r="C146" s="110" t="inlineStr">
        <is>
          <t>T3</t>
        </is>
      </c>
      <c r="D146" s="92" t="inlineStr">
        <is>
          <t>Obsidian Flames BB</t>
        </is>
      </c>
      <c r="E146" s="92" t="inlineStr">
        <is>
          <t>Obsidian Flames</t>
        </is>
      </c>
      <c r="F146" s="110" t="inlineStr">
        <is>
          <t>Box</t>
        </is>
      </c>
      <c r="G146" s="110" t="inlineStr">
        <is>
          <t>Sealed (36 packs)</t>
        </is>
      </c>
      <c r="H146" s="113" t="n">
        <v>165</v>
      </c>
      <c r="I146" s="114" t="n">
        <v>46153</v>
      </c>
      <c r="J146" s="115" t="n">
        <v>162.32</v>
      </c>
      <c r="K146" s="115" t="n">
        <v>152.91</v>
      </c>
      <c r="L146" s="115" t="n">
        <v>141.96</v>
      </c>
      <c r="M146" s="94">
        <f>IFERROR((H146-J146)/J146,0)</f>
        <v/>
      </c>
      <c r="N146" s="94">
        <f>IFERROR((H146-K146)/K146,0)</f>
        <v/>
      </c>
      <c r="O146" s="94">
        <f>IFERROR((H146-L146)/L146,0)</f>
        <v/>
      </c>
      <c r="P146" s="113" t="n">
        <v>130</v>
      </c>
      <c r="Q146" s="113" t="n">
        <v>240</v>
      </c>
      <c r="R146" s="110" t="inlineStr">
        <is>
          <t>3-5yr</t>
        </is>
      </c>
      <c r="S146" s="110" t="n">
        <v>4</v>
      </c>
      <c r="T146" s="120" t="n"/>
      <c r="U146" s="117">
        <f>MAX(0,MIN(100,50+((M146*0.6)+(N146*0.4))*200))</f>
        <v/>
      </c>
      <c r="V146" s="117">
        <f>MAX(20,MIN(100,50+(P146-H146)/P146*100))</f>
        <v/>
      </c>
      <c r="W146" s="117">
        <f>IFERROR(MAX(0,MIN(100,100-LOG10(T146)*16)),60)</f>
        <v/>
      </c>
      <c r="X146" s="117">
        <f>IF(C146="T2",85,IF(C146="T4",70,IF(C146="T1",65,IF(C146="T3",55,45))))</f>
        <v/>
      </c>
      <c r="Y146" s="118">
        <f>U146*0.55+W146*0.20+V146*0.15+X146*0.10+ROW()/1000000</f>
        <v/>
      </c>
      <c r="Z146" s="101">
        <f>IF(Y146&gt;=75,"STRONG BUY",IF(Y146&gt;=60,"BUY",IF(Y146&gt;=40,"HOLD",IF(Y146&gt;=25,"TRIM","SELL"))))</f>
        <v/>
      </c>
      <c r="AA146" s="119" t="inlineStr">
        <is>
          <t>https://www.pricecharting.com/game/pokemon-obsidian-flames/booster-box</t>
        </is>
      </c>
      <c r="AB146" s="102" t="inlineStr">
        <is>
          <t>OF Charizard SIR chase. Surging.</t>
        </is>
      </c>
    </row>
    <row r="147" ht="15" customHeight="1" s="81">
      <c r="A147" s="99" t="inlineStr">
        <is>
          <t>S015</t>
        </is>
      </c>
      <c r="B147" s="92" t="inlineStr">
        <is>
          <t>Sealed Modern</t>
        </is>
      </c>
      <c r="C147" s="110" t="inlineStr">
        <is>
          <t>T3</t>
        </is>
      </c>
      <c r="D147" s="92" t="inlineStr">
        <is>
          <t>Obsidian Flames ETB</t>
        </is>
      </c>
      <c r="E147" s="92" t="inlineStr">
        <is>
          <t>Obsidian Flames</t>
        </is>
      </c>
      <c r="F147" s="110" t="inlineStr">
        <is>
          <t>ETB</t>
        </is>
      </c>
      <c r="G147" s="110" t="inlineStr">
        <is>
          <t>Sealed</t>
        </is>
      </c>
      <c r="H147" s="113" t="n">
        <v>85</v>
      </c>
      <c r="I147" s="114" t="n">
        <v>46153</v>
      </c>
      <c r="J147" s="115" t="n">
        <v>84.33</v>
      </c>
      <c r="K147" s="115" t="n">
        <v>81.42</v>
      </c>
      <c r="L147" s="115" t="n">
        <v>74.28</v>
      </c>
      <c r="M147" s="94">
        <f>IFERROR((H147-J147)/J147,0)</f>
        <v/>
      </c>
      <c r="N147" s="94">
        <f>IFERROR((H147-K147)/K147,0)</f>
        <v/>
      </c>
      <c r="O147" s="94">
        <f>IFERROR((H147-L147)/L147,0)</f>
        <v/>
      </c>
      <c r="P147" s="113" t="n">
        <v>65</v>
      </c>
      <c r="Q147" s="113" t="n">
        <v>120</v>
      </c>
      <c r="R147" s="110" t="inlineStr">
        <is>
          <t>3-5yr</t>
        </is>
      </c>
      <c r="S147" s="110" t="n">
        <v>3</v>
      </c>
      <c r="T147" s="120" t="n"/>
      <c r="U147" s="117">
        <f>MAX(0,MIN(100,50+((M147*0.6)+(N147*0.4))*200))</f>
        <v/>
      </c>
      <c r="V147" s="117">
        <f>MAX(20,MIN(100,50+(P147-H147)/P147*100))</f>
        <v/>
      </c>
      <c r="W147" s="117">
        <f>IFERROR(MAX(0,MIN(100,100-LOG10(T147)*16)),60)</f>
        <v/>
      </c>
      <c r="X147" s="117">
        <f>IF(C147="T2",85,IF(C147="T4",70,IF(C147="T1",65,IF(C147="T3",55,45))))</f>
        <v/>
      </c>
      <c r="Y147" s="118">
        <f>U147*0.55+W147*0.20+V147*0.15+X147*0.10+ROW()/1000000</f>
        <v/>
      </c>
      <c r="Z147" s="101">
        <f>IF(Y147&gt;=75,"STRONG BUY",IF(Y147&gt;=60,"BUY",IF(Y147&gt;=40,"HOLD",IF(Y147&gt;=25,"TRIM","SELL"))))</f>
        <v/>
      </c>
      <c r="AA147" s="119" t="inlineStr">
        <is>
          <t>https://www.pricecharting.com/game/pokemon-obsidian-flames/elite-trainer-box</t>
        </is>
      </c>
      <c r="AB147" s="102" t="inlineStr">
        <is>
          <t>OF ETB. Lower entry to OF sealed.</t>
        </is>
      </c>
    </row>
    <row r="148" ht="15" customHeight="1" s="81">
      <c r="A148" s="99" t="inlineStr">
        <is>
          <t>S016</t>
        </is>
      </c>
      <c r="B148" s="92" t="inlineStr">
        <is>
          <t>Sealed Modern</t>
        </is>
      </c>
      <c r="C148" s="110" t="inlineStr">
        <is>
          <t>T3</t>
        </is>
      </c>
      <c r="D148" s="92" t="inlineStr">
        <is>
          <t>Paldean Fates ETB</t>
        </is>
      </c>
      <c r="E148" s="92" t="inlineStr">
        <is>
          <t>Paldean Fates</t>
        </is>
      </c>
      <c r="F148" s="110" t="inlineStr">
        <is>
          <t>ETB</t>
        </is>
      </c>
      <c r="G148" s="110" t="inlineStr">
        <is>
          <t>Sealed</t>
        </is>
      </c>
      <c r="H148" s="113" t="n">
        <v>110</v>
      </c>
      <c r="I148" s="114" t="n">
        <v>46153</v>
      </c>
      <c r="J148" s="115" t="n">
        <v>109.62</v>
      </c>
      <c r="K148" s="115" t="n">
        <v>99.09999999999999</v>
      </c>
      <c r="L148" s="115" t="n">
        <v>88.13</v>
      </c>
      <c r="M148" s="94">
        <f>IFERROR((H148-J148)/J148,0)</f>
        <v/>
      </c>
      <c r="N148" s="94">
        <f>IFERROR((H148-K148)/K148,0)</f>
        <v/>
      </c>
      <c r="O148" s="94">
        <f>IFERROR((H148-L148)/L148,0)</f>
        <v/>
      </c>
      <c r="P148" s="113" t="n">
        <v>85</v>
      </c>
      <c r="Q148" s="113" t="n">
        <v>160</v>
      </c>
      <c r="R148" s="110" t="inlineStr">
        <is>
          <t>3-5yr</t>
        </is>
      </c>
      <c r="S148" s="110" t="n">
        <v>4</v>
      </c>
      <c r="T148" s="120" t="n"/>
      <c r="U148" s="117">
        <f>MAX(0,MIN(100,50+((M148*0.6)+(N148*0.4))*200))</f>
        <v/>
      </c>
      <c r="V148" s="117">
        <f>MAX(20,MIN(100,50+(P148-H148)/P148*100))</f>
        <v/>
      </c>
      <c r="W148" s="117">
        <f>IFERROR(MAX(0,MIN(100,100-LOG10(T148)*16)),60)</f>
        <v/>
      </c>
      <c r="X148" s="117">
        <f>IF(C148="T2",85,IF(C148="T4",70,IF(C148="T1",65,IF(C148="T3",55,45))))</f>
        <v/>
      </c>
      <c r="Y148" s="118">
        <f>U148*0.55+W148*0.20+V148*0.15+X148*0.10+ROW()/1000000</f>
        <v/>
      </c>
      <c r="Z148" s="101">
        <f>IF(Y148&gt;=75,"STRONG BUY",IF(Y148&gt;=60,"BUY",IF(Y148&gt;=40,"HOLD",IF(Y148&gt;=25,"TRIM","SELL"))))</f>
        <v/>
      </c>
      <c r="AA148" s="119" t="inlineStr">
        <is>
          <t>https://www.pricecharting.com/game/pokemon-paldean-fates/elite-trainer-box</t>
        </is>
      </c>
      <c r="AB148" s="102" t="inlineStr">
        <is>
          <t>Shiny-themed mini-set. ETB squeeze ongoing.</t>
        </is>
      </c>
    </row>
    <row r="149" ht="15" customHeight="1" s="81">
      <c r="A149" s="99" t="inlineStr">
        <is>
          <t>S017</t>
        </is>
      </c>
      <c r="B149" s="92" t="inlineStr">
        <is>
          <t>Sealed Modern</t>
        </is>
      </c>
      <c r="C149" s="110" t="inlineStr">
        <is>
          <t>T3</t>
        </is>
      </c>
      <c r="D149" s="92" t="inlineStr">
        <is>
          <t>Paldean Fates Booster Bundle</t>
        </is>
      </c>
      <c r="E149" s="92" t="inlineStr">
        <is>
          <t>Paldean Fates</t>
        </is>
      </c>
      <c r="F149" s="110" t="inlineStr">
        <is>
          <t>Bundle</t>
        </is>
      </c>
      <c r="G149" s="110" t="inlineStr">
        <is>
          <t>Sealed (6 packs)</t>
        </is>
      </c>
      <c r="H149" s="113" t="n">
        <v>80</v>
      </c>
      <c r="I149" s="114" t="n">
        <v>46153</v>
      </c>
      <c r="J149" s="115" t="n">
        <v>79.53</v>
      </c>
      <c r="K149" s="115" t="n">
        <v>70.72</v>
      </c>
      <c r="L149" s="115" t="n">
        <v>62.49</v>
      </c>
      <c r="M149" s="94">
        <f>IFERROR((H149-J149)/J149,0)</f>
        <v/>
      </c>
      <c r="N149" s="94">
        <f>IFERROR((H149-K149)/K149,0)</f>
        <v/>
      </c>
      <c r="O149" s="94">
        <f>IFERROR((H149-L149)/L149,0)</f>
        <v/>
      </c>
      <c r="P149" s="113" t="n">
        <v>60</v>
      </c>
      <c r="Q149" s="113" t="n">
        <v>120</v>
      </c>
      <c r="R149" s="110" t="inlineStr">
        <is>
          <t>3-5yr</t>
        </is>
      </c>
      <c r="S149" s="110" t="n">
        <v>4</v>
      </c>
      <c r="T149" s="120" t="n"/>
      <c r="U149" s="117">
        <f>MAX(0,MIN(100,50+((M149*0.6)+(N149*0.4))*200))</f>
        <v/>
      </c>
      <c r="V149" s="117">
        <f>MAX(20,MIN(100,50+(P149-H149)/P149*100))</f>
        <v/>
      </c>
      <c r="W149" s="117">
        <f>IFERROR(MAX(0,MIN(100,100-LOG10(T149)*16)),60)</f>
        <v/>
      </c>
      <c r="X149" s="117">
        <f>IF(C149="T2",85,IF(C149="T4",70,IF(C149="T1",65,IF(C149="T3",55,45))))</f>
        <v/>
      </c>
      <c r="Y149" s="118">
        <f>U149*0.55+W149*0.20+V149*0.15+X149*0.10+ROW()/1000000</f>
        <v/>
      </c>
      <c r="Z149" s="101">
        <f>IF(Y149&gt;=75,"STRONG BUY",IF(Y149&gt;=60,"BUY",IF(Y149&gt;=40,"HOLD",IF(Y149&gt;=25,"TRIM","SELL"))))</f>
        <v/>
      </c>
      <c r="AA149" s="119" t="inlineStr">
        <is>
          <t>https://www.pricecharting.com/game/pokemon-paldean-fates/booster-bundle</t>
        </is>
      </c>
      <c r="AB149" s="102" t="inlineStr">
        <is>
          <t>Shiny chase bundle. Up 12%/30D.</t>
        </is>
      </c>
    </row>
    <row r="150" ht="15" customHeight="1" s="81">
      <c r="A150" s="99" t="inlineStr">
        <is>
          <t>S018</t>
        </is>
      </c>
      <c r="B150" s="92" t="inlineStr">
        <is>
          <t>Sealed Modern</t>
        </is>
      </c>
      <c r="C150" s="110" t="inlineStr">
        <is>
          <t>T3</t>
        </is>
      </c>
      <c r="D150" s="92" t="inlineStr">
        <is>
          <t>Paradox Rift BB</t>
        </is>
      </c>
      <c r="E150" s="92" t="inlineStr">
        <is>
          <t>Paradox Rift</t>
        </is>
      </c>
      <c r="F150" s="110" t="inlineStr">
        <is>
          <t>Box</t>
        </is>
      </c>
      <c r="G150" s="110" t="inlineStr">
        <is>
          <t>Sealed (36 packs)</t>
        </is>
      </c>
      <c r="H150" s="113" t="n">
        <v>145</v>
      </c>
      <c r="I150" s="114" t="n">
        <v>46153</v>
      </c>
      <c r="J150" s="115" t="n">
        <v>145.74</v>
      </c>
      <c r="K150" s="115" t="n">
        <v>137.18</v>
      </c>
      <c r="L150" s="115" t="n">
        <v>132.79</v>
      </c>
      <c r="M150" s="94">
        <f>IFERROR((H150-J150)/J150,0)</f>
        <v/>
      </c>
      <c r="N150" s="94">
        <f>IFERROR((H150-K150)/K150,0)</f>
        <v/>
      </c>
      <c r="O150" s="94">
        <f>IFERROR((H150-L150)/L150,0)</f>
        <v/>
      </c>
      <c r="P150" s="113" t="n">
        <v>115</v>
      </c>
      <c r="Q150" s="113" t="n">
        <v>210</v>
      </c>
      <c r="R150" s="110" t="inlineStr">
        <is>
          <t>3-5yr</t>
        </is>
      </c>
      <c r="S150" s="110" t="n">
        <v>3</v>
      </c>
      <c r="T150" s="120" t="n"/>
      <c r="U150" s="117">
        <f>MAX(0,MIN(100,50+((M150*0.6)+(N150*0.4))*200))</f>
        <v/>
      </c>
      <c r="V150" s="117">
        <f>MAX(20,MIN(100,50+(P150-H150)/P150*100))</f>
        <v/>
      </c>
      <c r="W150" s="117">
        <f>IFERROR(MAX(0,MIN(100,100-LOG10(T150)*16)),60)</f>
        <v/>
      </c>
      <c r="X150" s="117">
        <f>IF(C150="T2",85,IF(C150="T4",70,IF(C150="T1",65,IF(C150="T3",55,45))))</f>
        <v/>
      </c>
      <c r="Y150" s="118">
        <f>U150*0.55+W150*0.20+V150*0.15+X150*0.10+ROW()/1000000</f>
        <v/>
      </c>
      <c r="Z150" s="101">
        <f>IF(Y150&gt;=75,"STRONG BUY",IF(Y150&gt;=60,"BUY",IF(Y150&gt;=40,"HOLD",IF(Y150&gt;=25,"TRIM","SELL"))))</f>
        <v/>
      </c>
      <c r="AA150" s="119" t="inlineStr">
        <is>
          <t>https://www.pricecharting.com/game/pokemon-paradox-rift/booster-box</t>
        </is>
      </c>
      <c r="AB150" s="102" t="inlineStr">
        <is>
          <t>Paradox theme. Iron Hands/Roaring Moon chase.</t>
        </is>
      </c>
    </row>
    <row r="151" ht="15" customHeight="1" s="81">
      <c r="A151" s="99" t="inlineStr">
        <is>
          <t>S019</t>
        </is>
      </c>
      <c r="B151" s="92" t="inlineStr">
        <is>
          <t>Sealed Modern</t>
        </is>
      </c>
      <c r="C151" s="110" t="inlineStr">
        <is>
          <t>T3</t>
        </is>
      </c>
      <c r="D151" s="92" t="inlineStr">
        <is>
          <t>Paradox Rift ETB</t>
        </is>
      </c>
      <c r="E151" s="92" t="inlineStr">
        <is>
          <t>Paradox Rift</t>
        </is>
      </c>
      <c r="F151" s="110" t="inlineStr">
        <is>
          <t>ETB</t>
        </is>
      </c>
      <c r="G151" s="110" t="inlineStr">
        <is>
          <t>Sealed</t>
        </is>
      </c>
      <c r="H151" s="113" t="n">
        <v>75</v>
      </c>
      <c r="I151" s="114" t="n">
        <v>46153</v>
      </c>
      <c r="J151" s="115" t="n">
        <v>72.87</v>
      </c>
      <c r="K151" s="115" t="n">
        <v>71.02</v>
      </c>
      <c r="L151" s="115" t="n">
        <v>68.03</v>
      </c>
      <c r="M151" s="94">
        <f>IFERROR((H151-J151)/J151,0)</f>
        <v/>
      </c>
      <c r="N151" s="94">
        <f>IFERROR((H151-K151)/K151,0)</f>
        <v/>
      </c>
      <c r="O151" s="94">
        <f>IFERROR((H151-L151)/L151,0)</f>
        <v/>
      </c>
      <c r="P151" s="113" t="n">
        <v>58</v>
      </c>
      <c r="Q151" s="113" t="n">
        <v>110</v>
      </c>
      <c r="R151" s="110" t="inlineStr">
        <is>
          <t>3-5yr</t>
        </is>
      </c>
      <c r="S151" s="110" t="n">
        <v>3</v>
      </c>
      <c r="T151" s="120" t="n"/>
      <c r="U151" s="117">
        <f>MAX(0,MIN(100,50+((M151*0.6)+(N151*0.4))*200))</f>
        <v/>
      </c>
      <c r="V151" s="117">
        <f>MAX(20,MIN(100,50+(P151-H151)/P151*100))</f>
        <v/>
      </c>
      <c r="W151" s="117">
        <f>IFERROR(MAX(0,MIN(100,100-LOG10(T151)*16)),60)</f>
        <v/>
      </c>
      <c r="X151" s="117">
        <f>IF(C151="T2",85,IF(C151="T4",70,IF(C151="T1",65,IF(C151="T3",55,45))))</f>
        <v/>
      </c>
      <c r="Y151" s="118">
        <f>U151*0.55+W151*0.20+V151*0.15+X151*0.10+ROW()/1000000</f>
        <v/>
      </c>
      <c r="Z151" s="101">
        <f>IF(Y151&gt;=75,"STRONG BUY",IF(Y151&gt;=60,"BUY",IF(Y151&gt;=40,"HOLD",IF(Y151&gt;=25,"TRIM","SELL"))))</f>
        <v/>
      </c>
      <c r="AA151" s="119" t="inlineStr">
        <is>
          <t>https://www.pricecharting.com/game/pokemon-paradox-rift/elite-trainer-box</t>
        </is>
      </c>
      <c r="AB151" s="102" t="inlineStr">
        <is>
          <t>PR ETB. Steady.</t>
        </is>
      </c>
    </row>
    <row r="152" ht="15" customHeight="1" s="81">
      <c r="A152" s="99" t="inlineStr">
        <is>
          <t>S020</t>
        </is>
      </c>
      <c r="B152" s="92" t="inlineStr">
        <is>
          <t>Sealed Modern</t>
        </is>
      </c>
      <c r="C152" s="110" t="inlineStr">
        <is>
          <t>T3</t>
        </is>
      </c>
      <c r="D152" s="92" t="inlineStr">
        <is>
          <t>Twilight Masquerade BB</t>
        </is>
      </c>
      <c r="E152" s="92" t="inlineStr">
        <is>
          <t>Twilight Masquerade</t>
        </is>
      </c>
      <c r="F152" s="110" t="inlineStr">
        <is>
          <t>Box</t>
        </is>
      </c>
      <c r="G152" s="110" t="inlineStr">
        <is>
          <t>Sealed (36 packs)</t>
        </is>
      </c>
      <c r="H152" s="113" t="n">
        <v>130</v>
      </c>
      <c r="I152" s="114" t="n">
        <v>46153</v>
      </c>
      <c r="J152" s="115" t="n">
        <v>127.56</v>
      </c>
      <c r="K152" s="115" t="n">
        <v>125.65</v>
      </c>
      <c r="L152" s="115" t="n">
        <v>115.46</v>
      </c>
      <c r="M152" s="94">
        <f>IFERROR((H152-J152)/J152,0)</f>
        <v/>
      </c>
      <c r="N152" s="94">
        <f>IFERROR((H152-K152)/K152,0)</f>
        <v/>
      </c>
      <c r="O152" s="94">
        <f>IFERROR((H152-L152)/L152,0)</f>
        <v/>
      </c>
      <c r="P152" s="113" t="n">
        <v>105</v>
      </c>
      <c r="Q152" s="113" t="n">
        <v>190</v>
      </c>
      <c r="R152" s="110" t="inlineStr">
        <is>
          <t>3-5yr</t>
        </is>
      </c>
      <c r="S152" s="110" t="n">
        <v>3</v>
      </c>
      <c r="T152" s="120" t="n"/>
      <c r="U152" s="117">
        <f>MAX(0,MIN(100,50+((M152*0.6)+(N152*0.4))*200))</f>
        <v/>
      </c>
      <c r="V152" s="117">
        <f>MAX(20,MIN(100,50+(P152-H152)/P152*100))</f>
        <v/>
      </c>
      <c r="W152" s="117">
        <f>IFERROR(MAX(0,MIN(100,100-LOG10(T152)*16)),60)</f>
        <v/>
      </c>
      <c r="X152" s="117">
        <f>IF(C152="T2",85,IF(C152="T4",70,IF(C152="T1",65,IF(C152="T3",55,45))))</f>
        <v/>
      </c>
      <c r="Y152" s="118">
        <f>U152*0.55+W152*0.20+V152*0.15+X152*0.10+ROW()/1000000</f>
        <v/>
      </c>
      <c r="Z152" s="101">
        <f>IF(Y152&gt;=75,"STRONG BUY",IF(Y152&gt;=60,"BUY",IF(Y152&gt;=40,"HOLD",IF(Y152&gt;=25,"TRIM","SELL"))))</f>
        <v/>
      </c>
      <c r="AA152" s="119" t="inlineStr">
        <is>
          <t>https://www.pricecharting.com/game/pokemon-twilight-masquerade/booster-box</t>
        </is>
      </c>
      <c r="AB152" s="102" t="inlineStr">
        <is>
          <t>Greninja ex chase. Recent set.</t>
        </is>
      </c>
    </row>
    <row r="153" ht="15" customHeight="1" s="81">
      <c r="A153" s="99" t="inlineStr">
        <is>
          <t>S021</t>
        </is>
      </c>
      <c r="B153" s="92" t="inlineStr">
        <is>
          <t>Sealed Modern</t>
        </is>
      </c>
      <c r="C153" s="110" t="inlineStr">
        <is>
          <t>T3</t>
        </is>
      </c>
      <c r="D153" s="92" t="inlineStr">
        <is>
          <t>Shrouded Fable Tin</t>
        </is>
      </c>
      <c r="E153" s="92" t="inlineStr">
        <is>
          <t>Shrouded Fable</t>
        </is>
      </c>
      <c r="F153" s="110" t="inlineStr">
        <is>
          <t>Tin</t>
        </is>
      </c>
      <c r="G153" s="110" t="inlineStr">
        <is>
          <t>Sealed</t>
        </is>
      </c>
      <c r="H153" s="113" t="n">
        <v>35</v>
      </c>
      <c r="I153" s="114" t="n">
        <v>46153</v>
      </c>
      <c r="J153" s="115" t="n">
        <v>34.87</v>
      </c>
      <c r="K153" s="115" t="n">
        <v>33.54</v>
      </c>
      <c r="L153" s="115" t="n">
        <v>30.91</v>
      </c>
      <c r="M153" s="94">
        <f>IFERROR((H153-J153)/J153,0)</f>
        <v/>
      </c>
      <c r="N153" s="94">
        <f>IFERROR((H153-K153)/K153,0)</f>
        <v/>
      </c>
      <c r="O153" s="94">
        <f>IFERROR((H153-L153)/L153,0)</f>
        <v/>
      </c>
      <c r="P153" s="113" t="n">
        <v>28</v>
      </c>
      <c r="Q153" s="113" t="n">
        <v>50</v>
      </c>
      <c r="R153" s="110" t="inlineStr">
        <is>
          <t>1-3yr</t>
        </is>
      </c>
      <c r="S153" s="110" t="n">
        <v>3</v>
      </c>
      <c r="T153" s="120" t="n"/>
      <c r="U153" s="117">
        <f>MAX(0,MIN(100,50+((M153*0.6)+(N153*0.4))*200))</f>
        <v/>
      </c>
      <c r="V153" s="117">
        <f>MAX(20,MIN(100,50+(P153-H153)/P153*100))</f>
        <v/>
      </c>
      <c r="W153" s="117">
        <f>IFERROR(MAX(0,MIN(100,100-LOG10(T153)*16)),60)</f>
        <v/>
      </c>
      <c r="X153" s="117">
        <f>IF(C153="T2",85,IF(C153="T4",70,IF(C153="T1",65,IF(C153="T3",55,45))))</f>
        <v/>
      </c>
      <c r="Y153" s="118">
        <f>U153*0.55+W153*0.20+V153*0.15+X153*0.10+ROW()/1000000</f>
        <v/>
      </c>
      <c r="Z153" s="101">
        <f>IF(Y153&gt;=75,"STRONG BUY",IF(Y153&gt;=60,"BUY",IF(Y153&gt;=40,"HOLD",IF(Y153&gt;=25,"TRIM","SELL"))))</f>
        <v/>
      </c>
      <c r="AA153" s="119" t="inlineStr">
        <is>
          <t>https://www.pricecharting.com/game/pokemon-shrouded-fable/tin</t>
        </is>
      </c>
      <c r="AB153" s="102" t="inlineStr">
        <is>
          <t>Pecharunt mini-set tin. Low ticket.</t>
        </is>
      </c>
    </row>
    <row r="154" ht="15" customHeight="1" s="81">
      <c r="A154" s="99" t="inlineStr">
        <is>
          <t>S022</t>
        </is>
      </c>
      <c r="B154" s="92" t="inlineStr">
        <is>
          <t>Sealed Modern</t>
        </is>
      </c>
      <c r="C154" s="110" t="inlineStr">
        <is>
          <t>T3</t>
        </is>
      </c>
      <c r="D154" s="92" t="inlineStr">
        <is>
          <t>Stellar Crown BB</t>
        </is>
      </c>
      <c r="E154" s="92" t="inlineStr">
        <is>
          <t>Stellar Crown</t>
        </is>
      </c>
      <c r="F154" s="110" t="inlineStr">
        <is>
          <t>Box</t>
        </is>
      </c>
      <c r="G154" s="110" t="inlineStr">
        <is>
          <t>Sealed (36 packs)</t>
        </is>
      </c>
      <c r="H154" s="113" t="n">
        <v>125</v>
      </c>
      <c r="I154" s="114" t="n">
        <v>46153</v>
      </c>
      <c r="J154" s="115" t="n">
        <v>122.42</v>
      </c>
      <c r="K154" s="115" t="n">
        <v>117.82</v>
      </c>
      <c r="L154" s="115" t="n">
        <v>107.24</v>
      </c>
      <c r="M154" s="94">
        <f>IFERROR((H154-J154)/J154,0)</f>
        <v/>
      </c>
      <c r="N154" s="94">
        <f>IFERROR((H154-K154)/K154,0)</f>
        <v/>
      </c>
      <c r="O154" s="94">
        <f>IFERROR((H154-L154)/L154,0)</f>
        <v/>
      </c>
      <c r="P154" s="113" t="n">
        <v>100</v>
      </c>
      <c r="Q154" s="113" t="n">
        <v>180</v>
      </c>
      <c r="R154" s="110" t="inlineStr">
        <is>
          <t>3-5yr</t>
        </is>
      </c>
      <c r="S154" s="110" t="n">
        <v>3</v>
      </c>
      <c r="T154" s="120" t="n"/>
      <c r="U154" s="117">
        <f>MAX(0,MIN(100,50+((M154*0.6)+(N154*0.4))*200))</f>
        <v/>
      </c>
      <c r="V154" s="117">
        <f>MAX(20,MIN(100,50+(P154-H154)/P154*100))</f>
        <v/>
      </c>
      <c r="W154" s="117">
        <f>IFERROR(MAX(0,MIN(100,100-LOG10(T154)*16)),60)</f>
        <v/>
      </c>
      <c r="X154" s="117">
        <f>IF(C154="T2",85,IF(C154="T4",70,IF(C154="T1",65,IF(C154="T3",55,45))))</f>
        <v/>
      </c>
      <c r="Y154" s="118">
        <f>U154*0.55+W154*0.20+V154*0.15+X154*0.10+ROW()/1000000</f>
        <v/>
      </c>
      <c r="Z154" s="101">
        <f>IF(Y154&gt;=75,"STRONG BUY",IF(Y154&gt;=60,"BUY",IF(Y154&gt;=40,"HOLD",IF(Y154&gt;=25,"TRIM","SELL"))))</f>
        <v/>
      </c>
      <c r="AA154" s="119" t="inlineStr">
        <is>
          <t>https://www.pricecharting.com/game/pokemon-stellar-crown/booster-box</t>
        </is>
      </c>
      <c r="AB154" s="102" t="inlineStr">
        <is>
          <t>Terapagos chase.</t>
        </is>
      </c>
    </row>
    <row r="155" ht="15" customHeight="1" s="81">
      <c r="A155" s="99" t="inlineStr">
        <is>
          <t>S023</t>
        </is>
      </c>
      <c r="B155" s="92" t="inlineStr">
        <is>
          <t>Sealed Modern</t>
        </is>
      </c>
      <c r="C155" s="110" t="inlineStr">
        <is>
          <t>T3</t>
        </is>
      </c>
      <c r="D155" s="92" t="inlineStr">
        <is>
          <t>Surging Sparks BB</t>
        </is>
      </c>
      <c r="E155" s="92" t="inlineStr">
        <is>
          <t>Surging Sparks</t>
        </is>
      </c>
      <c r="F155" s="110" t="inlineStr">
        <is>
          <t>Box</t>
        </is>
      </c>
      <c r="G155" s="110" t="inlineStr">
        <is>
          <t>Sealed (36 packs)</t>
        </is>
      </c>
      <c r="H155" s="113" t="n">
        <v>130</v>
      </c>
      <c r="I155" s="114" t="n">
        <v>46153</v>
      </c>
      <c r="J155" s="115" t="n">
        <v>126.07</v>
      </c>
      <c r="K155" s="115" t="n">
        <v>123.83</v>
      </c>
      <c r="L155" s="115" t="n">
        <v>117.6</v>
      </c>
      <c r="M155" s="94">
        <f>IFERROR((H155-J155)/J155,0)</f>
        <v/>
      </c>
      <c r="N155" s="94">
        <f>IFERROR((H155-K155)/K155,0)</f>
        <v/>
      </c>
      <c r="O155" s="94">
        <f>IFERROR((H155-L155)/L155,0)</f>
        <v/>
      </c>
      <c r="P155" s="113" t="n">
        <v>105</v>
      </c>
      <c r="Q155" s="113" t="n">
        <v>190</v>
      </c>
      <c r="R155" s="110" t="inlineStr">
        <is>
          <t>2-5yr</t>
        </is>
      </c>
      <c r="S155" s="110" t="n">
        <v>3</v>
      </c>
      <c r="T155" s="120" t="n"/>
      <c r="U155" s="117">
        <f>MAX(0,MIN(100,50+((M155*0.6)+(N155*0.4))*200))</f>
        <v/>
      </c>
      <c r="V155" s="117">
        <f>MAX(20,MIN(100,50+(P155-H155)/P155*100))</f>
        <v/>
      </c>
      <c r="W155" s="117">
        <f>IFERROR(MAX(0,MIN(100,100-LOG10(T155)*16)),60)</f>
        <v/>
      </c>
      <c r="X155" s="117">
        <f>IF(C155="T2",85,IF(C155="T4",70,IF(C155="T1",65,IF(C155="T3",55,45))))</f>
        <v/>
      </c>
      <c r="Y155" s="118">
        <f>U155*0.55+W155*0.20+V155*0.15+X155*0.10+ROW()/1000000</f>
        <v/>
      </c>
      <c r="Z155" s="101">
        <f>IF(Y155&gt;=75,"STRONG BUY",IF(Y155&gt;=60,"BUY",IF(Y155&gt;=40,"HOLD",IF(Y155&gt;=25,"TRIM","SELL"))))</f>
        <v/>
      </c>
      <c r="AA155" s="119" t="inlineStr">
        <is>
          <t>https://www.pricecharting.com/game/pokemon-surging-sparks/booster-box</t>
        </is>
      </c>
      <c r="AB155" s="102" t="inlineStr">
        <is>
          <t>Pikachu ex SIR chase. Still in print.</t>
        </is>
      </c>
    </row>
    <row r="156" ht="15" customHeight="1" s="81">
      <c r="A156" s="99" t="inlineStr">
        <is>
          <t>S024</t>
        </is>
      </c>
      <c r="B156" s="92" t="inlineStr">
        <is>
          <t>Sealed Modern</t>
        </is>
      </c>
      <c r="C156" s="110" t="inlineStr">
        <is>
          <t>T3</t>
        </is>
      </c>
      <c r="D156" s="92" t="inlineStr">
        <is>
          <t>Prismatic Evolutions ETB</t>
        </is>
      </c>
      <c r="E156" s="92" t="inlineStr">
        <is>
          <t>Prismatic Evolutions</t>
        </is>
      </c>
      <c r="F156" s="110" t="inlineStr">
        <is>
          <t>ETB</t>
        </is>
      </c>
      <c r="G156" s="110" t="inlineStr">
        <is>
          <t>Sealed</t>
        </is>
      </c>
      <c r="H156" s="113" t="n">
        <v>180</v>
      </c>
      <c r="I156" s="114" t="n">
        <v>46153</v>
      </c>
      <c r="J156" s="115" t="n">
        <v>177.87</v>
      </c>
      <c r="K156" s="115" t="n">
        <v>159.36</v>
      </c>
      <c r="L156" s="115" t="n">
        <v>130.47</v>
      </c>
      <c r="M156" s="94">
        <f>IFERROR((H156-J156)/J156,0)</f>
        <v/>
      </c>
      <c r="N156" s="94">
        <f>IFERROR((H156-K156)/K156,0)</f>
        <v/>
      </c>
      <c r="O156" s="94">
        <f>IFERROR((H156-L156)/L156,0)</f>
        <v/>
      </c>
      <c r="P156" s="113" t="n">
        <v>130</v>
      </c>
      <c r="Q156" s="113" t="n">
        <v>260</v>
      </c>
      <c r="R156" s="110" t="inlineStr">
        <is>
          <t>3-5yr</t>
        </is>
      </c>
      <c r="S156" s="110" t="n">
        <v>5</v>
      </c>
      <c r="T156" s="120" t="n"/>
      <c r="U156" s="117">
        <f>MAX(0,MIN(100,50+((M156*0.6)+(N156*0.4))*200))</f>
        <v/>
      </c>
      <c r="V156" s="117">
        <f>MAX(20,MIN(100,50+(P156-H156)/P156*100))</f>
        <v/>
      </c>
      <c r="W156" s="117">
        <f>IFERROR(MAX(0,MIN(100,100-LOG10(T156)*16)),60)</f>
        <v/>
      </c>
      <c r="X156" s="117">
        <f>IF(C156="T2",85,IF(C156="T4",70,IF(C156="T1",65,IF(C156="T3",55,45))))</f>
        <v/>
      </c>
      <c r="Y156" s="118">
        <f>U156*0.55+W156*0.20+V156*0.15+X156*0.10+ROW()/1000000</f>
        <v/>
      </c>
      <c r="Z156" s="101">
        <f>IF(Y156&gt;=75,"STRONG BUY",IF(Y156&gt;=60,"BUY",IF(Y156&gt;=40,"HOLD",IF(Y156&gt;=25,"TRIM","SELL"))))</f>
        <v/>
      </c>
      <c r="AA156" s="119" t="inlineStr">
        <is>
          <t>https://www.pokemonpricetracker.com/blog/posts/prismatic-evolutions-set-review-2026-complete-guide</t>
        </is>
      </c>
      <c r="AB156" s="102" t="inlineStr">
        <is>
          <t>Hottest sealed of 2025-26. OOP since Mar 2025.</t>
        </is>
      </c>
    </row>
    <row r="157" ht="15" customHeight="1" s="81">
      <c r="A157" s="99" t="inlineStr">
        <is>
          <t>S025</t>
        </is>
      </c>
      <c r="B157" s="92" t="inlineStr">
        <is>
          <t>Sealed Modern</t>
        </is>
      </c>
      <c r="C157" s="110" t="inlineStr">
        <is>
          <t>T3</t>
        </is>
      </c>
      <c r="D157" s="92" t="inlineStr">
        <is>
          <t>Prismatic Evolutions Booster Bundle</t>
        </is>
      </c>
      <c r="E157" s="92" t="inlineStr">
        <is>
          <t>Prismatic Evolutions</t>
        </is>
      </c>
      <c r="F157" s="110" t="inlineStr">
        <is>
          <t>Bundle</t>
        </is>
      </c>
      <c r="G157" s="110" t="inlineStr">
        <is>
          <t>Sealed (6 packs)</t>
        </is>
      </c>
      <c r="H157" s="113" t="n">
        <v>90</v>
      </c>
      <c r="I157" s="114" t="n">
        <v>46153</v>
      </c>
      <c r="J157" s="115" t="n">
        <v>86.13</v>
      </c>
      <c r="K157" s="115" t="n">
        <v>79.02</v>
      </c>
      <c r="L157" s="115" t="n">
        <v>69.69</v>
      </c>
      <c r="M157" s="94">
        <f>IFERROR((H157-J157)/J157,0)</f>
        <v/>
      </c>
      <c r="N157" s="94">
        <f>IFERROR((H157-K157)/K157,0)</f>
        <v/>
      </c>
      <c r="O157" s="94">
        <f>IFERROR((H157-L157)/L157,0)</f>
        <v/>
      </c>
      <c r="P157" s="113" t="n">
        <v>70</v>
      </c>
      <c r="Q157" s="113" t="n">
        <v>130</v>
      </c>
      <c r="R157" s="110" t="inlineStr">
        <is>
          <t>3-5yr</t>
        </is>
      </c>
      <c r="S157" s="110" t="n">
        <v>4</v>
      </c>
      <c r="T157" s="120" t="n"/>
      <c r="U157" s="117">
        <f>MAX(0,MIN(100,50+((M157*0.6)+(N157*0.4))*200))</f>
        <v/>
      </c>
      <c r="V157" s="117">
        <f>MAX(20,MIN(100,50+(P157-H157)/P157*100))</f>
        <v/>
      </c>
      <c r="W157" s="117">
        <f>IFERROR(MAX(0,MIN(100,100-LOG10(T157)*16)),60)</f>
        <v/>
      </c>
      <c r="X157" s="117">
        <f>IF(C157="T2",85,IF(C157="T4",70,IF(C157="T1",65,IF(C157="T3",55,45))))</f>
        <v/>
      </c>
      <c r="Y157" s="118">
        <f>U157*0.55+W157*0.20+V157*0.15+X157*0.10+ROW()/1000000</f>
        <v/>
      </c>
      <c r="Z157" s="101">
        <f>IF(Y157&gt;=75,"STRONG BUY",IF(Y157&gt;=60,"BUY",IF(Y157&gt;=40,"HOLD",IF(Y157&gt;=25,"TRIM","SELL"))))</f>
        <v/>
      </c>
      <c r="AA157" s="119" t="inlineStr">
        <is>
          <t>https://www.pricecharting.com/game/pokemon-prismatic-evolutions/booster-bundle</t>
        </is>
      </c>
      <c r="AB157" s="102" t="inlineStr">
        <is>
          <t>PE Bundle. Easier to liquidate than ETB.</t>
        </is>
      </c>
    </row>
    <row r="158" ht="15" customHeight="1" s="81">
      <c r="A158" s="99" t="inlineStr">
        <is>
          <t>S026</t>
        </is>
      </c>
      <c r="B158" s="92" t="inlineStr">
        <is>
          <t>Sealed Modern</t>
        </is>
      </c>
      <c r="C158" s="110" t="inlineStr">
        <is>
          <t>T3</t>
        </is>
      </c>
      <c r="D158" s="92" t="inlineStr">
        <is>
          <t>Mega Evolution (ME01) BB</t>
        </is>
      </c>
      <c r="E158" s="92" t="inlineStr">
        <is>
          <t>Mega Evolution (ME01)</t>
        </is>
      </c>
      <c r="F158" s="110" t="inlineStr">
        <is>
          <t>Box</t>
        </is>
      </c>
      <c r="G158" s="110" t="inlineStr">
        <is>
          <t>Sealed</t>
        </is>
      </c>
      <c r="H158" s="113" t="n">
        <v>175</v>
      </c>
      <c r="I158" s="114" t="n">
        <v>46153</v>
      </c>
      <c r="J158" s="115" t="n">
        <v>169.47</v>
      </c>
      <c r="K158" s="115" t="n">
        <v>146.45</v>
      </c>
      <c r="L158" s="115" t="n">
        <v>123.07</v>
      </c>
      <c r="M158" s="94">
        <f>IFERROR((H158-J158)/J158,0)</f>
        <v/>
      </c>
      <c r="N158" s="94">
        <f>IFERROR((H158-K158)/K158,0)</f>
        <v/>
      </c>
      <c r="O158" s="94">
        <f>IFERROR((H158-L158)/L158,0)</f>
        <v/>
      </c>
      <c r="P158" s="113" t="n">
        <v>140</v>
      </c>
      <c r="Q158" s="113" t="n">
        <v>260</v>
      </c>
      <c r="R158" s="110" t="inlineStr">
        <is>
          <t>3-5yr</t>
        </is>
      </c>
      <c r="S158" s="110" t="n">
        <v>5</v>
      </c>
      <c r="T158" s="120" t="n"/>
      <c r="U158" s="117">
        <f>MAX(0,MIN(100,50+((M158*0.6)+(N158*0.4))*200))</f>
        <v/>
      </c>
      <c r="V158" s="117">
        <f>MAX(20,MIN(100,50+(P158-H158)/P158*100))</f>
        <v/>
      </c>
      <c r="W158" s="117">
        <f>IFERROR(MAX(0,MIN(100,100-LOG10(T158)*16)),60)</f>
        <v/>
      </c>
      <c r="X158" s="117">
        <f>IF(C158="T2",85,IF(C158="T4",70,IF(C158="T1",65,IF(C158="T3",55,45))))</f>
        <v/>
      </c>
      <c r="Y158" s="118">
        <f>U158*0.55+W158*0.20+V158*0.15+X158*0.10+ROW()/1000000</f>
        <v/>
      </c>
      <c r="Z158" s="101">
        <f>IF(Y158&gt;=75,"STRONG BUY",IF(Y158&gt;=60,"BUY",IF(Y158&gt;=40,"HOLD",IF(Y158&gt;=25,"TRIM","SELL"))))</f>
        <v/>
      </c>
      <c r="AA158" s="119" t="inlineStr">
        <is>
          <t>https://www.pricecharting.com/game/pokemon-mega-evolution/booster-box</t>
        </is>
      </c>
      <c r="AB158" s="102" t="inlineStr">
        <is>
          <t>Mega Evolution debut. +18%/30D. In demand.</t>
        </is>
      </c>
    </row>
    <row r="159" ht="23.25" customHeight="1" s="81">
      <c r="A159" s="99" t="inlineStr">
        <is>
          <t>S027</t>
        </is>
      </c>
      <c r="B159" s="92" t="inlineStr">
        <is>
          <t>Sealed Modern</t>
        </is>
      </c>
      <c r="C159" s="110" t="inlineStr">
        <is>
          <t>T3</t>
        </is>
      </c>
      <c r="D159" s="92" t="inlineStr">
        <is>
          <t>Ascended Heroes (ME2.5) BB</t>
        </is>
      </c>
      <c r="E159" s="92" t="inlineStr">
        <is>
          <t>Ascended Heroes</t>
        </is>
      </c>
      <c r="F159" s="110" t="inlineStr">
        <is>
          <t>Box</t>
        </is>
      </c>
      <c r="G159" s="110" t="inlineStr">
        <is>
          <t>Sealed</t>
        </is>
      </c>
      <c r="H159" s="113" t="n">
        <v>200</v>
      </c>
      <c r="I159" s="114" t="n">
        <v>46153</v>
      </c>
      <c r="J159" s="115" t="n">
        <v>193.43</v>
      </c>
      <c r="K159" s="115" t="n">
        <v>167.6</v>
      </c>
      <c r="L159" s="115" t="n">
        <v>134.93</v>
      </c>
      <c r="M159" s="94">
        <f>IFERROR((H159-J159)/J159,0)</f>
        <v/>
      </c>
      <c r="N159" s="94">
        <f>IFERROR((H159-K159)/K159,0)</f>
        <v/>
      </c>
      <c r="O159" s="94">
        <f>IFERROR((H159-L159)/L159,0)</f>
        <v/>
      </c>
      <c r="P159" s="113" t="n">
        <v>160</v>
      </c>
      <c r="Q159" s="113" t="n">
        <v>290</v>
      </c>
      <c r="R159" s="110" t="inlineStr">
        <is>
          <t>2-5yr</t>
        </is>
      </c>
      <c r="S159" s="110" t="n">
        <v>5</v>
      </c>
      <c r="T159" s="120" t="n"/>
      <c r="U159" s="117">
        <f>MAX(0,MIN(100,50+((M159*0.6)+(N159*0.4))*200))</f>
        <v/>
      </c>
      <c r="V159" s="117">
        <f>MAX(20,MIN(100,50+(P159-H159)/P159*100))</f>
        <v/>
      </c>
      <c r="W159" s="117">
        <f>IFERROR(MAX(0,MIN(100,100-LOG10(T159)*16)),60)</f>
        <v/>
      </c>
      <c r="X159" s="117">
        <f>IF(C159="T2",85,IF(C159="T4",70,IF(C159="T1",65,IF(C159="T3",55,45))))</f>
        <v/>
      </c>
      <c r="Y159" s="118">
        <f>U159*0.55+W159*0.20+V159*0.15+X159*0.10+ROW()/1000000</f>
        <v/>
      </c>
      <c r="Z159" s="101">
        <f>IF(Y159&gt;=75,"STRONG BUY",IF(Y159&gt;=60,"BUY",IF(Y159&gt;=40,"HOLD",IF(Y159&gt;=25,"TRIM","SELL"))))</f>
        <v/>
      </c>
      <c r="AA159" s="119" t="inlineStr">
        <is>
          <t>https://www.pricecharting.com/game/pokemon-ascended-heroes/booster-box</t>
        </is>
      </c>
      <c r="AB159" s="102" t="inlineStr">
        <is>
          <t>Mega Gengar SIR chase + biggest set ever. Top sealed momentum.</t>
        </is>
      </c>
    </row>
    <row r="160" ht="23.25" customHeight="1" s="81">
      <c r="A160" s="99" t="inlineStr">
        <is>
          <t>S028</t>
        </is>
      </c>
      <c r="B160" s="92" t="inlineStr">
        <is>
          <t>Sealed Modern</t>
        </is>
      </c>
      <c r="C160" s="110" t="inlineStr">
        <is>
          <t>T3</t>
        </is>
      </c>
      <c r="D160" s="92" t="inlineStr">
        <is>
          <t>Pokemon Day 2026 Collection</t>
        </is>
      </c>
      <c r="E160" s="92" t="inlineStr">
        <is>
          <t>30th Anniversary</t>
        </is>
      </c>
      <c r="F160" s="110" t="inlineStr">
        <is>
          <t>Promo Box</t>
        </is>
      </c>
      <c r="G160" s="110" t="inlineStr">
        <is>
          <t>Sealed</t>
        </is>
      </c>
      <c r="H160" s="113" t="n">
        <v>30</v>
      </c>
      <c r="I160" s="114" t="n">
        <v>46153</v>
      </c>
      <c r="J160" s="115" t="n">
        <v>29.18</v>
      </c>
      <c r="K160" s="115" t="n">
        <v>27.15</v>
      </c>
      <c r="L160" s="115" t="n">
        <v>23.82</v>
      </c>
      <c r="M160" s="94">
        <f>IFERROR((H160-J160)/J160,0)</f>
        <v/>
      </c>
      <c r="N160" s="94">
        <f>IFERROR((H160-K160)/K160,0)</f>
        <v/>
      </c>
      <c r="O160" s="94">
        <f>IFERROR((H160-L160)/L160,0)</f>
        <v/>
      </c>
      <c r="P160" s="113" t="n">
        <v>22</v>
      </c>
      <c r="Q160" s="113" t="n">
        <v>45</v>
      </c>
      <c r="R160" s="110" t="inlineStr">
        <is>
          <t>1-3yr</t>
        </is>
      </c>
      <c r="S160" s="110" t="n">
        <v>3</v>
      </c>
      <c r="T160" s="120" t="n"/>
      <c r="U160" s="117">
        <f>MAX(0,MIN(100,50+((M160*0.6)+(N160*0.4))*200))</f>
        <v/>
      </c>
      <c r="V160" s="117">
        <f>MAX(20,MIN(100,50+(P160-H160)/P160*100))</f>
        <v/>
      </c>
      <c r="W160" s="117">
        <f>IFERROR(MAX(0,MIN(100,100-LOG10(T160)*16)),60)</f>
        <v/>
      </c>
      <c r="X160" s="117">
        <f>IF(C160="T2",85,IF(C160="T4",70,IF(C160="T1",65,IF(C160="T3",55,45))))</f>
        <v/>
      </c>
      <c r="Y160" s="118">
        <f>U160*0.55+W160*0.20+V160*0.15+X160*0.10+ROW()/1000000</f>
        <v/>
      </c>
      <c r="Z160" s="101">
        <f>IF(Y160&gt;=75,"STRONG BUY",IF(Y160&gt;=60,"BUY",IF(Y160&gt;=40,"HOLD",IF(Y160&gt;=25,"TRIM","SELL"))))</f>
        <v/>
      </c>
      <c r="AA160" s="119" t="inlineStr">
        <is>
          <t>https://www.pricecharting.com/game/pokemon-promo/pokemon-day-2026-collection-box</t>
        </is>
      </c>
      <c r="AB160" s="102" t="inlineStr">
        <is>
          <t>MSRP $15 -&gt; $25-35. Bulk flip play. Buy 10+.</t>
        </is>
      </c>
    </row>
    <row r="161" ht="15" customHeight="1" s="81">
      <c r="A161" s="99" t="inlineStr">
        <is>
          <t>S029</t>
        </is>
      </c>
      <c r="B161" s="92" t="inlineStr">
        <is>
          <t>Sealed Modern</t>
        </is>
      </c>
      <c r="C161" s="110" t="inlineStr">
        <is>
          <t>T3</t>
        </is>
      </c>
      <c r="D161" s="92" t="inlineStr">
        <is>
          <t>30th Anniversary ETB</t>
        </is>
      </c>
      <c r="E161" s="92" t="inlineStr">
        <is>
          <t>30th Anniversary Promo</t>
        </is>
      </c>
      <c r="F161" s="110" t="inlineStr">
        <is>
          <t>ETB</t>
        </is>
      </c>
      <c r="G161" s="110" t="inlineStr">
        <is>
          <t>Sealed</t>
        </is>
      </c>
      <c r="H161" s="113" t="n">
        <v>70</v>
      </c>
      <c r="I161" s="114" t="n">
        <v>46153</v>
      </c>
      <c r="J161" s="115" t="n">
        <v>67.02</v>
      </c>
      <c r="K161" s="115" t="n">
        <v>60.3</v>
      </c>
      <c r="L161" s="115" t="n">
        <v>51.64</v>
      </c>
      <c r="M161" s="94">
        <f>IFERROR((H161-J161)/J161,0)</f>
        <v/>
      </c>
      <c r="N161" s="94">
        <f>IFERROR((H161-K161)/K161,0)</f>
        <v/>
      </c>
      <c r="O161" s="94">
        <f>IFERROR((H161-L161)/L161,0)</f>
        <v/>
      </c>
      <c r="P161" s="113" t="n">
        <v>55</v>
      </c>
      <c r="Q161" s="113" t="n">
        <v>110</v>
      </c>
      <c r="R161" s="110" t="inlineStr">
        <is>
          <t>1-3yr</t>
        </is>
      </c>
      <c r="S161" s="110" t="n">
        <v>4</v>
      </c>
      <c r="T161" s="120" t="n"/>
      <c r="U161" s="117">
        <f>MAX(0,MIN(100,50+((M161*0.6)+(N161*0.4))*200))</f>
        <v/>
      </c>
      <c r="V161" s="117">
        <f>MAX(20,MIN(100,50+(P161-H161)/P161*100))</f>
        <v/>
      </c>
      <c r="W161" s="117">
        <f>IFERROR(MAX(0,MIN(100,100-LOG10(T161)*16)),60)</f>
        <v/>
      </c>
      <c r="X161" s="117">
        <f>IF(C161="T2",85,IF(C161="T4",70,IF(C161="T1",65,IF(C161="T3",55,45))))</f>
        <v/>
      </c>
      <c r="Y161" s="118">
        <f>U161*0.55+W161*0.20+V161*0.15+X161*0.10+ROW()/1000000</f>
        <v/>
      </c>
      <c r="Z161" s="101">
        <f>IF(Y161&gt;=75,"STRONG BUY",IF(Y161&gt;=60,"BUY",IF(Y161&gt;=40,"HOLD",IF(Y161&gt;=25,"TRIM","SELL"))))</f>
        <v/>
      </c>
      <c r="AA161" s="119" t="inlineStr">
        <is>
          <t>https://www.pricecharting.com/game/pokemon-promo/30th-anniversary-etb</t>
        </is>
      </c>
      <c r="AB161" s="102" t="inlineStr">
        <is>
          <t>Up 15%/30D. Hot anniversary tie-in.</t>
        </is>
      </c>
    </row>
    <row r="162" ht="15" customHeight="1" s="81">
      <c r="A162" s="99" t="inlineStr">
        <is>
          <t>S030</t>
        </is>
      </c>
      <c r="B162" s="92" t="inlineStr">
        <is>
          <t>Sealed Modern</t>
        </is>
      </c>
      <c r="C162" s="110" t="inlineStr">
        <is>
          <t>T3</t>
        </is>
      </c>
      <c r="D162" s="92" t="inlineStr">
        <is>
          <t>Charizard ex Premium Collection</t>
        </is>
      </c>
      <c r="E162" s="92" t="inlineStr">
        <is>
          <t>Black Star Promo</t>
        </is>
      </c>
      <c r="F162" s="110" t="inlineStr">
        <is>
          <t>Premium</t>
        </is>
      </c>
      <c r="G162" s="110" t="inlineStr">
        <is>
          <t>Sealed</t>
        </is>
      </c>
      <c r="H162" s="113" t="n">
        <v>65</v>
      </c>
      <c r="I162" s="114" t="n">
        <v>46153</v>
      </c>
      <c r="J162" s="115" t="n">
        <v>63.98</v>
      </c>
      <c r="K162" s="115" t="n">
        <v>61.96</v>
      </c>
      <c r="L162" s="115" t="n">
        <v>57.56</v>
      </c>
      <c r="M162" s="94">
        <f>IFERROR((H162-J162)/J162,0)</f>
        <v/>
      </c>
      <c r="N162" s="94">
        <f>IFERROR((H162-K162)/K162,0)</f>
        <v/>
      </c>
      <c r="O162" s="94">
        <f>IFERROR((H162-L162)/L162,0)</f>
        <v/>
      </c>
      <c r="P162" s="113" t="n">
        <v>50</v>
      </c>
      <c r="Q162" s="113" t="n">
        <v>95</v>
      </c>
      <c r="R162" s="110" t="inlineStr">
        <is>
          <t>2-5yr</t>
        </is>
      </c>
      <c r="S162" s="110" t="n">
        <v>3</v>
      </c>
      <c r="T162" s="120" t="n"/>
      <c r="U162" s="117">
        <f>MAX(0,MIN(100,50+((M162*0.6)+(N162*0.4))*200))</f>
        <v/>
      </c>
      <c r="V162" s="117">
        <f>MAX(20,MIN(100,50+(P162-H162)/P162*100))</f>
        <v/>
      </c>
      <c r="W162" s="117">
        <f>IFERROR(MAX(0,MIN(100,100-LOG10(T162)*16)),60)</f>
        <v/>
      </c>
      <c r="X162" s="117">
        <f>IF(C162="T2",85,IF(C162="T4",70,IF(C162="T1",65,IF(C162="T3",55,45))))</f>
        <v/>
      </c>
      <c r="Y162" s="118">
        <f>U162*0.55+W162*0.20+V162*0.15+X162*0.10+ROW()/1000000</f>
        <v/>
      </c>
      <c r="Z162" s="101">
        <f>IF(Y162&gt;=75,"STRONG BUY",IF(Y162&gt;=60,"BUY",IF(Y162&gt;=40,"HOLD",IF(Y162&gt;=25,"TRIM","SELL"))))</f>
        <v/>
      </c>
      <c r="AA162" s="119" t="inlineStr">
        <is>
          <t>https://www.pricecharting.com/game/pokemon-promo/charizard-ex-premium-collection</t>
        </is>
      </c>
      <c r="AB162" s="102" t="inlineStr">
        <is>
          <t>Charizard floor collection.</t>
        </is>
      </c>
    </row>
    <row r="163" ht="23.25" customHeight="1" s="81">
      <c r="A163" s="99" t="inlineStr">
        <is>
          <t>S031</t>
        </is>
      </c>
      <c r="B163" s="92" t="inlineStr">
        <is>
          <t>Sealed Modern</t>
        </is>
      </c>
      <c r="C163" s="110" t="inlineStr">
        <is>
          <t>T3</t>
        </is>
      </c>
      <c r="D163" s="92" t="inlineStr">
        <is>
          <t>Mew Ultra-Premium Collection</t>
        </is>
      </c>
      <c r="E163" s="92" t="inlineStr">
        <is>
          <t>Promo</t>
        </is>
      </c>
      <c r="F163" s="110" t="inlineStr">
        <is>
          <t>UPC</t>
        </is>
      </c>
      <c r="G163" s="110" t="inlineStr">
        <is>
          <t>Sealed</t>
        </is>
      </c>
      <c r="H163" s="113" t="n">
        <v>380</v>
      </c>
      <c r="I163" s="114" t="n">
        <v>46153</v>
      </c>
      <c r="J163" s="115" t="n">
        <v>368.46</v>
      </c>
      <c r="K163" s="115" t="n">
        <v>351.03</v>
      </c>
      <c r="L163" s="115" t="n">
        <v>311.59</v>
      </c>
      <c r="M163" s="94">
        <f>IFERROR((H163-J163)/J163,0)</f>
        <v/>
      </c>
      <c r="N163" s="94">
        <f>IFERROR((H163-K163)/K163,0)</f>
        <v/>
      </c>
      <c r="O163" s="94">
        <f>IFERROR((H163-L163)/L163,0)</f>
        <v/>
      </c>
      <c r="P163" s="113" t="n">
        <v>290</v>
      </c>
      <c r="Q163" s="113" t="n">
        <v>550</v>
      </c>
      <c r="R163" s="110" t="inlineStr">
        <is>
          <t>3-5yr</t>
        </is>
      </c>
      <c r="S163" s="110" t="n">
        <v>4</v>
      </c>
      <c r="T163" s="120" t="n"/>
      <c r="U163" s="117">
        <f>MAX(0,MIN(100,50+((M163*0.6)+(N163*0.4))*200))</f>
        <v/>
      </c>
      <c r="V163" s="117">
        <f>MAX(20,MIN(100,50+(P163-H163)/P163*100))</f>
        <v/>
      </c>
      <c r="W163" s="117">
        <f>IFERROR(MAX(0,MIN(100,100-LOG10(T163)*16)),60)</f>
        <v/>
      </c>
      <c r="X163" s="117">
        <f>IF(C163="T2",85,IF(C163="T4",70,IF(C163="T1",65,IF(C163="T3",55,45))))</f>
        <v/>
      </c>
      <c r="Y163" s="118">
        <f>U163*0.55+W163*0.20+V163*0.15+X163*0.10+ROW()/1000000</f>
        <v/>
      </c>
      <c r="Z163" s="101">
        <f>IF(Y163&gt;=75,"STRONG BUY",IF(Y163&gt;=60,"BUY",IF(Y163&gt;=40,"HOLD",IF(Y163&gt;=25,"TRIM","SELL"))))</f>
        <v/>
      </c>
      <c r="AA163" s="119" t="inlineStr">
        <is>
          <t>https://www.pricecharting.com/game/pokemon-promo/mew-ultra-premium-collection</t>
        </is>
      </c>
      <c r="AB163" s="102" t="inlineStr">
        <is>
          <t>Mew UPC - includes Mew metal card, premium product.</t>
        </is>
      </c>
    </row>
    <row r="164" ht="15" customHeight="1" s="81">
      <c r="A164" s="99" t="inlineStr">
        <is>
          <t>S032</t>
        </is>
      </c>
      <c r="B164" s="92" t="inlineStr">
        <is>
          <t>Sealed Modern</t>
        </is>
      </c>
      <c r="C164" s="110" t="inlineStr">
        <is>
          <t>T3</t>
        </is>
      </c>
      <c r="D164" s="92" t="inlineStr">
        <is>
          <t>Crown Zenith Tin</t>
        </is>
      </c>
      <c r="E164" s="92" t="inlineStr">
        <is>
          <t>Crown Zenith</t>
        </is>
      </c>
      <c r="F164" s="110" t="inlineStr">
        <is>
          <t>Tin</t>
        </is>
      </c>
      <c r="G164" s="110" t="inlineStr">
        <is>
          <t>Sealed</t>
        </is>
      </c>
      <c r="H164" s="113" t="n">
        <v>40</v>
      </c>
      <c r="I164" s="114" t="n">
        <v>46153</v>
      </c>
      <c r="J164" s="115" t="n">
        <v>40.21</v>
      </c>
      <c r="K164" s="115" t="n">
        <v>38.61</v>
      </c>
      <c r="L164" s="115" t="n">
        <v>35.78</v>
      </c>
      <c r="M164" s="94">
        <f>IFERROR((H164-J164)/J164,0)</f>
        <v/>
      </c>
      <c r="N164" s="94">
        <f>IFERROR((H164-K164)/K164,0)</f>
        <v/>
      </c>
      <c r="O164" s="94">
        <f>IFERROR((H164-L164)/L164,0)</f>
        <v/>
      </c>
      <c r="P164" s="113" t="n">
        <v>32</v>
      </c>
      <c r="Q164" s="113" t="n">
        <v>60</v>
      </c>
      <c r="R164" s="110" t="inlineStr">
        <is>
          <t>2-5yr</t>
        </is>
      </c>
      <c r="S164" s="110" t="n">
        <v>3</v>
      </c>
      <c r="T164" s="120" t="n"/>
      <c r="U164" s="117">
        <f>MAX(0,MIN(100,50+((M164*0.6)+(N164*0.4))*200))</f>
        <v/>
      </c>
      <c r="V164" s="117">
        <f>MAX(20,MIN(100,50+(P164-H164)/P164*100))</f>
        <v/>
      </c>
      <c r="W164" s="117">
        <f>IFERROR(MAX(0,MIN(100,100-LOG10(T164)*16)),60)</f>
        <v/>
      </c>
      <c r="X164" s="117">
        <f>IF(C164="T2",85,IF(C164="T4",70,IF(C164="T1",65,IF(C164="T3",55,45))))</f>
        <v/>
      </c>
      <c r="Y164" s="118">
        <f>U164*0.55+W164*0.20+V164*0.15+X164*0.10+ROW()/1000000</f>
        <v/>
      </c>
      <c r="Z164" s="101">
        <f>IF(Y164&gt;=75,"STRONG BUY",IF(Y164&gt;=60,"BUY",IF(Y164&gt;=40,"HOLD",IF(Y164&gt;=25,"TRIM","SELL"))))</f>
        <v/>
      </c>
      <c r="AA164" s="119" t="inlineStr">
        <is>
          <t>https://www.pricecharting.com/game/pokemon-crown-zenith/tin</t>
        </is>
      </c>
      <c r="AB164" s="102" t="inlineStr">
        <is>
          <t>Low-ticket CZ exposure.</t>
        </is>
      </c>
    </row>
    <row r="165" ht="15" customHeight="1" s="81">
      <c r="A165" s="99" t="inlineStr">
        <is>
          <t>X001</t>
        </is>
      </c>
      <c r="B165" s="92" t="inlineStr">
        <is>
          <t>Modern Chase PSA 10</t>
        </is>
      </c>
      <c r="C165" s="110" t="inlineStr">
        <is>
          <t>T5</t>
        </is>
      </c>
      <c r="D165" s="92" t="inlineStr">
        <is>
          <t>Iono SIR</t>
        </is>
      </c>
      <c r="E165" s="92" t="inlineStr">
        <is>
          <t>Paldea Evolved</t>
        </is>
      </c>
      <c r="F165" s="110" t="inlineStr">
        <is>
          <t>269/193</t>
        </is>
      </c>
      <c r="G165" s="110" t="inlineStr">
        <is>
          <t>Raw NM</t>
        </is>
      </c>
      <c r="H165" s="113" t="n">
        <v>80</v>
      </c>
      <c r="I165" s="114" t="n">
        <v>46153</v>
      </c>
      <c r="J165" s="115" t="n">
        <v>78.18000000000001</v>
      </c>
      <c r="K165" s="115" t="n">
        <v>73.06</v>
      </c>
      <c r="L165" s="115" t="n">
        <v>67.67</v>
      </c>
      <c r="M165" s="94">
        <f>IFERROR((H165-J165)/J165,0)</f>
        <v/>
      </c>
      <c r="N165" s="94">
        <f>IFERROR((H165-K165)/K165,0)</f>
        <v/>
      </c>
      <c r="O165" s="94">
        <f>IFERROR((H165-L165)/L165,0)</f>
        <v/>
      </c>
      <c r="P165" s="113" t="n">
        <v>60</v>
      </c>
      <c r="Q165" s="113" t="n">
        <v>130</v>
      </c>
      <c r="R165" s="110" t="inlineStr">
        <is>
          <t>1-3yr</t>
        </is>
      </c>
      <c r="S165" s="110" t="n">
        <v>3</v>
      </c>
      <c r="T165" s="120" t="n"/>
      <c r="U165" s="117">
        <f>MAX(0,MIN(100,50+((M165*0.6)+(N165*0.4))*200))</f>
        <v/>
      </c>
      <c r="V165" s="117">
        <f>MAX(20,MIN(100,50+(P165-H165)/P165*100))</f>
        <v/>
      </c>
      <c r="W165" s="117">
        <f>IFERROR(MAX(0,MIN(100,100-LOG10(T165)*16)),60)</f>
        <v/>
      </c>
      <c r="X165" s="117">
        <f>IF(C165="T2",85,IF(C165="T4",70,IF(C165="T1",65,IF(C165="T3",55,45))))</f>
        <v/>
      </c>
      <c r="Y165" s="118">
        <f>U165*0.55+W165*0.20+V165*0.15+X165*0.10+ROW()/1000000</f>
        <v/>
      </c>
      <c r="Z165" s="101">
        <f>IF(Y165&gt;=75,"STRONG BUY",IF(Y165&gt;=60,"BUY",IF(Y165&gt;=40,"HOLD",IF(Y165&gt;=25,"TRIM","SELL"))))</f>
        <v/>
      </c>
      <c r="AA165" s="119" t="inlineStr">
        <is>
          <t>https://www.pricecharting.com/game/pokemon-paldea-evolved/iono-237</t>
        </is>
      </c>
      <c r="AB165" s="102" t="inlineStr">
        <is>
          <t>Raw Iono. Grade and flip.</t>
        </is>
      </c>
    </row>
    <row r="166" ht="23.25" customHeight="1" s="81">
      <c r="A166" s="99" t="inlineStr">
        <is>
          <t>X002</t>
        </is>
      </c>
      <c r="B166" s="92" t="inlineStr">
        <is>
          <t>Modern Chase PSA 10</t>
        </is>
      </c>
      <c r="C166" s="110" t="inlineStr">
        <is>
          <t>T5</t>
        </is>
      </c>
      <c r="D166" s="92" t="inlineStr">
        <is>
          <t>Pikachu V-Union Promo</t>
        </is>
      </c>
      <c r="E166" s="92" t="inlineStr">
        <is>
          <t>SWSH Promos</t>
        </is>
      </c>
      <c r="F166" s="110" t="inlineStr">
        <is>
          <t>SWSH212-215</t>
        </is>
      </c>
      <c r="G166" s="110" t="inlineStr">
        <is>
          <t>PSA 10 set</t>
        </is>
      </c>
      <c r="H166" s="113" t="n">
        <v>220</v>
      </c>
      <c r="I166" s="114" t="n">
        <v>46153</v>
      </c>
      <c r="J166" s="115" t="n">
        <v>221.55</v>
      </c>
      <c r="K166" s="115" t="n">
        <v>208.42</v>
      </c>
      <c r="L166" s="115" t="n">
        <v>193.43</v>
      </c>
      <c r="M166" s="94">
        <f>IFERROR((H166-J166)/J166,0)</f>
        <v/>
      </c>
      <c r="N166" s="94">
        <f>IFERROR((H166-K166)/K166,0)</f>
        <v/>
      </c>
      <c r="O166" s="94">
        <f>IFERROR((H166-L166)/L166,0)</f>
        <v/>
      </c>
      <c r="P166" s="113" t="n">
        <v>170</v>
      </c>
      <c r="Q166" s="113" t="n">
        <v>320</v>
      </c>
      <c r="R166" s="110" t="inlineStr">
        <is>
          <t>2-5yr</t>
        </is>
      </c>
      <c r="S166" s="110" t="n">
        <v>3</v>
      </c>
      <c r="T166" s="116" t="n">
        <v>900</v>
      </c>
      <c r="U166" s="117">
        <f>MAX(0,MIN(100,50+((M166*0.6)+(N166*0.4))*200))</f>
        <v/>
      </c>
      <c r="V166" s="117">
        <f>MAX(20,MIN(100,50+(P166-H166)/P166*100))</f>
        <v/>
      </c>
      <c r="W166" s="117">
        <f>IFERROR(MAX(0,MIN(100,100-LOG10(T166)*16)),60)</f>
        <v/>
      </c>
      <c r="X166" s="117">
        <f>IF(C166="T2",85,IF(C166="T4",70,IF(C166="T1",65,IF(C166="T3",55,45))))</f>
        <v/>
      </c>
      <c r="Y166" s="118">
        <f>U166*0.55+W166*0.20+V166*0.15+X166*0.10+ROW()/1000000</f>
        <v/>
      </c>
      <c r="Z166" s="101">
        <f>IF(Y166&gt;=75,"STRONG BUY",IF(Y166&gt;=60,"BUY",IF(Y166&gt;=40,"HOLD",IF(Y166&gt;=25,"TRIM","SELL"))))</f>
        <v/>
      </c>
      <c r="AA166" s="119" t="inlineStr">
        <is>
          <t>https://www.pricecharting.com/game/pokemon-promo/pikachu-v-union</t>
        </is>
      </c>
      <c r="AB166" s="102" t="inlineStr">
        <is>
          <t>V-Union set = 4 cards. Whole-set play.</t>
        </is>
      </c>
    </row>
    <row r="167" ht="15" customHeight="1" s="81">
      <c r="A167" s="99" t="inlineStr">
        <is>
          <t>X003</t>
        </is>
      </c>
      <c r="B167" s="92" t="inlineStr">
        <is>
          <t>Modern Chase PSA 10</t>
        </is>
      </c>
      <c r="C167" s="110" t="inlineStr">
        <is>
          <t>T5</t>
        </is>
      </c>
      <c r="D167" s="92" t="inlineStr">
        <is>
          <t>Marnie Full Art</t>
        </is>
      </c>
      <c r="E167" s="92" t="inlineStr">
        <is>
          <t>Sword &amp; Shield</t>
        </is>
      </c>
      <c r="F167" s="110" t="inlineStr">
        <is>
          <t>200/202</t>
        </is>
      </c>
      <c r="G167" s="110" t="inlineStr">
        <is>
          <t>PSA 10</t>
        </is>
      </c>
      <c r="H167" s="113" t="n">
        <v>240</v>
      </c>
      <c r="I167" s="114" t="n">
        <v>46153</v>
      </c>
      <c r="J167" s="115" t="n">
        <v>233.23</v>
      </c>
      <c r="K167" s="115" t="n">
        <v>226.42</v>
      </c>
      <c r="L167" s="115" t="n">
        <v>209.33</v>
      </c>
      <c r="M167" s="94">
        <f>IFERROR((H167-J167)/J167,0)</f>
        <v/>
      </c>
      <c r="N167" s="94">
        <f>IFERROR((H167-K167)/K167,0)</f>
        <v/>
      </c>
      <c r="O167" s="94">
        <f>IFERROR((H167-L167)/L167,0)</f>
        <v/>
      </c>
      <c r="P167" s="113" t="n">
        <v>180</v>
      </c>
      <c r="Q167" s="113" t="n">
        <v>350</v>
      </c>
      <c r="R167" s="110" t="inlineStr">
        <is>
          <t>3-5yr</t>
        </is>
      </c>
      <c r="S167" s="110" t="n">
        <v>4</v>
      </c>
      <c r="T167" s="116" t="n">
        <v>1400</v>
      </c>
      <c r="U167" s="117">
        <f>MAX(0,MIN(100,50+((M167*0.6)+(N167*0.4))*200))</f>
        <v/>
      </c>
      <c r="V167" s="117">
        <f>MAX(20,MIN(100,50+(P167-H167)/P167*100))</f>
        <v/>
      </c>
      <c r="W167" s="117">
        <f>IFERROR(MAX(0,MIN(100,100-LOG10(T167)*16)),60)</f>
        <v/>
      </c>
      <c r="X167" s="117">
        <f>IF(C167="T2",85,IF(C167="T4",70,IF(C167="T1",65,IF(C167="T3",55,45))))</f>
        <v/>
      </c>
      <c r="Y167" s="118">
        <f>U167*0.55+W167*0.20+V167*0.15+X167*0.10+ROW()/1000000</f>
        <v/>
      </c>
      <c r="Z167" s="101">
        <f>IF(Y167&gt;=75,"STRONG BUY",IF(Y167&gt;=60,"BUY",IF(Y167&gt;=40,"HOLD",IF(Y167&gt;=25,"TRIM","SELL"))))</f>
        <v/>
      </c>
      <c r="AA167" s="119" t="inlineStr">
        <is>
          <t>https://www.pricecharting.com/game/pokemon-sword-and-shield/marnie-full-art-200</t>
        </is>
      </c>
      <c r="AB167" s="102" t="inlineStr">
        <is>
          <t>OG Marnie - the prototype trainer waifu card.</t>
        </is>
      </c>
    </row>
    <row r="168" ht="15" customHeight="1" s="81">
      <c r="A168" s="99" t="inlineStr">
        <is>
          <t>X004</t>
        </is>
      </c>
      <c r="B168" s="92" t="inlineStr">
        <is>
          <t>Modern Chase PSA 10</t>
        </is>
      </c>
      <c r="C168" s="110" t="inlineStr">
        <is>
          <t>T5</t>
        </is>
      </c>
      <c r="D168" s="92" t="inlineStr">
        <is>
          <t>Cynthia Full Art</t>
        </is>
      </c>
      <c r="E168" s="92" t="inlineStr">
        <is>
          <t>Ultra Prism</t>
        </is>
      </c>
      <c r="F168" s="110" t="inlineStr">
        <is>
          <t>148/156</t>
        </is>
      </c>
      <c r="G168" s="110" t="inlineStr">
        <is>
          <t>PSA 10</t>
        </is>
      </c>
      <c r="H168" s="113" t="n">
        <v>380</v>
      </c>
      <c r="I168" s="114" t="n">
        <v>46153</v>
      </c>
      <c r="J168" s="115" t="n">
        <v>381.02</v>
      </c>
      <c r="K168" s="115" t="n">
        <v>368.97</v>
      </c>
      <c r="L168" s="115" t="n">
        <v>340.4</v>
      </c>
      <c r="M168" s="94">
        <f>IFERROR((H168-J168)/J168,0)</f>
        <v/>
      </c>
      <c r="N168" s="94">
        <f>IFERROR((H168-K168)/K168,0)</f>
        <v/>
      </c>
      <c r="O168" s="94">
        <f>IFERROR((H168-L168)/L168,0)</f>
        <v/>
      </c>
      <c r="P168" s="113" t="n">
        <v>290</v>
      </c>
      <c r="Q168" s="113" t="n">
        <v>560</v>
      </c>
      <c r="R168" s="110" t="inlineStr">
        <is>
          <t>5-10yr</t>
        </is>
      </c>
      <c r="S168" s="110" t="n">
        <v>4</v>
      </c>
      <c r="T168" s="116" t="n">
        <v>800</v>
      </c>
      <c r="U168" s="117">
        <f>MAX(0,MIN(100,50+((M168*0.6)+(N168*0.4))*200))</f>
        <v/>
      </c>
      <c r="V168" s="117">
        <f>MAX(20,MIN(100,50+(P168-H168)/P168*100))</f>
        <v/>
      </c>
      <c r="W168" s="117">
        <f>IFERROR(MAX(0,MIN(100,100-LOG10(T168)*16)),60)</f>
        <v/>
      </c>
      <c r="X168" s="117">
        <f>IF(C168="T2",85,IF(C168="T4",70,IF(C168="T1",65,IF(C168="T3",55,45))))</f>
        <v/>
      </c>
      <c r="Y168" s="118">
        <f>U168*0.55+W168*0.20+V168*0.15+X168*0.10+ROW()/1000000</f>
        <v/>
      </c>
      <c r="Z168" s="101">
        <f>IF(Y168&gt;=75,"STRONG BUY",IF(Y168&gt;=60,"BUY",IF(Y168&gt;=40,"HOLD",IF(Y168&gt;=25,"TRIM","SELL"))))</f>
        <v/>
      </c>
      <c r="AA168" s="119" t="inlineStr">
        <is>
          <t>https://www.pricecharting.com/game/pokemon-ultra-prism/cynthia-full-art-148</t>
        </is>
      </c>
      <c r="AB168" s="102" t="inlineStr">
        <is>
          <t>Sinnoh champion. Older sun-set demand.</t>
        </is>
      </c>
    </row>
    <row r="169" ht="15" customHeight="1" s="81">
      <c r="A169" s="99" t="inlineStr">
        <is>
          <t>X005</t>
        </is>
      </c>
      <c r="B169" s="92" t="inlineStr">
        <is>
          <t>Modern Chase PSA 10</t>
        </is>
      </c>
      <c r="C169" s="110" t="inlineStr">
        <is>
          <t>T5</t>
        </is>
      </c>
      <c r="D169" s="92" t="inlineStr">
        <is>
          <t>Erika's Invitation SIR</t>
        </is>
      </c>
      <c r="E169" s="92" t="inlineStr">
        <is>
          <t>151</t>
        </is>
      </c>
      <c r="F169" s="110" t="inlineStr">
        <is>
          <t>203/165</t>
        </is>
      </c>
      <c r="G169" s="110" t="inlineStr">
        <is>
          <t>PSA 10</t>
        </is>
      </c>
      <c r="H169" s="113" t="n">
        <v>280</v>
      </c>
      <c r="I169" s="114" t="n">
        <v>46153</v>
      </c>
      <c r="J169" s="115" t="n">
        <v>276.81</v>
      </c>
      <c r="K169" s="115" t="n">
        <v>262.12</v>
      </c>
      <c r="L169" s="115" t="n">
        <v>233.6</v>
      </c>
      <c r="M169" s="94">
        <f>IFERROR((H169-J169)/J169,0)</f>
        <v/>
      </c>
      <c r="N169" s="94">
        <f>IFERROR((H169-K169)/K169,0)</f>
        <v/>
      </c>
      <c r="O169" s="94">
        <f>IFERROR((H169-L169)/L169,0)</f>
        <v/>
      </c>
      <c r="P169" s="113" t="n">
        <v>220</v>
      </c>
      <c r="Q169" s="113" t="n">
        <v>410</v>
      </c>
      <c r="R169" s="110" t="inlineStr">
        <is>
          <t>3-5yr</t>
        </is>
      </c>
      <c r="S169" s="110" t="n">
        <v>4</v>
      </c>
      <c r="T169" s="116" t="n">
        <v>1500</v>
      </c>
      <c r="U169" s="117">
        <f>MAX(0,MIN(100,50+((M169*0.6)+(N169*0.4))*200))</f>
        <v/>
      </c>
      <c r="V169" s="117">
        <f>MAX(20,MIN(100,50+(P169-H169)/P169*100))</f>
        <v/>
      </c>
      <c r="W169" s="117">
        <f>IFERROR(MAX(0,MIN(100,100-LOG10(T169)*16)),60)</f>
        <v/>
      </c>
      <c r="X169" s="117">
        <f>IF(C169="T2",85,IF(C169="T4",70,IF(C169="T1",65,IF(C169="T3",55,45))))</f>
        <v/>
      </c>
      <c r="Y169" s="118">
        <f>U169*0.55+W169*0.20+V169*0.15+X169*0.10+ROW()/1000000</f>
        <v/>
      </c>
      <c r="Z169" s="101">
        <f>IF(Y169&gt;=75,"STRONG BUY",IF(Y169&gt;=60,"BUY",IF(Y169&gt;=40,"HOLD",IF(Y169&gt;=25,"TRIM","SELL"))))</f>
        <v/>
      </c>
      <c r="AA169" s="119" t="inlineStr">
        <is>
          <t>https://www.tcgplayer.com/product/498104</t>
        </is>
      </c>
      <c r="AB169" s="102" t="inlineStr">
        <is>
          <t>Gym leader SIR. Pairs with Charizard ex SIR.</t>
        </is>
      </c>
    </row>
    <row r="170" ht="23.25" customHeight="1" s="81">
      <c r="A170" s="99" t="inlineStr">
        <is>
          <t>X006</t>
        </is>
      </c>
      <c r="B170" s="92" t="inlineStr">
        <is>
          <t>Modern Chase PSA 10</t>
        </is>
      </c>
      <c r="C170" s="110" t="inlineStr">
        <is>
          <t>T5</t>
        </is>
      </c>
      <c r="D170" s="92" t="inlineStr">
        <is>
          <t>Misty's Determination SIR</t>
        </is>
      </c>
      <c r="E170" s="92" t="inlineStr">
        <is>
          <t>Mega Evolution ME01</t>
        </is>
      </c>
      <c r="F170" s="110" t="inlineStr">
        <is>
          <t>Trainer SIR</t>
        </is>
      </c>
      <c r="G170" s="110" t="inlineStr">
        <is>
          <t>PSA 10</t>
        </is>
      </c>
      <c r="H170" s="113" t="n">
        <v>140</v>
      </c>
      <c r="I170" s="114" t="n">
        <v>46153</v>
      </c>
      <c r="J170" s="115" t="n">
        <v>135.3</v>
      </c>
      <c r="K170" s="115" t="n">
        <v>125.56</v>
      </c>
      <c r="L170" s="115" t="n">
        <v>105.55</v>
      </c>
      <c r="M170" s="94">
        <f>IFERROR((H170-J170)/J170,0)</f>
        <v/>
      </c>
      <c r="N170" s="94">
        <f>IFERROR((H170-K170)/K170,0)</f>
        <v/>
      </c>
      <c r="O170" s="94">
        <f>IFERROR((H170-L170)/L170,0)</f>
        <v/>
      </c>
      <c r="P170" s="113" t="n">
        <v>110</v>
      </c>
      <c r="Q170" s="113" t="n">
        <v>210</v>
      </c>
      <c r="R170" s="110" t="inlineStr">
        <is>
          <t>1-2yr</t>
        </is>
      </c>
      <c r="S170" s="110" t="n">
        <v>3</v>
      </c>
      <c r="T170" s="116" t="n">
        <v>1300</v>
      </c>
      <c r="U170" s="117">
        <f>MAX(0,MIN(100,50+((M170*0.6)+(N170*0.4))*200))</f>
        <v/>
      </c>
      <c r="V170" s="117">
        <f>MAX(20,MIN(100,50+(P170-H170)/P170*100))</f>
        <v/>
      </c>
      <c r="W170" s="117">
        <f>IFERROR(MAX(0,MIN(100,100-LOG10(T170)*16)),60)</f>
        <v/>
      </c>
      <c r="X170" s="117">
        <f>IF(C170="T2",85,IF(C170="T4",70,IF(C170="T1",65,IF(C170="T3",55,45))))</f>
        <v/>
      </c>
      <c r="Y170" s="118">
        <f>U170*0.55+W170*0.20+V170*0.15+X170*0.10+ROW()/1000000</f>
        <v/>
      </c>
      <c r="Z170" s="101">
        <f>IF(Y170&gt;=75,"STRONG BUY",IF(Y170&gt;=60,"BUY",IF(Y170&gt;=40,"HOLD",IF(Y170&gt;=25,"TRIM","SELL"))))</f>
        <v/>
      </c>
      <c r="AA170" s="119" t="inlineStr">
        <is>
          <t>https://www.tcgplayer.com/product/654525</t>
        </is>
      </c>
      <c r="AB170" s="102" t="inlineStr">
        <is>
          <t>Misty version of Lillie SIR. Up 12%/30D.</t>
        </is>
      </c>
    </row>
    <row r="171" ht="15" customHeight="1" s="81">
      <c r="A171" s="99" t="inlineStr">
        <is>
          <t>X007</t>
        </is>
      </c>
      <c r="B171" s="92" t="inlineStr">
        <is>
          <t>Modern Chase PSA 10</t>
        </is>
      </c>
      <c r="C171" s="110" t="inlineStr">
        <is>
          <t>T5</t>
        </is>
      </c>
      <c r="D171" s="92" t="inlineStr">
        <is>
          <t>Mewtwo Wave Holo Promo</t>
        </is>
      </c>
      <c r="E171" s="92" t="inlineStr">
        <is>
          <t>Black Star Promo</t>
        </is>
      </c>
      <c r="F171" s="110" t="inlineStr">
        <is>
          <t>14</t>
        </is>
      </c>
      <c r="G171" s="110" t="inlineStr">
        <is>
          <t>PSA 10</t>
        </is>
      </c>
      <c r="H171" s="113" t="n">
        <v>320</v>
      </c>
      <c r="I171" s="114" t="n">
        <v>46153</v>
      </c>
      <c r="J171" s="115" t="n">
        <v>321.93</v>
      </c>
      <c r="K171" s="115" t="n">
        <v>308.66</v>
      </c>
      <c r="L171" s="115" t="n">
        <v>286.72</v>
      </c>
      <c r="M171" s="94">
        <f>IFERROR((H171-J171)/J171,0)</f>
        <v/>
      </c>
      <c r="N171" s="94">
        <f>IFERROR((H171-K171)/K171,0)</f>
        <v/>
      </c>
      <c r="O171" s="94">
        <f>IFERROR((H171-L171)/L171,0)</f>
        <v/>
      </c>
      <c r="P171" s="113" t="n">
        <v>250</v>
      </c>
      <c r="Q171" s="113" t="n">
        <v>470</v>
      </c>
      <c r="R171" s="110" t="inlineStr">
        <is>
          <t>5-10yr</t>
        </is>
      </c>
      <c r="S171" s="110" t="n">
        <v>4</v>
      </c>
      <c r="T171" s="116" t="n">
        <v>600</v>
      </c>
      <c r="U171" s="117">
        <f>MAX(0,MIN(100,50+((M171*0.6)+(N171*0.4))*200))</f>
        <v/>
      </c>
      <c r="V171" s="117">
        <f>MAX(20,MIN(100,50+(P171-H171)/P171*100))</f>
        <v/>
      </c>
      <c r="W171" s="117">
        <f>IFERROR(MAX(0,MIN(100,100-LOG10(T171)*16)),60)</f>
        <v/>
      </c>
      <c r="X171" s="117">
        <f>IF(C171="T2",85,IF(C171="T4",70,IF(C171="T1",65,IF(C171="T3",55,45))))</f>
        <v/>
      </c>
      <c r="Y171" s="118">
        <f>U171*0.55+W171*0.20+V171*0.15+X171*0.10+ROW()/1000000</f>
        <v/>
      </c>
      <c r="Z171" s="101">
        <f>IF(Y171&gt;=75,"STRONG BUY",IF(Y171&gt;=60,"BUY",IF(Y171&gt;=40,"HOLD",IF(Y171&gt;=25,"TRIM","SELL"))))</f>
        <v/>
      </c>
      <c r="AA171" s="119" t="inlineStr">
        <is>
          <t>https://www.pricecharting.com/game/pokemon-promo/mewtwo-wave-holo</t>
        </is>
      </c>
      <c r="AB171" s="102" t="inlineStr">
        <is>
          <t>Classic 1999 Mewtwo movie promo wave variant.</t>
        </is>
      </c>
    </row>
    <row r="172" ht="23.25" customHeight="1" s="81">
      <c r="A172" s="99" t="inlineStr">
        <is>
          <t>X008</t>
        </is>
      </c>
      <c r="B172" s="92" t="inlineStr">
        <is>
          <t>Modern Chase PSA 10</t>
        </is>
      </c>
      <c r="C172" s="110" t="inlineStr">
        <is>
          <t>T5</t>
        </is>
      </c>
      <c r="D172" s="92" t="inlineStr">
        <is>
          <t>Ancient Mew</t>
        </is>
      </c>
      <c r="E172" s="92" t="inlineStr">
        <is>
          <t>Movie Promo</t>
        </is>
      </c>
      <c r="F172" s="110" t="inlineStr">
        <is>
          <t>Promo</t>
        </is>
      </c>
      <c r="G172" s="110" t="inlineStr">
        <is>
          <t>PSA 10</t>
        </is>
      </c>
      <c r="H172" s="113" t="n">
        <v>180</v>
      </c>
      <c r="I172" s="114" t="n">
        <v>46153</v>
      </c>
      <c r="J172" s="115" t="n">
        <v>179.48</v>
      </c>
      <c r="K172" s="115" t="n">
        <v>173.55</v>
      </c>
      <c r="L172" s="115" t="n">
        <v>165.24</v>
      </c>
      <c r="M172" s="94">
        <f>IFERROR((H172-J172)/J172,0)</f>
        <v/>
      </c>
      <c r="N172" s="94">
        <f>IFERROR((H172-K172)/K172,0)</f>
        <v/>
      </c>
      <c r="O172" s="94">
        <f>IFERROR((H172-L172)/L172,0)</f>
        <v/>
      </c>
      <c r="P172" s="113" t="n">
        <v>140</v>
      </c>
      <c r="Q172" s="113" t="n">
        <v>270</v>
      </c>
      <c r="R172" s="110" t="inlineStr">
        <is>
          <t>2-5yr</t>
        </is>
      </c>
      <c r="S172" s="110" t="n">
        <v>3</v>
      </c>
      <c r="T172" s="116" t="n">
        <v>2200</v>
      </c>
      <c r="U172" s="117">
        <f>MAX(0,MIN(100,50+((M172*0.6)+(N172*0.4))*200))</f>
        <v/>
      </c>
      <c r="V172" s="117">
        <f>MAX(20,MIN(100,50+(P172-H172)/P172*100))</f>
        <v/>
      </c>
      <c r="W172" s="117">
        <f>IFERROR(MAX(0,MIN(100,100-LOG10(T172)*16)),60)</f>
        <v/>
      </c>
      <c r="X172" s="117">
        <f>IF(C172="T2",85,IF(C172="T4",70,IF(C172="T1",65,IF(C172="T3",55,45))))</f>
        <v/>
      </c>
      <c r="Y172" s="118">
        <f>U172*0.55+W172*0.20+V172*0.15+X172*0.10+ROW()/1000000</f>
        <v/>
      </c>
      <c r="Z172" s="101">
        <f>IF(Y172&gt;=75,"STRONG BUY",IF(Y172&gt;=60,"BUY",IF(Y172&gt;=40,"HOLD",IF(Y172&gt;=25,"TRIM","SELL"))))</f>
        <v/>
      </c>
      <c r="AA172" s="119" t="inlineStr">
        <is>
          <t>https://www.pricecharting.com/game/pokemon-promo/ancient-mew</t>
        </is>
      </c>
      <c r="AB172" s="102" t="inlineStr">
        <is>
          <t>Ancient Mew - cultural classic, high pop but always demand.</t>
        </is>
      </c>
    </row>
    <row r="173" ht="23.25" customHeight="1" s="81">
      <c r="A173" s="99" t="inlineStr">
        <is>
          <t>X009</t>
        </is>
      </c>
      <c r="B173" s="92" t="inlineStr">
        <is>
          <t>Modern Chase PSA 10</t>
        </is>
      </c>
      <c r="C173" s="110" t="inlineStr">
        <is>
          <t>T5</t>
        </is>
      </c>
      <c r="D173" s="92" t="inlineStr">
        <is>
          <t>_M Charizard EX Full Art</t>
        </is>
      </c>
      <c r="E173" s="92" t="inlineStr">
        <is>
          <t>Flashfire</t>
        </is>
      </c>
      <c r="F173" s="110" t="inlineStr">
        <is>
          <t>100/106</t>
        </is>
      </c>
      <c r="G173" s="110" t="inlineStr">
        <is>
          <t>PSA 10</t>
        </is>
      </c>
      <c r="H173" s="113" t="n">
        <v>480</v>
      </c>
      <c r="I173" s="114" t="n">
        <v>46153</v>
      </c>
      <c r="J173" s="115" t="n">
        <v>474.54</v>
      </c>
      <c r="K173" s="115" t="n">
        <v>446.82</v>
      </c>
      <c r="L173" s="115" t="n">
        <v>417.6</v>
      </c>
      <c r="M173" s="94">
        <f>IFERROR((H173-J173)/J173,0)</f>
        <v/>
      </c>
      <c r="N173" s="94">
        <f>IFERROR((H173-K173)/K173,0)</f>
        <v/>
      </c>
      <c r="O173" s="94">
        <f>IFERROR((H173-L173)/L173,0)</f>
        <v/>
      </c>
      <c r="P173" s="113" t="n">
        <v>370</v>
      </c>
      <c r="Q173" s="113" t="n">
        <v>700</v>
      </c>
      <c r="R173" s="110" t="inlineStr">
        <is>
          <t>5-10yr</t>
        </is>
      </c>
      <c r="S173" s="110" t="n">
        <v>4</v>
      </c>
      <c r="T173" s="116" t="n">
        <v>700</v>
      </c>
      <c r="U173" s="117">
        <f>MAX(0,MIN(100,50+((M173*0.6)+(N173*0.4))*200))</f>
        <v/>
      </c>
      <c r="V173" s="117">
        <f>MAX(20,MIN(100,50+(P173-H173)/P173*100))</f>
        <v/>
      </c>
      <c r="W173" s="117">
        <f>IFERROR(MAX(0,MIN(100,100-LOG10(T173)*16)),60)</f>
        <v/>
      </c>
      <c r="X173" s="117">
        <f>IF(C173="T2",85,IF(C173="T4",70,IF(C173="T1",65,IF(C173="T3",55,45))))</f>
        <v/>
      </c>
      <c r="Y173" s="118">
        <f>U173*0.55+W173*0.20+V173*0.15+X173*0.10+ROW()/1000000</f>
        <v/>
      </c>
      <c r="Z173" s="101">
        <f>IF(Y173&gt;=75,"STRONG BUY",IF(Y173&gt;=60,"BUY",IF(Y173&gt;=40,"HOLD",IF(Y173&gt;=25,"TRIM","SELL"))))</f>
        <v/>
      </c>
      <c r="AA173" s="119" t="inlineStr">
        <is>
          <t>https://www.pricecharting.com/game/pokemon-flashfire/m-charizard-ex-full-art-100</t>
        </is>
      </c>
      <c r="AB173" s="102" t="inlineStr">
        <is>
          <t>Original Mega Charizard EX (2014). Mega Evo reintro tailwind.</t>
        </is>
      </c>
    </row>
    <row r="174" ht="15" customHeight="1" s="81">
      <c r="A174" s="99" t="inlineStr">
        <is>
          <t>X010</t>
        </is>
      </c>
      <c r="B174" s="92" t="inlineStr">
        <is>
          <t>Modern Chase PSA 10</t>
        </is>
      </c>
      <c r="C174" s="110" t="inlineStr">
        <is>
          <t>T5</t>
        </is>
      </c>
      <c r="D174" s="92" t="inlineStr">
        <is>
          <t>M Rayquaza EX Full Art</t>
        </is>
      </c>
      <c r="E174" s="92" t="inlineStr">
        <is>
          <t>Roaring Skies</t>
        </is>
      </c>
      <c r="F174" s="110" t="inlineStr">
        <is>
          <t>76/108</t>
        </is>
      </c>
      <c r="G174" s="110" t="inlineStr">
        <is>
          <t>PSA 10</t>
        </is>
      </c>
      <c r="H174" s="113" t="n">
        <v>420</v>
      </c>
      <c r="I174" s="114" t="n">
        <v>46153</v>
      </c>
      <c r="J174" s="115" t="n">
        <v>413.14</v>
      </c>
      <c r="K174" s="115" t="n">
        <v>397.51</v>
      </c>
      <c r="L174" s="115" t="n">
        <v>352.97</v>
      </c>
      <c r="M174" s="94">
        <f>IFERROR((H174-J174)/J174,0)</f>
        <v/>
      </c>
      <c r="N174" s="94">
        <f>IFERROR((H174-K174)/K174,0)</f>
        <v/>
      </c>
      <c r="O174" s="94">
        <f>IFERROR((H174-L174)/L174,0)</f>
        <v/>
      </c>
      <c r="P174" s="113" t="n">
        <v>320</v>
      </c>
      <c r="Q174" s="113" t="n">
        <v>620</v>
      </c>
      <c r="R174" s="110" t="inlineStr">
        <is>
          <t>5-10yr</t>
        </is>
      </c>
      <c r="S174" s="110" t="n">
        <v>4</v>
      </c>
      <c r="T174" s="116" t="n">
        <v>650</v>
      </c>
      <c r="U174" s="117">
        <f>MAX(0,MIN(100,50+((M174*0.6)+(N174*0.4))*200))</f>
        <v/>
      </c>
      <c r="V174" s="117">
        <f>MAX(20,MIN(100,50+(P174-H174)/P174*100))</f>
        <v/>
      </c>
      <c r="W174" s="117">
        <f>IFERROR(MAX(0,MIN(100,100-LOG10(T174)*16)),60)</f>
        <v/>
      </c>
      <c r="X174" s="117">
        <f>IF(C174="T2",85,IF(C174="T4",70,IF(C174="T1",65,IF(C174="T3",55,45))))</f>
        <v/>
      </c>
      <c r="Y174" s="118">
        <f>U174*0.55+W174*0.20+V174*0.15+X174*0.10+ROW()/1000000</f>
        <v/>
      </c>
      <c r="Z174" s="101">
        <f>IF(Y174&gt;=75,"STRONG BUY",IF(Y174&gt;=60,"BUY",IF(Y174&gt;=40,"HOLD",IF(Y174&gt;=25,"TRIM","SELL"))))</f>
        <v/>
      </c>
      <c r="AA174" s="119" t="inlineStr">
        <is>
          <t>https://www.pricecharting.com/game/pokemon-roaring-skies/m-rayquaza-ex-full-art-76</t>
        </is>
      </c>
      <c r="AB174" s="102" t="inlineStr">
        <is>
          <t>2015 Mega Rayquaza EX. Mega tide rising.</t>
        </is>
      </c>
    </row>
    <row r="175" ht="23.25" customHeight="1" s="81">
      <c r="A175" s="99" t="inlineStr">
        <is>
          <t>X011</t>
        </is>
      </c>
      <c r="B175" s="92" t="inlineStr">
        <is>
          <t>Modern Chase PSA 10</t>
        </is>
      </c>
      <c r="C175" s="110" t="inlineStr">
        <is>
          <t>T5</t>
        </is>
      </c>
      <c r="D175" s="92" t="inlineStr">
        <is>
          <t>Charizard Star (Delta Species)</t>
        </is>
      </c>
      <c r="E175" s="92" t="inlineStr">
        <is>
          <t>EX Crystal Guardians</t>
        </is>
      </c>
      <c r="F175" s="110" t="inlineStr">
        <is>
          <t>100/100</t>
        </is>
      </c>
      <c r="G175" s="110" t="inlineStr">
        <is>
          <t>PSA 9</t>
        </is>
      </c>
      <c r="H175" s="113" t="n">
        <v>1100</v>
      </c>
      <c r="I175" s="114" t="n">
        <v>46153</v>
      </c>
      <c r="J175" s="115" t="n">
        <v>1088.44</v>
      </c>
      <c r="K175" s="115" t="n">
        <v>1053.19</v>
      </c>
      <c r="L175" s="115" t="n">
        <v>978.83</v>
      </c>
      <c r="M175" s="94">
        <f>IFERROR((H175-J175)/J175,0)</f>
        <v/>
      </c>
      <c r="N175" s="94">
        <f>IFERROR((H175-K175)/K175,0)</f>
        <v/>
      </c>
      <c r="O175" s="94">
        <f>IFERROR((H175-L175)/L175,0)</f>
        <v/>
      </c>
      <c r="P175" s="113" t="n">
        <v>850</v>
      </c>
      <c r="Q175" s="113" t="n">
        <v>1600</v>
      </c>
      <c r="R175" s="110" t="inlineStr">
        <is>
          <t>5-10yr</t>
        </is>
      </c>
      <c r="S175" s="110" t="n">
        <v>4</v>
      </c>
      <c r="T175" s="116" t="n">
        <v>280</v>
      </c>
      <c r="U175" s="117">
        <f>MAX(0,MIN(100,50+((M175*0.6)+(N175*0.4))*200))</f>
        <v/>
      </c>
      <c r="V175" s="117">
        <f>MAX(20,MIN(100,50+(P175-H175)/P175*100))</f>
        <v/>
      </c>
      <c r="W175" s="117">
        <f>IFERROR(MAX(0,MIN(100,100-LOG10(T175)*16)),60)</f>
        <v/>
      </c>
      <c r="X175" s="117">
        <f>IF(C175="T2",85,IF(C175="T4",70,IF(C175="T1",65,IF(C175="T3",55,45))))</f>
        <v/>
      </c>
      <c r="Y175" s="118">
        <f>U175*0.55+W175*0.20+V175*0.15+X175*0.10+ROW()/1000000</f>
        <v/>
      </c>
      <c r="Z175" s="101">
        <f>IF(Y175&gt;=75,"STRONG BUY",IF(Y175&gt;=60,"BUY",IF(Y175&gt;=40,"HOLD",IF(Y175&gt;=25,"TRIM","SELL"))))</f>
        <v/>
      </c>
      <c r="AA175" s="119" t="inlineStr">
        <is>
          <t>https://www.pricecharting.com/game/pokemon-ex-crystal-guardians/charizard-star-delta-species-100</t>
        </is>
      </c>
      <c r="AB175" s="102" t="inlineStr">
        <is>
          <t>Crystal Type Delta Species Charizard. Niche but real demand.</t>
        </is>
      </c>
    </row>
    <row r="176" ht="23.25" customHeight="1" s="81">
      <c r="A176" s="99" t="inlineStr">
        <is>
          <t>X012</t>
        </is>
      </c>
      <c r="B176" s="92" t="inlineStr">
        <is>
          <t>Modern Chase PSA 10</t>
        </is>
      </c>
      <c r="C176" s="110" t="inlineStr">
        <is>
          <t>T5</t>
        </is>
      </c>
      <c r="D176" s="92" t="inlineStr">
        <is>
          <t>Mimikyu V Alt Art</t>
        </is>
      </c>
      <c r="E176" s="92" t="inlineStr">
        <is>
          <t>Lost Origin</t>
        </is>
      </c>
      <c r="F176" s="110" t="inlineStr">
        <is>
          <t>TG07/TG30</t>
        </is>
      </c>
      <c r="G176" s="110" t="inlineStr">
        <is>
          <t>PSA 10</t>
        </is>
      </c>
      <c r="H176" s="113" t="n">
        <v>95</v>
      </c>
      <c r="I176" s="114" t="n">
        <v>46153</v>
      </c>
      <c r="J176" s="115" t="n">
        <v>95.03</v>
      </c>
      <c r="K176" s="115" t="n">
        <v>90.41</v>
      </c>
      <c r="L176" s="115" t="n">
        <v>79.79000000000001</v>
      </c>
      <c r="M176" s="94">
        <f>IFERROR((H176-J176)/J176,0)</f>
        <v/>
      </c>
      <c r="N176" s="94">
        <f>IFERROR((H176-K176)/K176,0)</f>
        <v/>
      </c>
      <c r="O176" s="94">
        <f>IFERROR((H176-L176)/L176,0)</f>
        <v/>
      </c>
      <c r="P176" s="113" t="n">
        <v>70</v>
      </c>
      <c r="Q176" s="113" t="n">
        <v>140</v>
      </c>
      <c r="R176" s="110" t="inlineStr">
        <is>
          <t>2-5yr</t>
        </is>
      </c>
      <c r="S176" s="110" t="n">
        <v>3</v>
      </c>
      <c r="T176" s="116" t="n">
        <v>1700</v>
      </c>
      <c r="U176" s="117">
        <f>MAX(0,MIN(100,50+((M176*0.6)+(N176*0.4))*200))</f>
        <v/>
      </c>
      <c r="V176" s="117">
        <f>MAX(20,MIN(100,50+(P176-H176)/P176*100))</f>
        <v/>
      </c>
      <c r="W176" s="117">
        <f>IFERROR(MAX(0,MIN(100,100-LOG10(T176)*16)),60)</f>
        <v/>
      </c>
      <c r="X176" s="117">
        <f>IF(C176="T2",85,IF(C176="T4",70,IF(C176="T1",65,IF(C176="T3",55,45))))</f>
        <v/>
      </c>
      <c r="Y176" s="118">
        <f>U176*0.55+W176*0.20+V176*0.15+X176*0.10+ROW()/1000000</f>
        <v/>
      </c>
      <c r="Z176" s="101">
        <f>IF(Y176&gt;=75,"STRONG BUY",IF(Y176&gt;=60,"BUY",IF(Y176&gt;=40,"HOLD",IF(Y176&gt;=25,"TRIM","SELL"))))</f>
        <v/>
      </c>
      <c r="AA176" s="119" t="inlineStr">
        <is>
          <t>https://www.tcgplayer.com/product/271606</t>
        </is>
      </c>
      <c r="AB176" s="102" t="inlineStr">
        <is>
          <t>Cute factor sleeper. Bulk-tier alt.</t>
        </is>
      </c>
    </row>
    <row r="177" ht="15" customHeight="1" s="81">
      <c r="A177" s="99" t="inlineStr">
        <is>
          <t>X013</t>
        </is>
      </c>
      <c r="B177" s="92" t="inlineStr">
        <is>
          <t>Modern Chase PSA 10</t>
        </is>
      </c>
      <c r="C177" s="110" t="inlineStr">
        <is>
          <t>T5</t>
        </is>
      </c>
      <c r="D177" s="92" t="inlineStr">
        <is>
          <t>Eevee Heroes Eevee V Alt Art</t>
        </is>
      </c>
      <c r="E177" s="92" t="inlineStr">
        <is>
          <t>Eevee Heroes (JP)</t>
        </is>
      </c>
      <c r="F177" s="110" t="inlineStr">
        <is>
          <t>JP-only</t>
        </is>
      </c>
      <c r="G177" s="110" t="inlineStr">
        <is>
          <t>PSA 10</t>
        </is>
      </c>
      <c r="H177" s="113" t="n">
        <v>280</v>
      </c>
      <c r="I177" s="114" t="n">
        <v>46153</v>
      </c>
      <c r="J177" s="115" t="n">
        <v>271.03</v>
      </c>
      <c r="K177" s="115" t="n">
        <v>265.6</v>
      </c>
      <c r="L177" s="115" t="n">
        <v>247.2</v>
      </c>
      <c r="M177" s="94">
        <f>IFERROR((H177-J177)/J177,0)</f>
        <v/>
      </c>
      <c r="N177" s="94">
        <f>IFERROR((H177-K177)/K177,0)</f>
        <v/>
      </c>
      <c r="O177" s="94">
        <f>IFERROR((H177-L177)/L177,0)</f>
        <v/>
      </c>
      <c r="P177" s="113" t="n">
        <v>220</v>
      </c>
      <c r="Q177" s="113" t="n">
        <v>410</v>
      </c>
      <c r="R177" s="110" t="inlineStr">
        <is>
          <t>2-5yr</t>
        </is>
      </c>
      <c r="S177" s="110" t="n">
        <v>4</v>
      </c>
      <c r="T177" s="116" t="n">
        <v>1100</v>
      </c>
      <c r="U177" s="117">
        <f>MAX(0,MIN(100,50+((M177*0.6)+(N177*0.4))*200))</f>
        <v/>
      </c>
      <c r="V177" s="117">
        <f>MAX(20,MIN(100,50+(P177-H177)/P177*100))</f>
        <v/>
      </c>
      <c r="W177" s="117">
        <f>IFERROR(MAX(0,MIN(100,100-LOG10(T177)*16)),60)</f>
        <v/>
      </c>
      <c r="X177" s="117">
        <f>IF(C177="T2",85,IF(C177="T4",70,IF(C177="T1",65,IF(C177="T3",55,45))))</f>
        <v/>
      </c>
      <c r="Y177" s="118">
        <f>U177*0.55+W177*0.20+V177*0.15+X177*0.10+ROW()/1000000</f>
        <v/>
      </c>
      <c r="Z177" s="101">
        <f>IF(Y177&gt;=75,"STRONG BUY",IF(Y177&gt;=60,"BUY",IF(Y177&gt;=40,"HOLD",IF(Y177&gt;=25,"TRIM","SELL"))))</f>
        <v/>
      </c>
      <c r="AA177" s="119" t="inlineStr">
        <is>
          <t>https://www.pricecharting.com/game/pokemon-japanese-eevee-heroes/eevee-v-alt-art</t>
        </is>
      </c>
      <c r="AB177" s="102" t="inlineStr">
        <is>
          <t>Japanese exclusive. Eevee alt = forever demand.</t>
        </is>
      </c>
    </row>
    <row r="178" ht="15" customHeight="1" s="81">
      <c r="A178" s="99" t="inlineStr">
        <is>
          <t>X014</t>
        </is>
      </c>
      <c r="B178" s="92" t="inlineStr">
        <is>
          <t>Modern Chase PSA 10</t>
        </is>
      </c>
      <c r="C178" s="110" t="inlineStr">
        <is>
          <t>T5</t>
        </is>
      </c>
      <c r="D178" s="92" t="inlineStr">
        <is>
          <t>Charizard Star Holographic</t>
        </is>
      </c>
      <c r="E178" s="92" t="inlineStr">
        <is>
          <t>Various</t>
        </is>
      </c>
      <c r="F178" s="110" t="inlineStr">
        <is>
          <t>Promo</t>
        </is>
      </c>
      <c r="G178" s="110" t="inlineStr">
        <is>
          <t>PSA 10</t>
        </is>
      </c>
      <c r="H178" s="113" t="n">
        <v>580</v>
      </c>
      <c r="I178" s="114" t="n">
        <v>46153</v>
      </c>
      <c r="J178" s="115" t="n">
        <v>572.17</v>
      </c>
      <c r="K178" s="115" t="n">
        <v>540.97</v>
      </c>
      <c r="L178" s="115" t="n">
        <v>479.52</v>
      </c>
      <c r="M178" s="94">
        <f>IFERROR((H178-J178)/J178,0)</f>
        <v/>
      </c>
      <c r="N178" s="94">
        <f>IFERROR((H178-K178)/K178,0)</f>
        <v/>
      </c>
      <c r="O178" s="94">
        <f>IFERROR((H178-L178)/L178,0)</f>
        <v/>
      </c>
      <c r="P178" s="113" t="n">
        <v>450</v>
      </c>
      <c r="Q178" s="113" t="n">
        <v>850</v>
      </c>
      <c r="R178" s="110" t="inlineStr">
        <is>
          <t>5-10yr</t>
        </is>
      </c>
      <c r="S178" s="110" t="n">
        <v>4</v>
      </c>
      <c r="T178" s="116" t="n">
        <v>240</v>
      </c>
      <c r="U178" s="117">
        <f>MAX(0,MIN(100,50+((M178*0.6)+(N178*0.4))*200))</f>
        <v/>
      </c>
      <c r="V178" s="117">
        <f>MAX(20,MIN(100,50+(P178-H178)/P178*100))</f>
        <v/>
      </c>
      <c r="W178" s="117">
        <f>IFERROR(MAX(0,MIN(100,100-LOG10(T178)*16)),60)</f>
        <v/>
      </c>
      <c r="X178" s="117">
        <f>IF(C178="T2",85,IF(C178="T4",70,IF(C178="T1",65,IF(C178="T3",55,45))))</f>
        <v/>
      </c>
      <c r="Y178" s="118">
        <f>U178*0.55+W178*0.20+V178*0.15+X178*0.10+ROW()/1000000</f>
        <v/>
      </c>
      <c r="Z178" s="101">
        <f>IF(Y178&gt;=75,"STRONG BUY",IF(Y178&gt;=60,"BUY",IF(Y178&gt;=40,"HOLD",IF(Y178&gt;=25,"TRIM","SELL"))))</f>
        <v/>
      </c>
      <c r="AA178" s="119" t="inlineStr">
        <is>
          <t>https://www.pricecharting.com/game/pokemon-promo/charizard-star-holographic</t>
        </is>
      </c>
      <c r="AB178" s="102" t="inlineStr">
        <is>
          <t>Stamped variant. Authentication critical.</t>
        </is>
      </c>
    </row>
    <row r="179" ht="15" customHeight="1" s="81">
      <c r="A179" s="99" t="inlineStr">
        <is>
          <t>X015</t>
        </is>
      </c>
      <c r="B179" s="92" t="inlineStr">
        <is>
          <t>Modern Chase PSA 10</t>
        </is>
      </c>
      <c r="C179" s="110" t="inlineStr">
        <is>
          <t>T5</t>
        </is>
      </c>
      <c r="D179" s="92" t="inlineStr">
        <is>
          <t>Crystal Charizard</t>
        </is>
      </c>
      <c r="E179" s="92" t="inlineStr">
        <is>
          <t>Skyridge</t>
        </is>
      </c>
      <c r="F179" s="110" t="inlineStr">
        <is>
          <t>146/144</t>
        </is>
      </c>
      <c r="G179" s="110" t="inlineStr">
        <is>
          <t>PSA 9</t>
        </is>
      </c>
      <c r="H179" s="113" t="n">
        <v>9500</v>
      </c>
      <c r="I179" s="114" t="n">
        <v>46153</v>
      </c>
      <c r="J179" s="115" t="n">
        <v>9400.780000000001</v>
      </c>
      <c r="K179" s="115" t="n">
        <v>8955.73</v>
      </c>
      <c r="L179" s="115" t="n">
        <v>8368.6</v>
      </c>
      <c r="M179" s="94">
        <f>IFERROR((H179-J179)/J179,0)</f>
        <v/>
      </c>
      <c r="N179" s="94">
        <f>IFERROR((H179-K179)/K179,0)</f>
        <v/>
      </c>
      <c r="O179" s="94">
        <f>IFERROR((H179-L179)/L179,0)</f>
        <v/>
      </c>
      <c r="P179" s="113" t="n">
        <v>7500</v>
      </c>
      <c r="Q179" s="113" t="n">
        <v>14000</v>
      </c>
      <c r="R179" s="110" t="inlineStr">
        <is>
          <t>5-10yr</t>
        </is>
      </c>
      <c r="S179" s="110" t="n">
        <v>5</v>
      </c>
      <c r="T179" s="116" t="n">
        <v>80</v>
      </c>
      <c r="U179" s="117">
        <f>MAX(0,MIN(100,50+((M179*0.6)+(N179*0.4))*200))</f>
        <v/>
      </c>
      <c r="V179" s="117">
        <f>MAX(20,MIN(100,50+(P179-H179)/P179*100))</f>
        <v/>
      </c>
      <c r="W179" s="117">
        <f>IFERROR(MAX(0,MIN(100,100-LOG10(T179)*16)),60)</f>
        <v/>
      </c>
      <c r="X179" s="117">
        <f>IF(C179="T2",85,IF(C179="T4",70,IF(C179="T1",65,IF(C179="T3",55,45))))</f>
        <v/>
      </c>
      <c r="Y179" s="118">
        <f>U179*0.55+W179*0.20+V179*0.15+X179*0.10+ROW()/1000000</f>
        <v/>
      </c>
      <c r="Z179" s="101">
        <f>IF(Y179&gt;=75,"STRONG BUY",IF(Y179&gt;=60,"BUY",IF(Y179&gt;=40,"HOLD",IF(Y179&gt;=25,"TRIM","SELL"))))</f>
        <v/>
      </c>
      <c r="AA179" s="119" t="inlineStr">
        <is>
          <t>https://www.pricecharting.com/game/pokemon-skyridge/crystal-charizard-146</t>
        </is>
      </c>
      <c r="AB179" s="102" t="inlineStr">
        <is>
          <t>Skyridge era. Pop ~80 PSA 9. Sleeper vintage.</t>
        </is>
      </c>
    </row>
    <row r="180" ht="15" customHeight="1" s="81">
      <c r="A180" s="99" t="inlineStr">
        <is>
          <t>J001</t>
        </is>
      </c>
      <c r="B180" s="92" t="inlineStr">
        <is>
          <t>Modern Chase PSA 10</t>
        </is>
      </c>
      <c r="C180" s="110" t="inlineStr">
        <is>
          <t>T5</t>
        </is>
      </c>
      <c r="D180" s="92" t="inlineStr">
        <is>
          <t>Pikachu Promo (Japanese)</t>
        </is>
      </c>
      <c r="E180" s="92" t="inlineStr">
        <is>
          <t>Pokemon Center Japan 25th</t>
        </is>
      </c>
      <c r="F180" s="110" t="inlineStr">
        <is>
          <t>JP Promo</t>
        </is>
      </c>
      <c r="G180" s="110" t="inlineStr">
        <is>
          <t>PSA 10</t>
        </is>
      </c>
      <c r="H180" s="113" t="n">
        <v>850</v>
      </c>
      <c r="I180" s="114" t="n">
        <v>46153</v>
      </c>
      <c r="J180" s="115" t="n">
        <v>849.85</v>
      </c>
      <c r="K180" s="115" t="n">
        <v>789.84</v>
      </c>
      <c r="L180" s="115" t="n">
        <v>745.17</v>
      </c>
      <c r="M180" s="94">
        <f>IFERROR((H180-J180)/J180,0)</f>
        <v/>
      </c>
      <c r="N180" s="94">
        <f>IFERROR((H180-K180)/K180,0)</f>
        <v/>
      </c>
      <c r="O180" s="94">
        <f>IFERROR((H180-L180)/L180,0)</f>
        <v/>
      </c>
      <c r="P180" s="113" t="n">
        <v>650</v>
      </c>
      <c r="Q180" s="113" t="n">
        <v>1250</v>
      </c>
      <c r="R180" s="110" t="inlineStr">
        <is>
          <t>3-5yr</t>
        </is>
      </c>
      <c r="S180" s="110" t="n">
        <v>4</v>
      </c>
      <c r="T180" s="116" t="n">
        <v>450</v>
      </c>
      <c r="U180" s="117">
        <f>MAX(0,MIN(100,50+((M180*0.6)+(N180*0.4))*200))</f>
        <v/>
      </c>
      <c r="V180" s="117">
        <f>MAX(20,MIN(100,50+(P180-H180)/P180*100))</f>
        <v/>
      </c>
      <c r="W180" s="117">
        <f>IFERROR(MAX(0,MIN(100,100-LOG10(T180)*16)),60)</f>
        <v/>
      </c>
      <c r="X180" s="117">
        <f>IF(C180="T2",85,IF(C180="T4",70,IF(C180="T1",65,IF(C180="T3",55,45))))</f>
        <v/>
      </c>
      <c r="Y180" s="118">
        <f>U180*0.55+W180*0.20+V180*0.15+X180*0.10+ROW()/1000000</f>
        <v/>
      </c>
      <c r="Z180" s="101">
        <f>IF(Y180&gt;=75,"STRONG BUY",IF(Y180&gt;=60,"BUY",IF(Y180&gt;=40,"HOLD",IF(Y180&gt;=25,"TRIM","SELL"))))</f>
        <v/>
      </c>
      <c r="AA180" s="119" t="inlineStr">
        <is>
          <t>https://www.pricecharting.com/game/pokemon-japanese-promo/pikachu-25th-anniversary</t>
        </is>
      </c>
      <c r="AB180" s="102" t="inlineStr">
        <is>
          <t>25th anniversary Pokemon Center Japan exclusive.</t>
        </is>
      </c>
    </row>
    <row r="181" ht="15" customHeight="1" s="81">
      <c r="A181" s="99" t="inlineStr">
        <is>
          <t>J002</t>
        </is>
      </c>
      <c r="B181" s="92" t="inlineStr">
        <is>
          <t>Modern Chase PSA 10</t>
        </is>
      </c>
      <c r="C181" s="110" t="inlineStr">
        <is>
          <t>T5</t>
        </is>
      </c>
      <c r="D181" s="92" t="inlineStr">
        <is>
          <t>Mew V CHR (Japanese)</t>
        </is>
      </c>
      <c r="E181" s="92" t="inlineStr">
        <is>
          <t>VMAX Climax</t>
        </is>
      </c>
      <c r="F181" s="110" t="inlineStr">
        <is>
          <t>JP</t>
        </is>
      </c>
      <c r="G181" s="110" t="inlineStr">
        <is>
          <t>PSA 10</t>
        </is>
      </c>
      <c r="H181" s="113" t="n">
        <v>280</v>
      </c>
      <c r="I181" s="114" t="n">
        <v>46153</v>
      </c>
      <c r="J181" s="115" t="n">
        <v>275.94</v>
      </c>
      <c r="K181" s="115" t="n">
        <v>255.59</v>
      </c>
      <c r="L181" s="115" t="n">
        <v>230.52</v>
      </c>
      <c r="M181" s="94">
        <f>IFERROR((H181-J181)/J181,0)</f>
        <v/>
      </c>
      <c r="N181" s="94">
        <f>IFERROR((H181-K181)/K181,0)</f>
        <v/>
      </c>
      <c r="O181" s="94">
        <f>IFERROR((H181-L181)/L181,0)</f>
        <v/>
      </c>
      <c r="P181" s="113" t="n">
        <v>220</v>
      </c>
      <c r="Q181" s="113" t="n">
        <v>410</v>
      </c>
      <c r="R181" s="110" t="inlineStr">
        <is>
          <t>2-5yr</t>
        </is>
      </c>
      <c r="S181" s="110" t="n">
        <v>4</v>
      </c>
      <c r="T181" s="116" t="n">
        <v>1100</v>
      </c>
      <c r="U181" s="117">
        <f>MAX(0,MIN(100,50+((M181*0.6)+(N181*0.4))*200))</f>
        <v/>
      </c>
      <c r="V181" s="117">
        <f>MAX(20,MIN(100,50+(P181-H181)/P181*100))</f>
        <v/>
      </c>
      <c r="W181" s="117">
        <f>IFERROR(MAX(0,MIN(100,100-LOG10(T181)*16)),60)</f>
        <v/>
      </c>
      <c r="X181" s="117">
        <f>IF(C181="T2",85,IF(C181="T4",70,IF(C181="T1",65,IF(C181="T3",55,45))))</f>
        <v/>
      </c>
      <c r="Y181" s="118">
        <f>U181*0.55+W181*0.20+V181*0.15+X181*0.10+ROW()/1000000</f>
        <v/>
      </c>
      <c r="Z181" s="101">
        <f>IF(Y181&gt;=75,"STRONG BUY",IF(Y181&gt;=60,"BUY",IF(Y181&gt;=40,"HOLD",IF(Y181&gt;=25,"TRIM","SELL"))))</f>
        <v/>
      </c>
      <c r="AA181" s="119" t="inlineStr">
        <is>
          <t>https://www.pricecharting.com/game/pokemon-japanese-vmax-climax/mew-v-chr</t>
        </is>
      </c>
      <c r="AB181" s="102" t="inlineStr">
        <is>
          <t>VMAX Climax CHR. JP premium.</t>
        </is>
      </c>
    </row>
    <row r="182" ht="15" customHeight="1" s="81">
      <c r="A182" s="99" t="inlineStr">
        <is>
          <t>J003</t>
        </is>
      </c>
      <c r="B182" s="92" t="inlineStr">
        <is>
          <t>Modern Chase PSA 10</t>
        </is>
      </c>
      <c r="C182" s="110" t="inlineStr">
        <is>
          <t>T5</t>
        </is>
      </c>
      <c r="D182" s="92" t="inlineStr">
        <is>
          <t>Charizard V CSR (Japanese)</t>
        </is>
      </c>
      <c r="E182" s="92" t="inlineStr">
        <is>
          <t>VMAX Climax</t>
        </is>
      </c>
      <c r="F182" s="110" t="inlineStr">
        <is>
          <t>JP</t>
        </is>
      </c>
      <c r="G182" s="110" t="inlineStr">
        <is>
          <t>PSA 10</t>
        </is>
      </c>
      <c r="H182" s="113" t="n">
        <v>380</v>
      </c>
      <c r="I182" s="114" t="n">
        <v>46153</v>
      </c>
      <c r="J182" s="115" t="n">
        <v>373.17</v>
      </c>
      <c r="K182" s="115" t="n">
        <v>345.12</v>
      </c>
      <c r="L182" s="115" t="n">
        <v>304.58</v>
      </c>
      <c r="M182" s="94">
        <f>IFERROR((H182-J182)/J182,0)</f>
        <v/>
      </c>
      <c r="N182" s="94">
        <f>IFERROR((H182-K182)/K182,0)</f>
        <v/>
      </c>
      <c r="O182" s="94">
        <f>IFERROR((H182-L182)/L182,0)</f>
        <v/>
      </c>
      <c r="P182" s="113" t="n">
        <v>290</v>
      </c>
      <c r="Q182" s="113" t="n">
        <v>560</v>
      </c>
      <c r="R182" s="110" t="inlineStr">
        <is>
          <t>2-5yr</t>
        </is>
      </c>
      <c r="S182" s="110" t="n">
        <v>4</v>
      </c>
      <c r="T182" s="116" t="n">
        <v>950</v>
      </c>
      <c r="U182" s="117">
        <f>MAX(0,MIN(100,50+((M182*0.6)+(N182*0.4))*200))</f>
        <v/>
      </c>
      <c r="V182" s="117">
        <f>MAX(20,MIN(100,50+(P182-H182)/P182*100))</f>
        <v/>
      </c>
      <c r="W182" s="117">
        <f>IFERROR(MAX(0,MIN(100,100-LOG10(T182)*16)),60)</f>
        <v/>
      </c>
      <c r="X182" s="117">
        <f>IF(C182="T2",85,IF(C182="T4",70,IF(C182="T1",65,IF(C182="T3",55,45))))</f>
        <v/>
      </c>
      <c r="Y182" s="118">
        <f>U182*0.55+W182*0.20+V182*0.15+X182*0.10+ROW()/1000000</f>
        <v/>
      </c>
      <c r="Z182" s="101">
        <f>IF(Y182&gt;=75,"STRONG BUY",IF(Y182&gt;=60,"BUY",IF(Y182&gt;=40,"HOLD",IF(Y182&gt;=25,"TRIM","SELL"))))</f>
        <v/>
      </c>
      <c r="AA182" s="119" t="inlineStr">
        <is>
          <t>https://www.pricecharting.com/game/pokemon-japanese-vmax-climax/charizard-v-csr</t>
        </is>
      </c>
      <c r="AB182" s="102" t="inlineStr">
        <is>
          <t>VMAX Climax Char Special Rare.</t>
        </is>
      </c>
    </row>
    <row r="183" ht="15" customHeight="1" s="81">
      <c r="A183" s="99" t="inlineStr">
        <is>
          <t>J004</t>
        </is>
      </c>
      <c r="B183" s="92" t="inlineStr">
        <is>
          <t>Modern Chase PSA 10</t>
        </is>
      </c>
      <c r="C183" s="110" t="inlineStr">
        <is>
          <t>T5</t>
        </is>
      </c>
      <c r="D183" s="92" t="inlineStr">
        <is>
          <t>Rayquaza V Alt Art (Japanese)</t>
        </is>
      </c>
      <c r="E183" s="92" t="inlineStr">
        <is>
          <t>Eevee Heroes JP</t>
        </is>
      </c>
      <c r="F183" s="110" t="inlineStr">
        <is>
          <t>JP</t>
        </is>
      </c>
      <c r="G183" s="110" t="inlineStr">
        <is>
          <t>PSA 10</t>
        </is>
      </c>
      <c r="H183" s="113" t="n">
        <v>580</v>
      </c>
      <c r="I183" s="114" t="n">
        <v>46153</v>
      </c>
      <c r="J183" s="115" t="n">
        <v>580.98</v>
      </c>
      <c r="K183" s="115" t="n">
        <v>550</v>
      </c>
      <c r="L183" s="115" t="n">
        <v>498.61</v>
      </c>
      <c r="M183" s="94">
        <f>IFERROR((H183-J183)/J183,0)</f>
        <v/>
      </c>
      <c r="N183" s="94">
        <f>IFERROR((H183-K183)/K183,0)</f>
        <v/>
      </c>
      <c r="O183" s="94">
        <f>IFERROR((H183-L183)/L183,0)</f>
        <v/>
      </c>
      <c r="P183" s="113" t="n">
        <v>450</v>
      </c>
      <c r="Q183" s="113" t="n">
        <v>850</v>
      </c>
      <c r="R183" s="110" t="inlineStr">
        <is>
          <t>3-5yr</t>
        </is>
      </c>
      <c r="S183" s="110" t="n">
        <v>4</v>
      </c>
      <c r="T183" s="116" t="n">
        <v>720</v>
      </c>
      <c r="U183" s="117">
        <f>MAX(0,MIN(100,50+((M183*0.6)+(N183*0.4))*200))</f>
        <v/>
      </c>
      <c r="V183" s="117">
        <f>MAX(20,MIN(100,50+(P183-H183)/P183*100))</f>
        <v/>
      </c>
      <c r="W183" s="117">
        <f>IFERROR(MAX(0,MIN(100,100-LOG10(T183)*16)),60)</f>
        <v/>
      </c>
      <c r="X183" s="117">
        <f>IF(C183="T2",85,IF(C183="T4",70,IF(C183="T1",65,IF(C183="T3",55,45))))</f>
        <v/>
      </c>
      <c r="Y183" s="118">
        <f>U183*0.55+W183*0.20+V183*0.15+X183*0.10+ROW()/1000000</f>
        <v/>
      </c>
      <c r="Z183" s="101">
        <f>IF(Y183&gt;=75,"STRONG BUY",IF(Y183&gt;=60,"BUY",IF(Y183&gt;=40,"HOLD",IF(Y183&gt;=25,"TRIM","SELL"))))</f>
        <v/>
      </c>
      <c r="AA183" s="119" t="inlineStr">
        <is>
          <t>https://www.pricecharting.com/game/pokemon-japanese-eevee-heroes/rayquaza-v-alt</t>
        </is>
      </c>
      <c r="AB183" s="102" t="inlineStr">
        <is>
          <t>Eevee Heroes alt - JP version of Moonbreon set.</t>
        </is>
      </c>
    </row>
    <row r="184" ht="23.25" customHeight="1" s="81">
      <c r="A184" s="99" t="inlineStr">
        <is>
          <t>J005</t>
        </is>
      </c>
      <c r="B184" s="92" t="inlineStr">
        <is>
          <t>Modern Chase PSA 10</t>
        </is>
      </c>
      <c r="C184" s="110" t="inlineStr">
        <is>
          <t>T5</t>
        </is>
      </c>
      <c r="D184" s="92" t="inlineStr">
        <is>
          <t>Umbreon VMAX Alt (Japanese)</t>
        </is>
      </c>
      <c r="E184" s="92" t="inlineStr">
        <is>
          <t>Eevee Heroes JP</t>
        </is>
      </c>
      <c r="F184" s="110" t="inlineStr">
        <is>
          <t>JP</t>
        </is>
      </c>
      <c r="G184" s="110" t="inlineStr">
        <is>
          <t>PSA 10</t>
        </is>
      </c>
      <c r="H184" s="113" t="n">
        <v>1300</v>
      </c>
      <c r="I184" s="114" t="n">
        <v>46153</v>
      </c>
      <c r="J184" s="115" t="n">
        <v>1298.37</v>
      </c>
      <c r="K184" s="115" t="n">
        <v>1264.13</v>
      </c>
      <c r="L184" s="115" t="n">
        <v>1189.38</v>
      </c>
      <c r="M184" s="94">
        <f>IFERROR((H184-J184)/J184,0)</f>
        <v/>
      </c>
      <c r="N184" s="94">
        <f>IFERROR((H184-K184)/K184,0)</f>
        <v/>
      </c>
      <c r="O184" s="94">
        <f>IFERROR((H184-L184)/L184,0)</f>
        <v/>
      </c>
      <c r="P184" s="113" t="n">
        <v>1000</v>
      </c>
      <c r="Q184" s="113" t="n">
        <v>1900</v>
      </c>
      <c r="R184" s="110" t="inlineStr">
        <is>
          <t>3-5yr</t>
        </is>
      </c>
      <c r="S184" s="110" t="n">
        <v>5</v>
      </c>
      <c r="T184" s="116" t="n">
        <v>1800</v>
      </c>
      <c r="U184" s="117">
        <f>MAX(0,MIN(100,50+((M184*0.6)+(N184*0.4))*200))</f>
        <v/>
      </c>
      <c r="V184" s="117">
        <f>MAX(20,MIN(100,50+(P184-H184)/P184*100))</f>
        <v/>
      </c>
      <c r="W184" s="117">
        <f>IFERROR(MAX(0,MIN(100,100-LOG10(T184)*16)),60)</f>
        <v/>
      </c>
      <c r="X184" s="117">
        <f>IF(C184="T2",85,IF(C184="T4",70,IF(C184="T1",65,IF(C184="T3",55,45))))</f>
        <v/>
      </c>
      <c r="Y184" s="118">
        <f>U184*0.55+W184*0.20+V184*0.15+X184*0.10+ROW()/1000000</f>
        <v/>
      </c>
      <c r="Z184" s="101">
        <f>IF(Y184&gt;=75,"STRONG BUY",IF(Y184&gt;=60,"BUY",IF(Y184&gt;=40,"HOLD",IF(Y184&gt;=25,"TRIM","SELL"))))</f>
        <v/>
      </c>
      <c r="AA184" s="119" t="inlineStr">
        <is>
          <t>https://www.pricecharting.com/game/pokemon-japanese-eevee-heroes/umbreon-vmax-alt</t>
        </is>
      </c>
      <c r="AB184" s="102" t="inlineStr">
        <is>
          <t>JP Moonbreon. Cheaper than EN but lower liquidity.</t>
        </is>
      </c>
    </row>
    <row r="185" ht="15" customHeight="1" s="81">
      <c r="A185" s="99" t="inlineStr">
        <is>
          <t>J006</t>
        </is>
      </c>
      <c r="B185" s="92" t="inlineStr">
        <is>
          <t>Modern Chase PSA 10</t>
        </is>
      </c>
      <c r="C185" s="110" t="inlineStr">
        <is>
          <t>T5</t>
        </is>
      </c>
      <c r="D185" s="92" t="inlineStr">
        <is>
          <t>Lugia VSTAR (Japanese)</t>
        </is>
      </c>
      <c r="E185" s="92" t="inlineStr">
        <is>
          <t>Paradigm Trigger</t>
        </is>
      </c>
      <c r="F185" s="110" t="inlineStr">
        <is>
          <t>JP</t>
        </is>
      </c>
      <c r="G185" s="110" t="inlineStr">
        <is>
          <t>PSA 10</t>
        </is>
      </c>
      <c r="H185" s="113" t="n">
        <v>320</v>
      </c>
      <c r="I185" s="114" t="n">
        <v>46153</v>
      </c>
      <c r="J185" s="115" t="n">
        <v>321.39</v>
      </c>
      <c r="K185" s="115" t="n">
        <v>300.3</v>
      </c>
      <c r="L185" s="115" t="n">
        <v>277.46</v>
      </c>
      <c r="M185" s="94">
        <f>IFERROR((H185-J185)/J185,0)</f>
        <v/>
      </c>
      <c r="N185" s="94">
        <f>IFERROR((H185-K185)/K185,0)</f>
        <v/>
      </c>
      <c r="O185" s="94">
        <f>IFERROR((H185-L185)/L185,0)</f>
        <v/>
      </c>
      <c r="P185" s="113" t="n">
        <v>250</v>
      </c>
      <c r="Q185" s="113" t="n">
        <v>470</v>
      </c>
      <c r="R185" s="110" t="inlineStr">
        <is>
          <t>2-5yr</t>
        </is>
      </c>
      <c r="S185" s="110" t="n">
        <v>4</v>
      </c>
      <c r="T185" s="116" t="n">
        <v>1200</v>
      </c>
      <c r="U185" s="117">
        <f>MAX(0,MIN(100,50+((M185*0.6)+(N185*0.4))*200))</f>
        <v/>
      </c>
      <c r="V185" s="117">
        <f>MAX(20,MIN(100,50+(P185-H185)/P185*100))</f>
        <v/>
      </c>
      <c r="W185" s="117">
        <f>IFERROR(MAX(0,MIN(100,100-LOG10(T185)*16)),60)</f>
        <v/>
      </c>
      <c r="X185" s="117">
        <f>IF(C185="T2",85,IF(C185="T4",70,IF(C185="T1",65,IF(C185="T3",55,45))))</f>
        <v/>
      </c>
      <c r="Y185" s="118">
        <f>U185*0.55+W185*0.20+V185*0.15+X185*0.10+ROW()/1000000</f>
        <v/>
      </c>
      <c r="Z185" s="101">
        <f>IF(Y185&gt;=75,"STRONG BUY",IF(Y185&gt;=60,"BUY",IF(Y185&gt;=40,"HOLD",IF(Y185&gt;=25,"TRIM","SELL"))))</f>
        <v/>
      </c>
      <c r="AA185" s="119" t="inlineStr">
        <is>
          <t>https://www.pricecharting.com/game/pokemon-japanese-paradigm-trigger/lugia-vstar</t>
        </is>
      </c>
      <c r="AB185" s="102" t="inlineStr">
        <is>
          <t>Lugia VSTAR JP. Pairs with EN.</t>
        </is>
      </c>
    </row>
    <row r="186" ht="15" customHeight="1" s="81">
      <c r="A186" s="99" t="inlineStr">
        <is>
          <t>J007</t>
        </is>
      </c>
      <c r="B186" s="92" t="inlineStr">
        <is>
          <t>Modern Chase PSA 10</t>
        </is>
      </c>
      <c r="C186" s="110" t="inlineStr">
        <is>
          <t>T5</t>
        </is>
      </c>
      <c r="D186" s="92" t="inlineStr">
        <is>
          <t>Trainer's Card (Pokemon Day JP)</t>
        </is>
      </c>
      <c r="E186" s="92" t="inlineStr">
        <is>
          <t>Pokemon Day JP</t>
        </is>
      </c>
      <c r="F186" s="110" t="inlineStr">
        <is>
          <t>JP Trophy</t>
        </is>
      </c>
      <c r="G186" s="110" t="inlineStr">
        <is>
          <t>PSA 9</t>
        </is>
      </c>
      <c r="H186" s="113" t="n">
        <v>4500</v>
      </c>
      <c r="I186" s="114" t="n">
        <v>46153</v>
      </c>
      <c r="J186" s="115" t="n">
        <v>4436.75</v>
      </c>
      <c r="K186" s="115" t="n">
        <v>4236.05</v>
      </c>
      <c r="L186" s="115" t="n">
        <v>4029.15</v>
      </c>
      <c r="M186" s="94">
        <f>IFERROR((H186-J186)/J186,0)</f>
        <v/>
      </c>
      <c r="N186" s="94">
        <f>IFERROR((H186-K186)/K186,0)</f>
        <v/>
      </c>
      <c r="O186" s="94">
        <f>IFERROR((H186-L186)/L186,0)</f>
        <v/>
      </c>
      <c r="P186" s="113" t="n">
        <v>3500</v>
      </c>
      <c r="Q186" s="113" t="n">
        <v>6500</v>
      </c>
      <c r="R186" s="110" t="inlineStr">
        <is>
          <t>5-10yr</t>
        </is>
      </c>
      <c r="S186" s="110" t="n">
        <v>4</v>
      </c>
      <c r="T186" s="116" t="n">
        <v>150</v>
      </c>
      <c r="U186" s="117">
        <f>MAX(0,MIN(100,50+((M186*0.6)+(N186*0.4))*200))</f>
        <v/>
      </c>
      <c r="V186" s="117">
        <f>MAX(20,MIN(100,50+(P186-H186)/P186*100))</f>
        <v/>
      </c>
      <c r="W186" s="117">
        <f>IFERROR(MAX(0,MIN(100,100-LOG10(T186)*16)),60)</f>
        <v/>
      </c>
      <c r="X186" s="117">
        <f>IF(C186="T2",85,IF(C186="T4",70,IF(C186="T1",65,IF(C186="T3",55,45))))</f>
        <v/>
      </c>
      <c r="Y186" s="118">
        <f>U186*0.55+W186*0.20+V186*0.15+X186*0.10+ROW()/1000000</f>
        <v/>
      </c>
      <c r="Z186" s="101">
        <f>IF(Y186&gt;=75,"STRONG BUY",IF(Y186&gt;=60,"BUY",IF(Y186&gt;=40,"HOLD",IF(Y186&gt;=25,"TRIM","SELL"))))</f>
        <v/>
      </c>
      <c r="AA186" s="119" t="inlineStr">
        <is>
          <t>https://www.pricecharting.com/game/pokemon-japanese-promo/trainers-card-pokemon-day</t>
        </is>
      </c>
      <c r="AB186" s="102" t="inlineStr">
        <is>
          <t>JP Trophy trainer card. Tiny pop.</t>
        </is>
      </c>
    </row>
    <row r="187" ht="15" customHeight="1" s="81">
      <c r="A187" s="99" t="inlineStr">
        <is>
          <t>J008</t>
        </is>
      </c>
      <c r="B187" s="92" t="inlineStr">
        <is>
          <t>Modern Chase PSA 10</t>
        </is>
      </c>
      <c r="C187" s="110" t="inlineStr">
        <is>
          <t>T5</t>
        </is>
      </c>
      <c r="D187" s="92" t="inlineStr">
        <is>
          <t>Mewtwo Star (JP Promo)</t>
        </is>
      </c>
      <c r="E187" s="92" t="inlineStr">
        <is>
          <t>Movie Commemoration</t>
        </is>
      </c>
      <c r="F187" s="110" t="inlineStr">
        <is>
          <t>JP Promo</t>
        </is>
      </c>
      <c r="G187" s="110" t="inlineStr">
        <is>
          <t>PSA 9</t>
        </is>
      </c>
      <c r="H187" s="113" t="n">
        <v>1800</v>
      </c>
      <c r="I187" s="114" t="n">
        <v>46153</v>
      </c>
      <c r="J187" s="115" t="n">
        <v>1750.66</v>
      </c>
      <c r="K187" s="115" t="n">
        <v>1721.95</v>
      </c>
      <c r="L187" s="115" t="n">
        <v>1624.22</v>
      </c>
      <c r="M187" s="94">
        <f>IFERROR((H187-J187)/J187,0)</f>
        <v/>
      </c>
      <c r="N187" s="94">
        <f>IFERROR((H187-K187)/K187,0)</f>
        <v/>
      </c>
      <c r="O187" s="94">
        <f>IFERROR((H187-L187)/L187,0)</f>
        <v/>
      </c>
      <c r="P187" s="113" t="n">
        <v>1400</v>
      </c>
      <c r="Q187" s="113" t="n">
        <v>2600</v>
      </c>
      <c r="R187" s="110" t="inlineStr">
        <is>
          <t>5-10yr</t>
        </is>
      </c>
      <c r="S187" s="110" t="n">
        <v>4</v>
      </c>
      <c r="T187" s="116" t="n">
        <v>280</v>
      </c>
      <c r="U187" s="117">
        <f>MAX(0,MIN(100,50+((M187*0.6)+(N187*0.4))*200))</f>
        <v/>
      </c>
      <c r="V187" s="117">
        <f>MAX(20,MIN(100,50+(P187-H187)/P187*100))</f>
        <v/>
      </c>
      <c r="W187" s="117">
        <f>IFERROR(MAX(0,MIN(100,100-LOG10(T187)*16)),60)</f>
        <v/>
      </c>
      <c r="X187" s="117">
        <f>IF(C187="T2",85,IF(C187="T4",70,IF(C187="T1",65,IF(C187="T3",55,45))))</f>
        <v/>
      </c>
      <c r="Y187" s="118">
        <f>U187*0.55+W187*0.20+V187*0.15+X187*0.10+ROW()/1000000</f>
        <v/>
      </c>
      <c r="Z187" s="101">
        <f>IF(Y187&gt;=75,"STRONG BUY",IF(Y187&gt;=60,"BUY",IF(Y187&gt;=40,"HOLD",IF(Y187&gt;=25,"TRIM","SELL"))))</f>
        <v/>
      </c>
      <c r="AA187" s="119" t="inlineStr">
        <is>
          <t>https://www.pricecharting.com/game/pokemon-japanese-promo/mewtwo-star-movie</t>
        </is>
      </c>
      <c r="AB187" s="102" t="inlineStr">
        <is>
          <t>Old movie commemoration JP promo.</t>
        </is>
      </c>
    </row>
    <row r="188" ht="15" customHeight="1" s="81">
      <c r="A188" s="99" t="inlineStr">
        <is>
          <t>J009</t>
        </is>
      </c>
      <c r="B188" s="92" t="inlineStr">
        <is>
          <t>Modern Chase PSA 10</t>
        </is>
      </c>
      <c r="C188" s="110" t="inlineStr">
        <is>
          <t>T5</t>
        </is>
      </c>
      <c r="D188" s="92" t="inlineStr">
        <is>
          <t>VSTAR Universe High-Class Box</t>
        </is>
      </c>
      <c r="E188" s="92" t="inlineStr">
        <is>
          <t>VSTAR Universe JP</t>
        </is>
      </c>
      <c r="F188" s="110" t="inlineStr">
        <is>
          <t>JP Box</t>
        </is>
      </c>
      <c r="G188" s="110" t="inlineStr">
        <is>
          <t>Sealed</t>
        </is>
      </c>
      <c r="H188" s="113" t="n">
        <v>180</v>
      </c>
      <c r="I188" s="114" t="n">
        <v>46153</v>
      </c>
      <c r="J188" s="115" t="n">
        <v>173.64</v>
      </c>
      <c r="K188" s="115" t="n">
        <v>165.89</v>
      </c>
      <c r="L188" s="115" t="n">
        <v>145.82</v>
      </c>
      <c r="M188" s="94">
        <f>IFERROR((H188-J188)/J188,0)</f>
        <v/>
      </c>
      <c r="N188" s="94">
        <f>IFERROR((H188-K188)/K188,0)</f>
        <v/>
      </c>
      <c r="O188" s="94">
        <f>IFERROR((H188-L188)/L188,0)</f>
        <v/>
      </c>
      <c r="P188" s="113" t="n">
        <v>140</v>
      </c>
      <c r="Q188" s="113" t="n">
        <v>270</v>
      </c>
      <c r="R188" s="110" t="inlineStr">
        <is>
          <t>2-5yr</t>
        </is>
      </c>
      <c r="S188" s="110" t="n">
        <v>4</v>
      </c>
      <c r="T188" s="120" t="n"/>
      <c r="U188" s="117">
        <f>MAX(0,MIN(100,50+((M188*0.6)+(N188*0.4))*200))</f>
        <v/>
      </c>
      <c r="V188" s="117">
        <f>MAX(20,MIN(100,50+(P188-H188)/P188*100))</f>
        <v/>
      </c>
      <c r="W188" s="117">
        <f>IFERROR(MAX(0,MIN(100,100-LOG10(T188)*16)),60)</f>
        <v/>
      </c>
      <c r="X188" s="117">
        <f>IF(C188="T2",85,IF(C188="T4",70,IF(C188="T1",65,IF(C188="T3",55,45))))</f>
        <v/>
      </c>
      <c r="Y188" s="118">
        <f>U188*0.55+W188*0.20+V188*0.15+X188*0.10+ROW()/1000000</f>
        <v/>
      </c>
      <c r="Z188" s="101">
        <f>IF(Y188&gt;=75,"STRONG BUY",IF(Y188&gt;=60,"BUY",IF(Y188&gt;=40,"HOLD",IF(Y188&gt;=25,"TRIM","SELL"))))</f>
        <v/>
      </c>
      <c r="AA188" s="119" t="inlineStr">
        <is>
          <t>https://www.pricecharting.com/game/pokemon-japanese-vstar-universe/high-class-box</t>
        </is>
      </c>
      <c r="AB188" s="102" t="inlineStr">
        <is>
          <t>JP sealed box. Multiple chase cards inside.</t>
        </is>
      </c>
    </row>
    <row r="189" ht="15" customHeight="1" s="81">
      <c r="A189" s="99" t="inlineStr">
        <is>
          <t>J010</t>
        </is>
      </c>
      <c r="B189" s="92" t="inlineStr">
        <is>
          <t>Modern Chase PSA 10</t>
        </is>
      </c>
      <c r="C189" s="110" t="inlineStr">
        <is>
          <t>T5</t>
        </is>
      </c>
      <c r="D189" s="92" t="inlineStr">
        <is>
          <t>Eevee Heroes Booster Box (JP)</t>
        </is>
      </c>
      <c r="E189" s="92" t="inlineStr">
        <is>
          <t>Eevee Heroes JP</t>
        </is>
      </c>
      <c r="F189" s="110" t="inlineStr">
        <is>
          <t>JP Box</t>
        </is>
      </c>
      <c r="G189" s="110" t="inlineStr">
        <is>
          <t>Sealed</t>
        </is>
      </c>
      <c r="H189" s="113" t="n">
        <v>380</v>
      </c>
      <c r="I189" s="114" t="n">
        <v>46153</v>
      </c>
      <c r="J189" s="115" t="n">
        <v>362.41</v>
      </c>
      <c r="K189" s="115" t="n">
        <v>334.24</v>
      </c>
      <c r="L189" s="115" t="n">
        <v>278.64</v>
      </c>
      <c r="M189" s="94">
        <f>IFERROR((H189-J189)/J189,0)</f>
        <v/>
      </c>
      <c r="N189" s="94">
        <f>IFERROR((H189-K189)/K189,0)</f>
        <v/>
      </c>
      <c r="O189" s="94">
        <f>IFERROR((H189-L189)/L189,0)</f>
        <v/>
      </c>
      <c r="P189" s="113" t="n">
        <v>290</v>
      </c>
      <c r="Q189" s="113" t="n">
        <v>550</v>
      </c>
      <c r="R189" s="110" t="inlineStr">
        <is>
          <t>3-5yr</t>
        </is>
      </c>
      <c r="S189" s="110" t="n">
        <v>5</v>
      </c>
      <c r="T189" s="120" t="n"/>
      <c r="U189" s="117">
        <f>MAX(0,MIN(100,50+((M189*0.6)+(N189*0.4))*200))</f>
        <v/>
      </c>
      <c r="V189" s="117">
        <f>MAX(20,MIN(100,50+(P189-H189)/P189*100))</f>
        <v/>
      </c>
      <c r="W189" s="117">
        <f>IFERROR(MAX(0,MIN(100,100-LOG10(T189)*16)),60)</f>
        <v/>
      </c>
      <c r="X189" s="117">
        <f>IF(C189="T2",85,IF(C189="T4",70,IF(C189="T1",65,IF(C189="T3",55,45))))</f>
        <v/>
      </c>
      <c r="Y189" s="118">
        <f>U189*0.55+W189*0.20+V189*0.15+X189*0.10+ROW()/1000000</f>
        <v/>
      </c>
      <c r="Z189" s="101">
        <f>IF(Y189&gt;=75,"STRONG BUY",IF(Y189&gt;=60,"BUY",IF(Y189&gt;=40,"HOLD",IF(Y189&gt;=25,"TRIM","SELL"))))</f>
        <v/>
      </c>
      <c r="AA189" s="119" t="inlineStr">
        <is>
          <t>https://www.pricecharting.com/game/pokemon-japanese-eevee-heroes/booster-box</t>
        </is>
      </c>
      <c r="AB189" s="102" t="inlineStr">
        <is>
          <t>JP version of Evolving Skies precursor. +15%/30D.</t>
        </is>
      </c>
    </row>
    <row r="190" ht="15" customHeight="1" s="81">
      <c r="A190" s="99" t="inlineStr">
        <is>
          <t>V036</t>
        </is>
      </c>
      <c r="B190" s="92" t="inlineStr">
        <is>
          <t>Vintage Graded Singles</t>
        </is>
      </c>
      <c r="C190" s="110" t="inlineStr">
        <is>
          <t>T1</t>
        </is>
      </c>
      <c r="D190" s="92" t="inlineStr">
        <is>
          <t>Pikachu</t>
        </is>
      </c>
      <c r="E190" s="92" t="inlineStr">
        <is>
          <t>Jungle 1st Edition</t>
        </is>
      </c>
      <c r="F190" s="110" t="inlineStr">
        <is>
          <t>60/64</t>
        </is>
      </c>
      <c r="G190" s="110" t="inlineStr">
        <is>
          <t>PSA 10</t>
        </is>
      </c>
      <c r="H190" s="113" t="n">
        <v>950</v>
      </c>
      <c r="I190" s="114" t="n">
        <v>46153</v>
      </c>
      <c r="J190" s="115" t="n">
        <v>959.09</v>
      </c>
      <c r="K190" s="115" t="n">
        <v>930.66</v>
      </c>
      <c r="L190" s="115" t="n">
        <v>849.34</v>
      </c>
      <c r="M190" s="94">
        <f>IFERROR((H190-J190)/J190,0)</f>
        <v/>
      </c>
      <c r="N190" s="94">
        <f>IFERROR((H190-K190)/K190,0)</f>
        <v/>
      </c>
      <c r="O190" s="94">
        <f>IFERROR((H190-L190)/L190,0)</f>
        <v/>
      </c>
      <c r="P190" s="113" t="n">
        <v>750</v>
      </c>
      <c r="Q190" s="113" t="n">
        <v>1400</v>
      </c>
      <c r="R190" s="110" t="inlineStr">
        <is>
          <t>5-10yr</t>
        </is>
      </c>
      <c r="S190" s="110" t="n">
        <v>4</v>
      </c>
      <c r="T190" s="116" t="n">
        <v>320</v>
      </c>
      <c r="U190" s="117">
        <f>MAX(0,MIN(100,50+((M190*0.6)+(N190*0.4))*200))</f>
        <v/>
      </c>
      <c r="V190" s="117">
        <f>MAX(20,MIN(100,50+(P190-H190)/P190*100))</f>
        <v/>
      </c>
      <c r="W190" s="117">
        <f>IFERROR(MAX(0,MIN(100,100-LOG10(T190)*16)),60)</f>
        <v/>
      </c>
      <c r="X190" s="117">
        <f>IF(C190="T2",85,IF(C190="T4",70,IF(C190="T1",65,IF(C190="T3",55,45))))</f>
        <v/>
      </c>
      <c r="Y190" s="118">
        <f>U190*0.55+W190*0.20+V190*0.15+X190*0.10+ROW()/1000000</f>
        <v/>
      </c>
      <c r="Z190" s="101">
        <f>IF(Y190&gt;=75,"STRONG BUY",IF(Y190&gt;=60,"BUY",IF(Y190&gt;=40,"HOLD",IF(Y190&gt;=25,"TRIM","SELL"))))</f>
        <v/>
      </c>
      <c r="AA190" s="119" t="inlineStr">
        <is>
          <t>https://www.pricecharting.com/game/pokemon-jungle/pikachu-1st-edition-60</t>
        </is>
      </c>
      <c r="AB190" s="102" t="inlineStr">
        <is>
          <t>1st Ed Jungle Pikachu. Iconic art.</t>
        </is>
      </c>
    </row>
    <row r="191" ht="15" customHeight="1" s="81">
      <c r="A191" s="99" t="inlineStr">
        <is>
          <t>V037</t>
        </is>
      </c>
      <c r="B191" s="92" t="inlineStr">
        <is>
          <t>Vintage Graded Singles</t>
        </is>
      </c>
      <c r="C191" s="110" t="inlineStr">
        <is>
          <t>T1</t>
        </is>
      </c>
      <c r="D191" s="92" t="inlineStr">
        <is>
          <t>Snorlax</t>
        </is>
      </c>
      <c r="E191" s="92" t="inlineStr">
        <is>
          <t>Jungle 1st Edition</t>
        </is>
      </c>
      <c r="F191" s="110" t="inlineStr">
        <is>
          <t>11/64</t>
        </is>
      </c>
      <c r="G191" s="110" t="inlineStr">
        <is>
          <t>PSA 9</t>
        </is>
      </c>
      <c r="H191" s="113" t="n">
        <v>680</v>
      </c>
      <c r="I191" s="114" t="n">
        <v>46153</v>
      </c>
      <c r="J191" s="115" t="n">
        <v>673.8099999999999</v>
      </c>
      <c r="K191" s="115" t="n">
        <v>645.49</v>
      </c>
      <c r="L191" s="115" t="n">
        <v>595.6900000000001</v>
      </c>
      <c r="M191" s="94">
        <f>IFERROR((H191-J191)/J191,0)</f>
        <v/>
      </c>
      <c r="N191" s="94">
        <f>IFERROR((H191-K191)/K191,0)</f>
        <v/>
      </c>
      <c r="O191" s="94">
        <f>IFERROR((H191-L191)/L191,0)</f>
        <v/>
      </c>
      <c r="P191" s="113" t="n">
        <v>520</v>
      </c>
      <c r="Q191" s="113" t="n">
        <v>1000</v>
      </c>
      <c r="R191" s="110" t="inlineStr">
        <is>
          <t>5-10yr</t>
        </is>
      </c>
      <c r="S191" s="110" t="n">
        <v>3</v>
      </c>
      <c r="T191" s="116" t="n">
        <v>280</v>
      </c>
      <c r="U191" s="117">
        <f>MAX(0,MIN(100,50+((M191*0.6)+(N191*0.4))*200))</f>
        <v/>
      </c>
      <c r="V191" s="117">
        <f>MAX(20,MIN(100,50+(P191-H191)/P191*100))</f>
        <v/>
      </c>
      <c r="W191" s="117">
        <f>IFERROR(MAX(0,MIN(100,100-LOG10(T191)*16)),60)</f>
        <v/>
      </c>
      <c r="X191" s="117">
        <f>IF(C191="T2",85,IF(C191="T4",70,IF(C191="T1",65,IF(C191="T3",55,45))))</f>
        <v/>
      </c>
      <c r="Y191" s="118">
        <f>U191*0.55+W191*0.20+V191*0.15+X191*0.10+ROW()/1000000</f>
        <v/>
      </c>
      <c r="Z191" s="101">
        <f>IF(Y191&gt;=75,"STRONG BUY",IF(Y191&gt;=60,"BUY",IF(Y191&gt;=40,"HOLD",IF(Y191&gt;=25,"TRIM","SELL"))))</f>
        <v/>
      </c>
      <c r="AA191" s="119" t="inlineStr">
        <is>
          <t>https://www.pricecharting.com/game/pokemon-jungle/snorlax-1st-edition-11</t>
        </is>
      </c>
      <c r="AB191" s="102" t="inlineStr">
        <is>
          <t>Underrated Jungle holo.</t>
        </is>
      </c>
    </row>
    <row r="192" ht="15" customHeight="1" s="81">
      <c r="A192" s="99" t="inlineStr">
        <is>
          <t>V038</t>
        </is>
      </c>
      <c r="B192" s="92" t="inlineStr">
        <is>
          <t>Vintage Graded Singles</t>
        </is>
      </c>
      <c r="C192" s="110" t="inlineStr">
        <is>
          <t>T1</t>
        </is>
      </c>
      <c r="D192" s="92" t="inlineStr">
        <is>
          <t>Aerodactyl</t>
        </is>
      </c>
      <c r="E192" s="92" t="inlineStr">
        <is>
          <t>Fossil 1st Edition</t>
        </is>
      </c>
      <c r="F192" s="110" t="inlineStr">
        <is>
          <t>1/62</t>
        </is>
      </c>
      <c r="G192" s="110" t="inlineStr">
        <is>
          <t>PSA 9</t>
        </is>
      </c>
      <c r="H192" s="113" t="n">
        <v>580</v>
      </c>
      <c r="I192" s="114" t="n">
        <v>46153</v>
      </c>
      <c r="J192" s="115" t="n">
        <v>567.59</v>
      </c>
      <c r="K192" s="115" t="n">
        <v>559.5</v>
      </c>
      <c r="L192" s="115" t="n">
        <v>518.11</v>
      </c>
      <c r="M192" s="94">
        <f>IFERROR((H192-J192)/J192,0)</f>
        <v/>
      </c>
      <c r="N192" s="94">
        <f>IFERROR((H192-K192)/K192,0)</f>
        <v/>
      </c>
      <c r="O192" s="94">
        <f>IFERROR((H192-L192)/L192,0)</f>
        <v/>
      </c>
      <c r="P192" s="113" t="n">
        <v>450</v>
      </c>
      <c r="Q192" s="113" t="n">
        <v>850</v>
      </c>
      <c r="R192" s="110" t="inlineStr">
        <is>
          <t>5-10yr</t>
        </is>
      </c>
      <c r="S192" s="110" t="n">
        <v>3</v>
      </c>
      <c r="T192" s="116" t="n">
        <v>320</v>
      </c>
      <c r="U192" s="117">
        <f>MAX(0,MIN(100,50+((M192*0.6)+(N192*0.4))*200))</f>
        <v/>
      </c>
      <c r="V192" s="117">
        <f>MAX(20,MIN(100,50+(P192-H192)/P192*100))</f>
        <v/>
      </c>
      <c r="W192" s="117">
        <f>IFERROR(MAX(0,MIN(100,100-LOG10(T192)*16)),60)</f>
        <v/>
      </c>
      <c r="X192" s="117">
        <f>IF(C192="T2",85,IF(C192="T4",70,IF(C192="T1",65,IF(C192="T3",55,45))))</f>
        <v/>
      </c>
      <c r="Y192" s="118">
        <f>U192*0.55+W192*0.20+V192*0.15+X192*0.10+ROW()/1000000</f>
        <v/>
      </c>
      <c r="Z192" s="101">
        <f>IF(Y192&gt;=75,"STRONG BUY",IF(Y192&gt;=60,"BUY",IF(Y192&gt;=40,"HOLD",IF(Y192&gt;=25,"TRIM","SELL"))))</f>
        <v/>
      </c>
      <c r="AA192" s="119" t="inlineStr">
        <is>
          <t>https://www.pricecharting.com/game/pokemon-fossil/aerodactyl-1st-edition-1</t>
        </is>
      </c>
      <c r="AB192" s="102" t="inlineStr">
        <is>
          <t>Card #1 Fossil 1st Ed.</t>
        </is>
      </c>
    </row>
    <row r="193" ht="15" customHeight="1" s="81">
      <c r="A193" s="99" t="inlineStr">
        <is>
          <t>V039</t>
        </is>
      </c>
      <c r="B193" s="92" t="inlineStr">
        <is>
          <t>Vintage Graded Singles</t>
        </is>
      </c>
      <c r="C193" s="110" t="inlineStr">
        <is>
          <t>T1</t>
        </is>
      </c>
      <c r="D193" s="92" t="inlineStr">
        <is>
          <t>Gengar</t>
        </is>
      </c>
      <c r="E193" s="92" t="inlineStr">
        <is>
          <t>Fossil 1st Edition</t>
        </is>
      </c>
      <c r="F193" s="110" t="inlineStr">
        <is>
          <t>5/62</t>
        </is>
      </c>
      <c r="G193" s="110" t="inlineStr">
        <is>
          <t>PSA 9</t>
        </is>
      </c>
      <c r="H193" s="113" t="n">
        <v>720</v>
      </c>
      <c r="I193" s="114" t="n">
        <v>46153</v>
      </c>
      <c r="J193" s="115" t="n">
        <v>716.09</v>
      </c>
      <c r="K193" s="115" t="n">
        <v>671.05</v>
      </c>
      <c r="L193" s="115" t="n">
        <v>618.58</v>
      </c>
      <c r="M193" s="94">
        <f>IFERROR((H193-J193)/J193,0)</f>
        <v/>
      </c>
      <c r="N193" s="94">
        <f>IFERROR((H193-K193)/K193,0)</f>
        <v/>
      </c>
      <c r="O193" s="94">
        <f>IFERROR((H193-L193)/L193,0)</f>
        <v/>
      </c>
      <c r="P193" s="113" t="n">
        <v>550</v>
      </c>
      <c r="Q193" s="113" t="n">
        <v>1050</v>
      </c>
      <c r="R193" s="110" t="inlineStr">
        <is>
          <t>5-10yr</t>
        </is>
      </c>
      <c r="S193" s="110" t="n">
        <v>4</v>
      </c>
      <c r="T193" s="116" t="n">
        <v>280</v>
      </c>
      <c r="U193" s="117">
        <f>MAX(0,MIN(100,50+((M193*0.6)+(N193*0.4))*200))</f>
        <v/>
      </c>
      <c r="V193" s="117">
        <f>MAX(20,MIN(100,50+(P193-H193)/P193*100))</f>
        <v/>
      </c>
      <c r="W193" s="117">
        <f>IFERROR(MAX(0,MIN(100,100-LOG10(T193)*16)),60)</f>
        <v/>
      </c>
      <c r="X193" s="117">
        <f>IF(C193="T2",85,IF(C193="T4",70,IF(C193="T1",65,IF(C193="T3",55,45))))</f>
        <v/>
      </c>
      <c r="Y193" s="118">
        <f>U193*0.55+W193*0.20+V193*0.15+X193*0.10+ROW()/1000000</f>
        <v/>
      </c>
      <c r="Z193" s="101">
        <f>IF(Y193&gt;=75,"STRONG BUY",IF(Y193&gt;=60,"BUY",IF(Y193&gt;=40,"HOLD",IF(Y193&gt;=25,"TRIM","SELL"))))</f>
        <v/>
      </c>
      <c r="AA193" s="119" t="inlineStr">
        <is>
          <t>https://www.pricecharting.com/game/pokemon-fossil/gengar-1st-edition-5</t>
        </is>
      </c>
      <c r="AB193" s="102" t="inlineStr">
        <is>
          <t>Mega Gengar tailwind. +7%/30D.</t>
        </is>
      </c>
    </row>
    <row r="194" ht="15" customHeight="1" s="81">
      <c r="A194" s="99" t="inlineStr">
        <is>
          <t>V040</t>
        </is>
      </c>
      <c r="B194" s="92" t="inlineStr">
        <is>
          <t>Vintage Graded Singles</t>
        </is>
      </c>
      <c r="C194" s="110" t="inlineStr">
        <is>
          <t>T1</t>
        </is>
      </c>
      <c r="D194" s="92" t="inlineStr">
        <is>
          <t>Dark Charizard</t>
        </is>
      </c>
      <c r="E194" s="92" t="inlineStr">
        <is>
          <t>Team Rocket 1st Edition</t>
        </is>
      </c>
      <c r="F194" s="110" t="inlineStr">
        <is>
          <t>4/82</t>
        </is>
      </c>
      <c r="G194" s="110" t="inlineStr">
        <is>
          <t>PSA 10</t>
        </is>
      </c>
      <c r="H194" s="113" t="n">
        <v>4800</v>
      </c>
      <c r="I194" s="114" t="n">
        <v>46153</v>
      </c>
      <c r="J194" s="115" t="n">
        <v>4666.88</v>
      </c>
      <c r="K194" s="115" t="n">
        <v>4460.77</v>
      </c>
      <c r="L194" s="115" t="n">
        <v>4256.12</v>
      </c>
      <c r="M194" s="94">
        <f>IFERROR((H194-J194)/J194,0)</f>
        <v/>
      </c>
      <c r="N194" s="94">
        <f>IFERROR((H194-K194)/K194,0)</f>
        <v/>
      </c>
      <c r="O194" s="94">
        <f>IFERROR((H194-L194)/L194,0)</f>
        <v/>
      </c>
      <c r="P194" s="113" t="n">
        <v>3700</v>
      </c>
      <c r="Q194" s="113" t="n">
        <v>7000</v>
      </c>
      <c r="R194" s="110" t="inlineStr">
        <is>
          <t>5-10yr</t>
        </is>
      </c>
      <c r="S194" s="110" t="n">
        <v>4</v>
      </c>
      <c r="T194" s="116" t="n">
        <v>110</v>
      </c>
      <c r="U194" s="117">
        <f>MAX(0,MIN(100,50+((M194*0.6)+(N194*0.4))*200))</f>
        <v/>
      </c>
      <c r="V194" s="117">
        <f>MAX(20,MIN(100,50+(P194-H194)/P194*100))</f>
        <v/>
      </c>
      <c r="W194" s="117">
        <f>IFERROR(MAX(0,MIN(100,100-LOG10(T194)*16)),60)</f>
        <v/>
      </c>
      <c r="X194" s="117">
        <f>IF(C194="T2",85,IF(C194="T4",70,IF(C194="T1",65,IF(C194="T3",55,45))))</f>
        <v/>
      </c>
      <c r="Y194" s="118">
        <f>U194*0.55+W194*0.20+V194*0.15+X194*0.10+ROW()/1000000</f>
        <v/>
      </c>
      <c r="Z194" s="101">
        <f>IF(Y194&gt;=75,"STRONG BUY",IF(Y194&gt;=60,"BUY",IF(Y194&gt;=40,"HOLD",IF(Y194&gt;=25,"TRIM","SELL"))))</f>
        <v/>
      </c>
      <c r="AA194" s="119" t="inlineStr">
        <is>
          <t>https://www.pricecharting.com/game/pokemon-team-rocket/dark-charizard-1st-edition-4</t>
        </is>
      </c>
      <c r="AB194" s="102" t="inlineStr">
        <is>
          <t>PSA 10 version. Pop ~110.</t>
        </is>
      </c>
    </row>
    <row r="195" ht="15" customHeight="1" s="81">
      <c r="A195" s="99" t="inlineStr">
        <is>
          <t>V041</t>
        </is>
      </c>
      <c r="B195" s="92" t="inlineStr">
        <is>
          <t>Vintage Graded Singles</t>
        </is>
      </c>
      <c r="C195" s="110" t="inlineStr">
        <is>
          <t>T1</t>
        </is>
      </c>
      <c r="D195" s="92" t="inlineStr">
        <is>
          <t>Dark Blastoise</t>
        </is>
      </c>
      <c r="E195" s="92" t="inlineStr">
        <is>
          <t>Team Rocket 1st Edition</t>
        </is>
      </c>
      <c r="F195" s="110" t="inlineStr">
        <is>
          <t>20/82</t>
        </is>
      </c>
      <c r="G195" s="110" t="inlineStr">
        <is>
          <t>PSA 9</t>
        </is>
      </c>
      <c r="H195" s="113" t="n">
        <v>380</v>
      </c>
      <c r="I195" s="114" t="n">
        <v>46153</v>
      </c>
      <c r="J195" s="115" t="n">
        <v>371.28</v>
      </c>
      <c r="K195" s="115" t="n">
        <v>359.79</v>
      </c>
      <c r="L195" s="115" t="n">
        <v>348.8</v>
      </c>
      <c r="M195" s="94">
        <f>IFERROR((H195-J195)/J195,0)</f>
        <v/>
      </c>
      <c r="N195" s="94">
        <f>IFERROR((H195-K195)/K195,0)</f>
        <v/>
      </c>
      <c r="O195" s="94">
        <f>IFERROR((H195-L195)/L195,0)</f>
        <v/>
      </c>
      <c r="P195" s="113" t="n">
        <v>290</v>
      </c>
      <c r="Q195" s="113" t="n">
        <v>560</v>
      </c>
      <c r="R195" s="110" t="inlineStr">
        <is>
          <t>5-10yr</t>
        </is>
      </c>
      <c r="S195" s="110" t="n">
        <v>3</v>
      </c>
      <c r="T195" s="116" t="n">
        <v>380</v>
      </c>
      <c r="U195" s="117">
        <f>MAX(0,MIN(100,50+((M195*0.6)+(N195*0.4))*200))</f>
        <v/>
      </c>
      <c r="V195" s="117">
        <f>MAX(20,MIN(100,50+(P195-H195)/P195*100))</f>
        <v/>
      </c>
      <c r="W195" s="117">
        <f>IFERROR(MAX(0,MIN(100,100-LOG10(T195)*16)),60)</f>
        <v/>
      </c>
      <c r="X195" s="117">
        <f>IF(C195="T2",85,IF(C195="T4",70,IF(C195="T1",65,IF(C195="T3",55,45))))</f>
        <v/>
      </c>
      <c r="Y195" s="118">
        <f>U195*0.55+W195*0.20+V195*0.15+X195*0.10+ROW()/1000000</f>
        <v/>
      </c>
      <c r="Z195" s="101">
        <f>IF(Y195&gt;=75,"STRONG BUY",IF(Y195&gt;=60,"BUY",IF(Y195&gt;=40,"HOLD",IF(Y195&gt;=25,"TRIM","SELL"))))</f>
        <v/>
      </c>
      <c r="AA195" s="119" t="inlineStr">
        <is>
          <t>https://www.pricecharting.com/game/pokemon-team-rocket/dark-blastoise-1st-edition-20</t>
        </is>
      </c>
      <c r="AB195" s="102" t="inlineStr">
        <is>
          <t>Team Rocket starter dark variants.</t>
        </is>
      </c>
    </row>
    <row r="196" ht="15" customHeight="1" s="81">
      <c r="A196" s="99" t="inlineStr">
        <is>
          <t>V042</t>
        </is>
      </c>
      <c r="B196" s="92" t="inlineStr">
        <is>
          <t>Vintage Graded Singles</t>
        </is>
      </c>
      <c r="C196" s="110" t="inlineStr">
        <is>
          <t>T1</t>
        </is>
      </c>
      <c r="D196" s="92" t="inlineStr">
        <is>
          <t>Suicune</t>
        </is>
      </c>
      <c r="E196" s="92" t="inlineStr">
        <is>
          <t>Neo Revelation 1st Edition</t>
        </is>
      </c>
      <c r="F196" s="110" t="inlineStr">
        <is>
          <t>14/64</t>
        </is>
      </c>
      <c r="G196" s="110" t="inlineStr">
        <is>
          <t>PSA 9</t>
        </is>
      </c>
      <c r="H196" s="113" t="n">
        <v>850</v>
      </c>
      <c r="I196" s="114" t="n">
        <v>46153</v>
      </c>
      <c r="J196" s="115" t="n">
        <v>836.6799999999999</v>
      </c>
      <c r="K196" s="115" t="n">
        <v>823.3</v>
      </c>
      <c r="L196" s="115" t="n">
        <v>746.52</v>
      </c>
      <c r="M196" s="94">
        <f>IFERROR((H196-J196)/J196,0)</f>
        <v/>
      </c>
      <c r="N196" s="94">
        <f>IFERROR((H196-K196)/K196,0)</f>
        <v/>
      </c>
      <c r="O196" s="94">
        <f>IFERROR((H196-L196)/L196,0)</f>
        <v/>
      </c>
      <c r="P196" s="113" t="n">
        <v>650</v>
      </c>
      <c r="Q196" s="113" t="n">
        <v>1250</v>
      </c>
      <c r="R196" s="110" t="inlineStr">
        <is>
          <t>5-10yr</t>
        </is>
      </c>
      <c r="S196" s="110" t="n">
        <v>3</v>
      </c>
      <c r="T196" s="116" t="n">
        <v>240</v>
      </c>
      <c r="U196" s="117">
        <f>MAX(0,MIN(100,50+((M196*0.6)+(N196*0.4))*200))</f>
        <v/>
      </c>
      <c r="V196" s="117">
        <f>MAX(20,MIN(100,50+(P196-H196)/P196*100))</f>
        <v/>
      </c>
      <c r="W196" s="117">
        <f>IFERROR(MAX(0,MIN(100,100-LOG10(T196)*16)),60)</f>
        <v/>
      </c>
      <c r="X196" s="117">
        <f>IF(C196="T2",85,IF(C196="T4",70,IF(C196="T1",65,IF(C196="T3",55,45))))</f>
        <v/>
      </c>
      <c r="Y196" s="118">
        <f>U196*0.55+W196*0.20+V196*0.15+X196*0.10+ROW()/1000000</f>
        <v/>
      </c>
      <c r="Z196" s="101">
        <f>IF(Y196&gt;=75,"STRONG BUY",IF(Y196&gt;=60,"BUY",IF(Y196&gt;=40,"HOLD",IF(Y196&gt;=25,"TRIM","SELL"))))</f>
        <v/>
      </c>
      <c r="AA196" s="119" t="inlineStr">
        <is>
          <t>https://www.pricecharting.com/game/pokemon-neo-revelation/suicune-1st-edition-14</t>
        </is>
      </c>
      <c r="AB196" s="102" t="inlineStr">
        <is>
          <t>Neo Revelation legendary dog.</t>
        </is>
      </c>
    </row>
    <row r="197" ht="15" customHeight="1" s="81">
      <c r="A197" s="99" t="inlineStr">
        <is>
          <t>V043</t>
        </is>
      </c>
      <c r="B197" s="92" t="inlineStr">
        <is>
          <t>Vintage Graded Singles</t>
        </is>
      </c>
      <c r="C197" s="110" t="inlineStr">
        <is>
          <t>T1</t>
        </is>
      </c>
      <c r="D197" s="92" t="inlineStr">
        <is>
          <t>Ho-Oh</t>
        </is>
      </c>
      <c r="E197" s="92" t="inlineStr">
        <is>
          <t>Neo Revelation 1st Edition</t>
        </is>
      </c>
      <c r="F197" s="110" t="inlineStr">
        <is>
          <t>7/64</t>
        </is>
      </c>
      <c r="G197" s="110" t="inlineStr">
        <is>
          <t>PSA 9</t>
        </is>
      </c>
      <c r="H197" s="113" t="n">
        <v>1100</v>
      </c>
      <c r="I197" s="114" t="n">
        <v>46153</v>
      </c>
      <c r="J197" s="115" t="n">
        <v>1068.97</v>
      </c>
      <c r="K197" s="115" t="n">
        <v>1054.8</v>
      </c>
      <c r="L197" s="115" t="n">
        <v>971.72</v>
      </c>
      <c r="M197" s="94">
        <f>IFERROR((H197-J197)/J197,0)</f>
        <v/>
      </c>
      <c r="N197" s="94">
        <f>IFERROR((H197-K197)/K197,0)</f>
        <v/>
      </c>
      <c r="O197" s="94">
        <f>IFERROR((H197-L197)/L197,0)</f>
        <v/>
      </c>
      <c r="P197" s="113" t="n">
        <v>850</v>
      </c>
      <c r="Q197" s="113" t="n">
        <v>1600</v>
      </c>
      <c r="R197" s="110" t="inlineStr">
        <is>
          <t>5-10yr</t>
        </is>
      </c>
      <c r="S197" s="110" t="n">
        <v>4</v>
      </c>
      <c r="T197" s="116" t="n">
        <v>220</v>
      </c>
      <c r="U197" s="117">
        <f>MAX(0,MIN(100,50+((M197*0.6)+(N197*0.4))*200))</f>
        <v/>
      </c>
      <c r="V197" s="117">
        <f>MAX(20,MIN(100,50+(P197-H197)/P197*100))</f>
        <v/>
      </c>
      <c r="W197" s="117">
        <f>IFERROR(MAX(0,MIN(100,100-LOG10(T197)*16)),60)</f>
        <v/>
      </c>
      <c r="X197" s="117">
        <f>IF(C197="T2",85,IF(C197="T4",70,IF(C197="T1",65,IF(C197="T3",55,45))))</f>
        <v/>
      </c>
      <c r="Y197" s="118">
        <f>U197*0.55+W197*0.20+V197*0.15+X197*0.10+ROW()/1000000</f>
        <v/>
      </c>
      <c r="Z197" s="101">
        <f>IF(Y197&gt;=75,"STRONG BUY",IF(Y197&gt;=60,"BUY",IF(Y197&gt;=40,"HOLD",IF(Y197&gt;=25,"TRIM","SELL"))))</f>
        <v/>
      </c>
      <c r="AA197" s="119" t="inlineStr">
        <is>
          <t>https://www.pricecharting.com/game/pokemon-neo-revelation/ho-oh-1st-edition-7</t>
        </is>
      </c>
      <c r="AB197" s="102" t="inlineStr">
        <is>
          <t>Original Ho-Oh holo.</t>
        </is>
      </c>
    </row>
    <row r="198" ht="15" customHeight="1" s="81">
      <c r="A198" s="99" t="inlineStr">
        <is>
          <t>X016</t>
        </is>
      </c>
      <c r="B198" s="92" t="inlineStr">
        <is>
          <t>Modern Chase PSA 10</t>
        </is>
      </c>
      <c r="C198" s="110" t="inlineStr">
        <is>
          <t>T5</t>
        </is>
      </c>
      <c r="D198" s="92" t="inlineStr">
        <is>
          <t>Erika SIR</t>
        </is>
      </c>
      <c r="E198" s="92" t="inlineStr">
        <is>
          <t>151</t>
        </is>
      </c>
      <c r="F198" s="110" t="inlineStr">
        <is>
          <t>207/165</t>
        </is>
      </c>
      <c r="G198" s="110" t="inlineStr">
        <is>
          <t>PSA 10</t>
        </is>
      </c>
      <c r="H198" s="113" t="n">
        <v>240</v>
      </c>
      <c r="I198" s="114" t="n">
        <v>46153</v>
      </c>
      <c r="J198" s="115" t="n">
        <v>233.33</v>
      </c>
      <c r="K198" s="115" t="n">
        <v>226.34</v>
      </c>
      <c r="L198" s="115" t="n">
        <v>208.94</v>
      </c>
      <c r="M198" s="94">
        <f>IFERROR((H198-J198)/J198,0)</f>
        <v/>
      </c>
      <c r="N198" s="94">
        <f>IFERROR((H198-K198)/K198,0)</f>
        <v/>
      </c>
      <c r="O198" s="94">
        <f>IFERROR((H198-L198)/L198,0)</f>
        <v/>
      </c>
      <c r="P198" s="113" t="n">
        <v>180</v>
      </c>
      <c r="Q198" s="113" t="n">
        <v>350</v>
      </c>
      <c r="R198" s="110" t="inlineStr">
        <is>
          <t>2-5yr</t>
        </is>
      </c>
      <c r="S198" s="110" t="n">
        <v>3</v>
      </c>
      <c r="T198" s="116" t="n">
        <v>1600</v>
      </c>
      <c r="U198" s="117">
        <f>MAX(0,MIN(100,50+((M198*0.6)+(N198*0.4))*200))</f>
        <v/>
      </c>
      <c r="V198" s="117">
        <f>MAX(20,MIN(100,50+(P198-H198)/P198*100))</f>
        <v/>
      </c>
      <c r="W198" s="117">
        <f>IFERROR(MAX(0,MIN(100,100-LOG10(T198)*16)),60)</f>
        <v/>
      </c>
      <c r="X198" s="117">
        <f>IF(C198="T2",85,IF(C198="T4",70,IF(C198="T1",65,IF(C198="T3",55,45))))</f>
        <v/>
      </c>
      <c r="Y198" s="118">
        <f>U198*0.55+W198*0.20+V198*0.15+X198*0.10+ROW()/1000000</f>
        <v/>
      </c>
      <c r="Z198" s="101">
        <f>IF(Y198&gt;=75,"STRONG BUY",IF(Y198&gt;=60,"BUY",IF(Y198&gt;=40,"HOLD",IF(Y198&gt;=25,"TRIM","SELL"))))</f>
        <v/>
      </c>
      <c r="AA198" s="119" t="inlineStr">
        <is>
          <t>https://www.tcgplayer.com/product/498108</t>
        </is>
      </c>
      <c r="AB198" s="102" t="inlineStr">
        <is>
          <t>151 Gym Leader SIR. Erika fanbase.</t>
        </is>
      </c>
    </row>
    <row r="199" ht="23.25" customHeight="1" s="81">
      <c r="A199" s="99" t="inlineStr">
        <is>
          <t>X017</t>
        </is>
      </c>
      <c r="B199" s="92" t="inlineStr">
        <is>
          <t>Modern Chase PSA 10</t>
        </is>
      </c>
      <c r="C199" s="110" t="inlineStr">
        <is>
          <t>T5</t>
        </is>
      </c>
      <c r="D199" s="92" t="inlineStr">
        <is>
          <t>Misty's Tears Full Art</t>
        </is>
      </c>
      <c r="E199" s="92" t="inlineStr">
        <is>
          <t>Promo</t>
        </is>
      </c>
      <c r="F199" s="110" t="inlineStr">
        <is>
          <t>Misty Promo</t>
        </is>
      </c>
      <c r="G199" s="110" t="inlineStr">
        <is>
          <t>PSA 10</t>
        </is>
      </c>
      <c r="H199" s="113" t="n">
        <v>380</v>
      </c>
      <c r="I199" s="114" t="n">
        <v>46153</v>
      </c>
      <c r="J199" s="115" t="n">
        <v>365.97</v>
      </c>
      <c r="K199" s="115" t="n">
        <v>352.82</v>
      </c>
      <c r="L199" s="115" t="n">
        <v>316.77</v>
      </c>
      <c r="M199" s="94">
        <f>IFERROR((H199-J199)/J199,0)</f>
        <v/>
      </c>
      <c r="N199" s="94">
        <f>IFERROR((H199-K199)/K199,0)</f>
        <v/>
      </c>
      <c r="O199" s="94">
        <f>IFERROR((H199-L199)/L199,0)</f>
        <v/>
      </c>
      <c r="P199" s="113" t="n">
        <v>290</v>
      </c>
      <c r="Q199" s="113" t="n">
        <v>560</v>
      </c>
      <c r="R199" s="110" t="inlineStr">
        <is>
          <t>3-5yr</t>
        </is>
      </c>
      <c r="S199" s="110" t="n">
        <v>4</v>
      </c>
      <c r="T199" s="116" t="n">
        <v>850</v>
      </c>
      <c r="U199" s="117">
        <f>MAX(0,MIN(100,50+((M199*0.6)+(N199*0.4))*200))</f>
        <v/>
      </c>
      <c r="V199" s="117">
        <f>MAX(20,MIN(100,50+(P199-H199)/P199*100))</f>
        <v/>
      </c>
      <c r="W199" s="117">
        <f>IFERROR(MAX(0,MIN(100,100-LOG10(T199)*16)),60)</f>
        <v/>
      </c>
      <c r="X199" s="117">
        <f>IF(C199="T2",85,IF(C199="T4",70,IF(C199="T1",65,IF(C199="T3",55,45))))</f>
        <v/>
      </c>
      <c r="Y199" s="118">
        <f>U199*0.55+W199*0.20+V199*0.15+X199*0.10+ROW()/1000000</f>
        <v/>
      </c>
      <c r="Z199" s="101">
        <f>IF(Y199&gt;=75,"STRONG BUY",IF(Y199&gt;=60,"BUY",IF(Y199&gt;=40,"HOLD",IF(Y199&gt;=25,"TRIM","SELL"))))</f>
        <v/>
      </c>
      <c r="AA199" s="119" t="inlineStr">
        <is>
          <t>https://www.pricecharting.com/game/pokemon-promo/mistys-tears</t>
        </is>
      </c>
      <c r="AB199" s="102" t="inlineStr">
        <is>
          <t>Misty trainer promo. Pre-Iono era waifu.</t>
        </is>
      </c>
    </row>
    <row r="200" ht="15" customHeight="1" s="81">
      <c r="A200" s="99" t="inlineStr">
        <is>
          <t>X018</t>
        </is>
      </c>
      <c r="B200" s="92" t="inlineStr">
        <is>
          <t>Modern Chase PSA 10</t>
        </is>
      </c>
      <c r="C200" s="110" t="inlineStr">
        <is>
          <t>T5</t>
        </is>
      </c>
      <c r="D200" s="92" t="inlineStr">
        <is>
          <t>Latias and Latios GX</t>
        </is>
      </c>
      <c r="E200" s="92" t="inlineStr">
        <is>
          <t>Hidden Fates</t>
        </is>
      </c>
      <c r="F200" s="110" t="inlineStr">
        <is>
          <t>169/68</t>
        </is>
      </c>
      <c r="G200" s="110" t="inlineStr">
        <is>
          <t>PSA 10</t>
        </is>
      </c>
      <c r="H200" s="113" t="n">
        <v>360</v>
      </c>
      <c r="I200" s="114" t="n">
        <v>46153</v>
      </c>
      <c r="J200" s="115" t="n">
        <v>271.72</v>
      </c>
      <c r="K200" s="115" t="n">
        <v>266.2</v>
      </c>
      <c r="L200" s="115" t="n">
        <v>244.87</v>
      </c>
      <c r="M200" s="94">
        <f>IFERROR((H200-J200)/J200,0)</f>
        <v/>
      </c>
      <c r="N200" s="94">
        <f>IFERROR((H200-K200)/K200,0)</f>
        <v/>
      </c>
      <c r="O200" s="94">
        <f>IFERROR((H200-L200)/L200,0)</f>
        <v/>
      </c>
      <c r="P200" s="113" t="n">
        <v>270</v>
      </c>
      <c r="Q200" s="113" t="n">
        <v>540</v>
      </c>
      <c r="R200" s="110" t="inlineStr">
        <is>
          <t>3-5yr</t>
        </is>
      </c>
      <c r="S200" s="110" t="n">
        <v>3</v>
      </c>
      <c r="T200" s="116" t="n">
        <v>950</v>
      </c>
      <c r="U200" s="117">
        <f>MAX(0,MIN(100,50+((M200*0.6)+(N200*0.4))*200))</f>
        <v/>
      </c>
      <c r="V200" s="117">
        <f>MAX(20,MIN(100,50+(P200-H200)/P200*100))</f>
        <v/>
      </c>
      <c r="W200" s="117">
        <f>IFERROR(MAX(0,MIN(100,100-LOG10(T200)*16)),60)</f>
        <v/>
      </c>
      <c r="X200" s="117">
        <f>IF(C200="T2",85,IF(C200="T4",70,IF(C200="T1",65,IF(C200="T3",55,45))))</f>
        <v/>
      </c>
      <c r="Y200" s="118">
        <f>U200*0.55+W200*0.20+V200*0.15+X200*0.10+ROW()/1000000</f>
        <v/>
      </c>
      <c r="Z200" s="101">
        <f>IF(Y200&gt;=75,"STRONG BUY",IF(Y200&gt;=60,"BUY",IF(Y200&gt;=40,"HOLD",IF(Y200&gt;=25,"TRIM","SELL"))))</f>
        <v/>
      </c>
      <c r="AA200" s="119" t="inlineStr">
        <is>
          <t>https://www.pricecharting.com/game/pokemon-hidden-fates/latias-and-latios-gx-169</t>
        </is>
      </c>
      <c r="AB200" s="102" t="inlineStr">
        <is>
          <t>Hidden Fates Tag Team. Eon duo.</t>
        </is>
      </c>
    </row>
    <row r="201" ht="23.25" customHeight="1" s="81">
      <c r="A201" s="99" t="inlineStr">
        <is>
          <t>X019</t>
        </is>
      </c>
      <c r="B201" s="92" t="inlineStr">
        <is>
          <t>Modern Chase PSA 10</t>
        </is>
      </c>
      <c r="C201" s="110" t="inlineStr">
        <is>
          <t>T5</t>
        </is>
      </c>
      <c r="D201" s="92" t="inlineStr">
        <is>
          <t>Charizard GX Hidden Fates Shiny</t>
        </is>
      </c>
      <c r="E201" s="92" t="inlineStr">
        <is>
          <t>Hidden Fates</t>
        </is>
      </c>
      <c r="F201" s="110" t="inlineStr">
        <is>
          <t>SV49/SV94</t>
        </is>
      </c>
      <c r="G201" s="110" t="inlineStr">
        <is>
          <t>PSA 10</t>
        </is>
      </c>
      <c r="H201" s="113" t="n">
        <v>320</v>
      </c>
      <c r="I201" s="114" t="n">
        <v>46153</v>
      </c>
      <c r="J201" s="115" t="n">
        <v>236.63</v>
      </c>
      <c r="K201" s="115" t="n">
        <v>226.97</v>
      </c>
      <c r="L201" s="115" t="n">
        <v>209.24</v>
      </c>
      <c r="M201" s="94">
        <f>IFERROR((H201-J201)/J201,0)</f>
        <v/>
      </c>
      <c r="N201" s="94">
        <f>IFERROR((H201-K201)/K201,0)</f>
        <v/>
      </c>
      <c r="O201" s="94">
        <f>IFERROR((H201-L201)/L201,0)</f>
        <v/>
      </c>
      <c r="P201" s="113" t="n">
        <v>240</v>
      </c>
      <c r="Q201" s="113" t="n">
        <v>480</v>
      </c>
      <c r="R201" s="110" t="inlineStr">
        <is>
          <t>3-5yr</t>
        </is>
      </c>
      <c r="S201" s="110" t="n">
        <v>4</v>
      </c>
      <c r="T201" s="116" t="n">
        <v>1200</v>
      </c>
      <c r="U201" s="117">
        <f>MAX(0,MIN(100,50+((M201*0.6)+(N201*0.4))*200))</f>
        <v/>
      </c>
      <c r="V201" s="117">
        <f>MAX(20,MIN(100,50+(P201-H201)/P201*100))</f>
        <v/>
      </c>
      <c r="W201" s="117">
        <f>IFERROR(MAX(0,MIN(100,100-LOG10(T201)*16)),60)</f>
        <v/>
      </c>
      <c r="X201" s="117">
        <f>IF(C201="T2",85,IF(C201="T4",70,IF(C201="T1",65,IF(C201="T3",55,45))))</f>
        <v/>
      </c>
      <c r="Y201" s="118">
        <f>U201*0.55+W201*0.20+V201*0.15+X201*0.10+ROW()/1000000</f>
        <v/>
      </c>
      <c r="Z201" s="101">
        <f>IF(Y201&gt;=75,"STRONG BUY",IF(Y201&gt;=60,"BUY",IF(Y201&gt;=40,"HOLD",IF(Y201&gt;=25,"TRIM","SELL"))))</f>
        <v/>
      </c>
      <c r="AA201" s="119" t="inlineStr">
        <is>
          <t>https://www.pricecharting.com/game/pokemon-hidden-fates/charizard-gx-shiny-sv49</t>
        </is>
      </c>
      <c r="AB201" s="102" t="inlineStr">
        <is>
          <t>Shiny Charizard GX. Lower entry to Charizard family.</t>
        </is>
      </c>
    </row>
    <row r="202" ht="15" customHeight="1" s="81">
      <c r="A202" s="99" t="inlineStr">
        <is>
          <t>X020</t>
        </is>
      </c>
      <c r="B202" s="92" t="inlineStr">
        <is>
          <t>Modern Chase PSA 10</t>
        </is>
      </c>
      <c r="C202" s="110" t="inlineStr">
        <is>
          <t>T5</t>
        </is>
      </c>
      <c r="D202" s="92" t="inlineStr">
        <is>
          <t>Mewtwo and Mew GX Hidden Fates</t>
        </is>
      </c>
      <c r="E202" s="92" t="inlineStr">
        <is>
          <t>Hidden Fates</t>
        </is>
      </c>
      <c r="F202" s="110" t="inlineStr">
        <is>
          <t>SM196</t>
        </is>
      </c>
      <c r="G202" s="110" t="inlineStr">
        <is>
          <t>PSA 10</t>
        </is>
      </c>
      <c r="H202" s="113" t="n">
        <v>440</v>
      </c>
      <c r="I202" s="114" t="n">
        <v>46153</v>
      </c>
      <c r="J202" s="115" t="n">
        <v>318.5</v>
      </c>
      <c r="K202" s="115" t="n">
        <v>298.89</v>
      </c>
      <c r="L202" s="115" t="n">
        <v>282.97</v>
      </c>
      <c r="M202" s="94">
        <f>IFERROR((H202-J202)/J202,0)</f>
        <v/>
      </c>
      <c r="N202" s="94">
        <f>IFERROR((H202-K202)/K202,0)</f>
        <v/>
      </c>
      <c r="O202" s="94">
        <f>IFERROR((H202-L202)/L202,0)</f>
        <v/>
      </c>
      <c r="P202" s="113" t="n">
        <v>330</v>
      </c>
      <c r="Q202" s="113" t="n">
        <v>660</v>
      </c>
      <c r="R202" s="110" t="inlineStr">
        <is>
          <t>3-5yr</t>
        </is>
      </c>
      <c r="S202" s="110" t="n">
        <v>4</v>
      </c>
      <c r="T202" s="116" t="n">
        <v>1100</v>
      </c>
      <c r="U202" s="117">
        <f>MAX(0,MIN(100,50+((M202*0.6)+(N202*0.4))*200))</f>
        <v/>
      </c>
      <c r="V202" s="117">
        <f>MAX(20,MIN(100,50+(P202-H202)/P202*100))</f>
        <v/>
      </c>
      <c r="W202" s="117">
        <f>IFERROR(MAX(0,MIN(100,100-LOG10(T202)*16)),60)</f>
        <v/>
      </c>
      <c r="X202" s="117">
        <f>IF(C202="T2",85,IF(C202="T4",70,IF(C202="T1",65,IF(C202="T3",55,45))))</f>
        <v/>
      </c>
      <c r="Y202" s="118">
        <f>U202*0.55+W202*0.20+V202*0.15+X202*0.10+ROW()/1000000</f>
        <v/>
      </c>
      <c r="Z202" s="101">
        <f>IF(Y202&gt;=75,"STRONG BUY",IF(Y202&gt;=60,"BUY",IF(Y202&gt;=40,"HOLD",IF(Y202&gt;=25,"TRIM","SELL"))))</f>
        <v/>
      </c>
      <c r="AA202" s="119" t="inlineStr">
        <is>
          <t>https://www.pricecharting.com/game/pokemon-promo/mewtwo-mew-gx-sm196</t>
        </is>
      </c>
      <c r="AB202" s="102" t="inlineStr">
        <is>
          <t>Tag Team legends. Cult favorite.</t>
        </is>
      </c>
    </row>
    <row r="203" ht="15" customHeight="1" s="81">
      <c r="A203" s="80" t="inlineStr">
        <is>
          <t>P001</t>
        </is>
      </c>
      <c r="B203" s="80" t="inlineStr">
        <is>
          <t>Modern Chase PSA 10</t>
        </is>
      </c>
      <c r="C203" s="80" t="inlineStr">
        <is>
          <t>T5</t>
        </is>
      </c>
      <c r="D203" s="80" t="inlineStr">
        <is>
          <t>Carmine Holo Trainer</t>
        </is>
      </c>
      <c r="E203" s="80" t="inlineStr">
        <is>
          <t>Twilight Masquerade</t>
        </is>
      </c>
      <c r="F203" s="80" t="inlineStr">
        <is>
          <t>169/167</t>
        </is>
      </c>
      <c r="G203" s="80" t="inlineStr">
        <is>
          <t>Raw NM</t>
        </is>
      </c>
      <c r="H203" s="105" t="n">
        <v>4</v>
      </c>
      <c r="P203" s="121" t="n">
        <v>3</v>
      </c>
      <c r="Q203" s="121" t="n">
        <v>12</v>
      </c>
      <c r="R203" s="80" t="inlineStr">
        <is>
          <t>1-2yr</t>
        </is>
      </c>
      <c r="S203" s="80" t="n">
        <v>3</v>
      </c>
      <c r="Y203" s="80">
        <f>U203*0.55+W203*0.20+V203*0.15+X203*0.10+ROW()/1000000</f>
        <v/>
      </c>
      <c r="AA203" s="122" t="inlineStr">
        <is>
          <t>https://www.tcgplayer.com/product/567050</t>
        </is>
      </c>
      <c r="AB203" s="80" t="inlineStr">
        <is>
          <t>Recent trainer holo. Buy 20-30 raws, sub the centered ones for PSA.</t>
        </is>
      </c>
    </row>
    <row r="204" ht="15" customHeight="1" s="81">
      <c r="A204" s="80" t="inlineStr">
        <is>
          <t>P002</t>
        </is>
      </c>
      <c r="B204" s="80" t="inlineStr">
        <is>
          <t>Modern Chase PSA 10</t>
        </is>
      </c>
      <c r="C204" s="80" t="inlineStr">
        <is>
          <t>T5</t>
        </is>
      </c>
      <c r="D204" s="80" t="inlineStr">
        <is>
          <t>Hoothoot Illustration Rare</t>
        </is>
      </c>
      <c r="E204" s="80" t="inlineStr">
        <is>
          <t>Twilight Masquerade</t>
        </is>
      </c>
      <c r="F204" s="80" t="inlineStr">
        <is>
          <t>227/167</t>
        </is>
      </c>
      <c r="G204" s="80" t="inlineStr">
        <is>
          <t>Raw NM</t>
        </is>
      </c>
      <c r="H204" s="105" t="n">
        <v>6</v>
      </c>
      <c r="P204" s="121" t="n">
        <v>4</v>
      </c>
      <c r="Q204" s="121" t="n">
        <v>15</v>
      </c>
      <c r="R204" s="80" t="inlineStr">
        <is>
          <t>1-2yr</t>
        </is>
      </c>
      <c r="S204" s="80" t="n">
        <v>3</v>
      </c>
      <c r="Y204" s="80">
        <f>U204*0.55+W204*0.20+V204*0.15+X204*0.10+ROW()/1000000</f>
        <v/>
      </c>
      <c r="AA204" s="122" t="inlineStr">
        <is>
          <t>https://www.tcgplayer.com/product/567092</t>
        </is>
      </c>
      <c r="AB204" s="80" t="inlineStr">
        <is>
          <t>Cute factor pull. Cheap entry to TWM chase.</t>
        </is>
      </c>
    </row>
    <row r="205" ht="15" customHeight="1" s="81">
      <c r="A205" s="80" t="inlineStr">
        <is>
          <t>P003</t>
        </is>
      </c>
      <c r="B205" s="80" t="inlineStr">
        <is>
          <t>Modern Chase PSA 10</t>
        </is>
      </c>
      <c r="C205" s="80" t="inlineStr">
        <is>
          <t>T5</t>
        </is>
      </c>
      <c r="D205" s="80" t="inlineStr">
        <is>
          <t>Munkidori ex Alt Art</t>
        </is>
      </c>
      <c r="E205" s="80" t="inlineStr">
        <is>
          <t>Shrouded Fable</t>
        </is>
      </c>
      <c r="F205" s="80" t="inlineStr">
        <is>
          <t>070/064</t>
        </is>
      </c>
      <c r="G205" s="80" t="inlineStr">
        <is>
          <t>Raw NM</t>
        </is>
      </c>
      <c r="H205" s="105" t="n">
        <v>8</v>
      </c>
      <c r="P205" s="121" t="n">
        <v>5</v>
      </c>
      <c r="Q205" s="121" t="n">
        <v>18</v>
      </c>
      <c r="R205" s="80" t="inlineStr">
        <is>
          <t>1-2yr</t>
        </is>
      </c>
      <c r="S205" s="80" t="n">
        <v>3</v>
      </c>
      <c r="Y205" s="80">
        <f>U205*0.55+W205*0.20+V205*0.15+X205*0.10+ROW()/1000000</f>
        <v/>
      </c>
      <c r="AA205" s="122" t="inlineStr">
        <is>
          <t>https://www.tcgplayer.com/product/586411</t>
        </is>
      </c>
      <c r="AB205" s="80" t="inlineStr">
        <is>
          <t>Loyal Three alt. Lower-tier but real demand.</t>
        </is>
      </c>
    </row>
    <row r="206" ht="15" customHeight="1" s="81">
      <c r="A206" s="80" t="inlineStr">
        <is>
          <t>P004</t>
        </is>
      </c>
      <c r="B206" s="80" t="inlineStr">
        <is>
          <t>Modern Chase PSA 10</t>
        </is>
      </c>
      <c r="C206" s="80" t="inlineStr">
        <is>
          <t>T5</t>
        </is>
      </c>
      <c r="D206" s="80" t="inlineStr">
        <is>
          <t>Briar SIR</t>
        </is>
      </c>
      <c r="E206" s="80" t="inlineStr">
        <is>
          <t>Stellar Crown</t>
        </is>
      </c>
      <c r="F206" s="80" t="inlineStr">
        <is>
          <t>169/142</t>
        </is>
      </c>
      <c r="G206" s="80" t="inlineStr">
        <is>
          <t>Raw NM</t>
        </is>
      </c>
      <c r="H206" s="105" t="n">
        <v>9</v>
      </c>
      <c r="P206" s="121" t="n">
        <v>6</v>
      </c>
      <c r="Q206" s="121" t="n">
        <v>22</v>
      </c>
      <c r="R206" s="80" t="inlineStr">
        <is>
          <t>1-2yr</t>
        </is>
      </c>
      <c r="S206" s="80" t="n">
        <v>3</v>
      </c>
      <c r="Y206" s="80">
        <f>U206*0.55+W206*0.20+V206*0.15+X206*0.10+ROW()/1000000</f>
        <v/>
      </c>
      <c r="AA206" s="122" t="inlineStr">
        <is>
          <t>https://www.tcgplayer.com/product/598334</t>
        </is>
      </c>
      <c r="AB206" s="80" t="inlineStr">
        <is>
          <t>Trainer SIR. Briar fanbase growing.</t>
        </is>
      </c>
    </row>
    <row r="207" ht="15" customHeight="1" s="81">
      <c r="A207" s="80" t="inlineStr">
        <is>
          <t>P005</t>
        </is>
      </c>
      <c r="B207" s="80" t="inlineStr">
        <is>
          <t>Modern Chase PSA 10</t>
        </is>
      </c>
      <c r="C207" s="80" t="inlineStr">
        <is>
          <t>T5</t>
        </is>
      </c>
      <c r="D207" s="80" t="inlineStr">
        <is>
          <t>Cyrano SIR</t>
        </is>
      </c>
      <c r="E207" s="80" t="inlineStr">
        <is>
          <t>Stellar Crown</t>
        </is>
      </c>
      <c r="F207" s="80" t="inlineStr">
        <is>
          <t>170/142</t>
        </is>
      </c>
      <c r="G207" s="80" t="inlineStr">
        <is>
          <t>Raw NM</t>
        </is>
      </c>
      <c r="H207" s="105" t="n">
        <v>7</v>
      </c>
      <c r="P207" s="121" t="n">
        <v>5</v>
      </c>
      <c r="Q207" s="121" t="n">
        <v>18</v>
      </c>
      <c r="R207" s="80" t="inlineStr">
        <is>
          <t>1-2yr</t>
        </is>
      </c>
      <c r="S207" s="80" t="n">
        <v>3</v>
      </c>
      <c r="Y207" s="80">
        <f>U207*0.55+W207*0.20+V207*0.15+X207*0.10+ROW()/1000000</f>
        <v/>
      </c>
      <c r="AA207" s="122" t="inlineStr">
        <is>
          <t>https://www.tcgplayer.com/product/598336</t>
        </is>
      </c>
      <c r="AB207" s="80" t="inlineStr">
        <is>
          <t>Underrated SC trainer.</t>
        </is>
      </c>
    </row>
    <row r="208" ht="15" customHeight="1" s="81">
      <c r="A208" s="80" t="inlineStr">
        <is>
          <t>P006</t>
        </is>
      </c>
      <c r="B208" s="80" t="inlineStr">
        <is>
          <t>Modern Chase PSA 10</t>
        </is>
      </c>
      <c r="C208" s="80" t="inlineStr">
        <is>
          <t>T5</t>
        </is>
      </c>
      <c r="D208" s="80" t="inlineStr">
        <is>
          <t>Erika's Invitation Full Art</t>
        </is>
      </c>
      <c r="E208" s="80" t="inlineStr">
        <is>
          <t>151</t>
        </is>
      </c>
      <c r="F208" s="80" t="inlineStr">
        <is>
          <t>203/165</t>
        </is>
      </c>
      <c r="G208" s="80" t="inlineStr">
        <is>
          <t>Raw NM</t>
        </is>
      </c>
      <c r="H208" s="105" t="n">
        <v>8</v>
      </c>
      <c r="P208" s="121" t="n">
        <v>5</v>
      </c>
      <c r="Q208" s="121" t="n">
        <v>20</v>
      </c>
      <c r="R208" s="80" t="inlineStr">
        <is>
          <t>1-2yr</t>
        </is>
      </c>
      <c r="S208" s="80" t="n">
        <v>3</v>
      </c>
      <c r="Y208" s="80">
        <f>U208*0.55+W208*0.20+V208*0.15+X208*0.10+ROW()/1000000</f>
        <v/>
      </c>
      <c r="AA208" s="122" t="inlineStr">
        <is>
          <t>https://www.tcgplayer.com/product/498119</t>
        </is>
      </c>
      <c r="AB208" s="80" t="inlineStr">
        <is>
          <t>Erika trainer full art. Buy 10 raws.</t>
        </is>
      </c>
    </row>
    <row r="209" ht="15" customHeight="1" s="81">
      <c r="A209" s="80" t="inlineStr">
        <is>
          <t>P007</t>
        </is>
      </c>
      <c r="B209" s="80" t="inlineStr">
        <is>
          <t>Modern Chase PSA 10</t>
        </is>
      </c>
      <c r="C209" s="80" t="inlineStr">
        <is>
          <t>T5</t>
        </is>
      </c>
      <c r="D209" s="80" t="inlineStr">
        <is>
          <t>Sabrina Promo</t>
        </is>
      </c>
      <c r="E209" s="80" t="inlineStr">
        <is>
          <t>Pokemon Center promo</t>
        </is>
      </c>
      <c r="F209" s="80" t="inlineStr">
        <is>
          <t>Promo</t>
        </is>
      </c>
      <c r="G209" s="80" t="inlineStr">
        <is>
          <t>Raw NM</t>
        </is>
      </c>
      <c r="H209" s="105" t="n">
        <v>5</v>
      </c>
      <c r="P209" s="121" t="n">
        <v>3</v>
      </c>
      <c r="Q209" s="121" t="n">
        <v>12</v>
      </c>
      <c r="R209" s="80" t="inlineStr">
        <is>
          <t>1-2yr</t>
        </is>
      </c>
      <c r="S209" s="80" t="n">
        <v>3</v>
      </c>
      <c r="Y209" s="80">
        <f>U209*0.55+W209*0.20+V209*0.15+X209*0.10+ROW()/1000000</f>
        <v/>
      </c>
      <c r="AA209" s="122" t="inlineStr">
        <is>
          <t>https://www.tcgplayer.com/product/500001</t>
        </is>
      </c>
      <c r="AB209" s="80" t="inlineStr">
        <is>
          <t>Pokemon Center exclusive Sabrina trainer.</t>
        </is>
      </c>
    </row>
    <row r="210" ht="15" customHeight="1" s="81">
      <c r="A210" s="80" t="inlineStr">
        <is>
          <t>P008</t>
        </is>
      </c>
      <c r="B210" s="80" t="inlineStr">
        <is>
          <t>Modern Chase PSA 10</t>
        </is>
      </c>
      <c r="C210" s="80" t="inlineStr">
        <is>
          <t>T5</t>
        </is>
      </c>
      <c r="D210" s="80" t="inlineStr">
        <is>
          <t>Lance Holo Trainer</t>
        </is>
      </c>
      <c r="E210" s="80" t="inlineStr">
        <is>
          <t>Crown Zenith</t>
        </is>
      </c>
      <c r="F210" s="80" t="inlineStr">
        <is>
          <t>151/159</t>
        </is>
      </c>
      <c r="G210" s="80" t="inlineStr">
        <is>
          <t>Raw NM</t>
        </is>
      </c>
      <c r="H210" s="105" t="n">
        <v>4</v>
      </c>
      <c r="P210" s="121" t="n">
        <v>2</v>
      </c>
      <c r="Q210" s="121" t="n">
        <v>10</v>
      </c>
      <c r="R210" s="80" t="inlineStr">
        <is>
          <t>1-2yr</t>
        </is>
      </c>
      <c r="S210" s="80" t="n">
        <v>3</v>
      </c>
      <c r="Y210" s="80">
        <f>U210*0.55+W210*0.20+V210*0.15+X210*0.10+ROW()/1000000</f>
        <v/>
      </c>
      <c r="AA210" s="122" t="inlineStr">
        <is>
          <t>https://www.tcgplayer.com/product/477145</t>
        </is>
      </c>
      <c r="AB210" s="80" t="inlineStr">
        <is>
          <t>Cheap CZ trainer holo.</t>
        </is>
      </c>
    </row>
    <row r="211" ht="15" customHeight="1" s="81">
      <c r="A211" s="80" t="inlineStr">
        <is>
          <t>P009</t>
        </is>
      </c>
      <c r="B211" s="80" t="inlineStr">
        <is>
          <t>Modern Chase PSA 10</t>
        </is>
      </c>
      <c r="C211" s="80" t="inlineStr">
        <is>
          <t>T5</t>
        </is>
      </c>
      <c r="D211" s="80" t="inlineStr">
        <is>
          <t>Cynthia's Power Trainer</t>
        </is>
      </c>
      <c r="E211" s="80" t="inlineStr">
        <is>
          <t>Astral Radiance</t>
        </is>
      </c>
      <c r="F211" s="80" t="inlineStr">
        <is>
          <t>TG14/TG30</t>
        </is>
      </c>
      <c r="G211" s="80" t="inlineStr">
        <is>
          <t>Raw NM</t>
        </is>
      </c>
      <c r="H211" s="105" t="n">
        <v>6</v>
      </c>
      <c r="P211" s="121" t="n">
        <v>4</v>
      </c>
      <c r="Q211" s="121" t="n">
        <v>15</v>
      </c>
      <c r="R211" s="80" t="inlineStr">
        <is>
          <t>1-2yr</t>
        </is>
      </c>
      <c r="S211" s="80" t="n">
        <v>3</v>
      </c>
      <c r="Y211" s="80">
        <f>U211*0.55+W211*0.20+V211*0.15+X211*0.10+ROW()/1000000</f>
        <v/>
      </c>
      <c r="AA211" s="122" t="inlineStr">
        <is>
          <t>https://www.tcgplayer.com/product/267745</t>
        </is>
      </c>
      <c r="AB211" s="80" t="inlineStr">
        <is>
          <t>Cynthia + Trainer Gallery = strong floor.</t>
        </is>
      </c>
    </row>
    <row r="212" ht="15" customHeight="1" s="81">
      <c r="A212" s="80" t="inlineStr">
        <is>
          <t>P010</t>
        </is>
      </c>
      <c r="B212" s="80" t="inlineStr">
        <is>
          <t>Modern Chase PSA 10</t>
        </is>
      </c>
      <c r="C212" s="80" t="inlineStr">
        <is>
          <t>T5</t>
        </is>
      </c>
      <c r="D212" s="80" t="inlineStr">
        <is>
          <t>Allister Trainer Gallery</t>
        </is>
      </c>
      <c r="E212" s="80" t="inlineStr">
        <is>
          <t>Astral Radiance</t>
        </is>
      </c>
      <c r="F212" s="80" t="inlineStr">
        <is>
          <t>TG24/TG30</t>
        </is>
      </c>
      <c r="G212" s="80" t="inlineStr">
        <is>
          <t>Raw NM</t>
        </is>
      </c>
      <c r="H212" s="105" t="n">
        <v>5</v>
      </c>
      <c r="P212" s="121" t="n">
        <v>3</v>
      </c>
      <c r="Q212" s="121" t="n">
        <v>12</v>
      </c>
      <c r="R212" s="80" t="inlineStr">
        <is>
          <t>1-2yr</t>
        </is>
      </c>
      <c r="S212" s="80" t="n">
        <v>3</v>
      </c>
      <c r="Y212" s="80">
        <f>U212*0.55+W212*0.20+V212*0.15+X212*0.10+ROW()/1000000</f>
        <v/>
      </c>
      <c r="AA212" s="122" t="inlineStr">
        <is>
          <t>https://www.tcgplayer.com/product/271629</t>
        </is>
      </c>
      <c r="AB212" s="80" t="inlineStr">
        <is>
          <t>Sleeper TG trainer.</t>
        </is>
      </c>
    </row>
    <row r="213" ht="15" customHeight="1" s="81">
      <c r="A213" s="80" t="inlineStr">
        <is>
          <t>P011</t>
        </is>
      </c>
      <c r="B213" s="80" t="inlineStr">
        <is>
          <t>Modern Chase PSA 10</t>
        </is>
      </c>
      <c r="C213" s="80" t="inlineStr">
        <is>
          <t>T5</t>
        </is>
      </c>
      <c r="D213" s="80" t="inlineStr">
        <is>
          <t>Granbull V Alt Art</t>
        </is>
      </c>
      <c r="E213" s="80" t="inlineStr">
        <is>
          <t>Astral Radiance</t>
        </is>
      </c>
      <c r="F213" s="80" t="inlineStr">
        <is>
          <t>TG12/TG30</t>
        </is>
      </c>
      <c r="G213" s="80" t="inlineStr">
        <is>
          <t>Raw NM</t>
        </is>
      </c>
      <c r="H213" s="105" t="n">
        <v>5</v>
      </c>
      <c r="P213" s="121" t="n">
        <v>3</v>
      </c>
      <c r="Q213" s="121" t="n">
        <v>12</v>
      </c>
      <c r="R213" s="80" t="inlineStr">
        <is>
          <t>1-2yr</t>
        </is>
      </c>
      <c r="S213" s="80" t="n">
        <v>3</v>
      </c>
      <c r="Y213" s="80">
        <f>U213*0.55+W213*0.20+V213*0.15+X213*0.10+ROW()/1000000</f>
        <v/>
      </c>
      <c r="AA213" s="122" t="inlineStr">
        <is>
          <t>https://www.tcgplayer.com/product/267748</t>
        </is>
      </c>
      <c r="AB213" s="80" t="inlineStr">
        <is>
          <t>Bulk-tier alt. Buy 20+ for volume play.</t>
        </is>
      </c>
    </row>
    <row r="214" ht="15" customHeight="1" s="81">
      <c r="A214" s="80" t="inlineStr">
        <is>
          <t>P012</t>
        </is>
      </c>
      <c r="B214" s="80" t="inlineStr">
        <is>
          <t>Modern Chase PSA 10</t>
        </is>
      </c>
      <c r="C214" s="80" t="inlineStr">
        <is>
          <t>T5</t>
        </is>
      </c>
      <c r="D214" s="80" t="inlineStr">
        <is>
          <t>Glimmora ex Alt Art</t>
        </is>
      </c>
      <c r="E214" s="80" t="inlineStr">
        <is>
          <t>Obsidian Flames</t>
        </is>
      </c>
      <c r="F214" s="80" t="inlineStr">
        <is>
          <t>228/197</t>
        </is>
      </c>
      <c r="G214" s="80" t="inlineStr">
        <is>
          <t>Raw NM</t>
        </is>
      </c>
      <c r="H214" s="105" t="n">
        <v>4</v>
      </c>
      <c r="P214" s="121" t="n">
        <v>3</v>
      </c>
      <c r="Q214" s="121" t="n">
        <v>10</v>
      </c>
      <c r="R214" s="80" t="inlineStr">
        <is>
          <t>1-2yr</t>
        </is>
      </c>
      <c r="S214" s="80" t="n">
        <v>3</v>
      </c>
      <c r="Y214" s="80">
        <f>U214*0.55+W214*0.20+V214*0.15+X214*0.10+ROW()/1000000</f>
        <v/>
      </c>
      <c r="AA214" s="122" t="inlineStr">
        <is>
          <t>https://www.tcgplayer.com/product/521995</t>
        </is>
      </c>
      <c r="AB214" s="80" t="inlineStr">
        <is>
          <t>OF cheap alt. Volume buy.</t>
        </is>
      </c>
    </row>
    <row r="215" ht="15" customHeight="1" s="81">
      <c r="A215" s="80" t="inlineStr">
        <is>
          <t>P013</t>
        </is>
      </c>
      <c r="B215" s="80" t="inlineStr">
        <is>
          <t>Modern Chase PSA 10</t>
        </is>
      </c>
      <c r="C215" s="80" t="inlineStr">
        <is>
          <t>T5</t>
        </is>
      </c>
      <c r="D215" s="80" t="inlineStr">
        <is>
          <t>Bombirdier ex Alt Art</t>
        </is>
      </c>
      <c r="E215" s="80" t="inlineStr">
        <is>
          <t>Paldea Evolved</t>
        </is>
      </c>
      <c r="F215" s="80" t="inlineStr">
        <is>
          <t>262/193</t>
        </is>
      </c>
      <c r="G215" s="80" t="inlineStr">
        <is>
          <t>Raw NM</t>
        </is>
      </c>
      <c r="H215" s="105" t="n">
        <v>4</v>
      </c>
      <c r="P215" s="121" t="n">
        <v>2</v>
      </c>
      <c r="Q215" s="121" t="n">
        <v>10</v>
      </c>
      <c r="R215" s="80" t="inlineStr">
        <is>
          <t>1-2yr</t>
        </is>
      </c>
      <c r="S215" s="80" t="n">
        <v>3</v>
      </c>
      <c r="Y215" s="80">
        <f>U215*0.55+W215*0.20+V215*0.15+X215*0.10+ROW()/1000000</f>
        <v/>
      </c>
      <c r="AA215" s="122" t="inlineStr">
        <is>
          <t>https://www.tcgplayer.com/product/505418</t>
        </is>
      </c>
      <c r="AB215" s="80" t="inlineStr">
        <is>
          <t>PE Bombirdier sleeper.</t>
        </is>
      </c>
    </row>
    <row r="216" ht="15" customHeight="1" s="81">
      <c r="A216" s="80" t="inlineStr">
        <is>
          <t>P014</t>
        </is>
      </c>
      <c r="B216" s="80" t="inlineStr">
        <is>
          <t>Modern Chase PSA 10</t>
        </is>
      </c>
      <c r="C216" s="80" t="inlineStr">
        <is>
          <t>T5</t>
        </is>
      </c>
      <c r="D216" s="80" t="inlineStr">
        <is>
          <t>Klawf ex Alt Art</t>
        </is>
      </c>
      <c r="E216" s="80" t="inlineStr">
        <is>
          <t>Paldea Evolved</t>
        </is>
      </c>
      <c r="F216" s="80" t="inlineStr">
        <is>
          <t>263/193</t>
        </is>
      </c>
      <c r="G216" s="80" t="inlineStr">
        <is>
          <t>Raw NM</t>
        </is>
      </c>
      <c r="H216" s="105" t="n">
        <v>5</v>
      </c>
      <c r="P216" s="121" t="n">
        <v>3</v>
      </c>
      <c r="Q216" s="121" t="n">
        <v>12</v>
      </c>
      <c r="R216" s="80" t="inlineStr">
        <is>
          <t>1-2yr</t>
        </is>
      </c>
      <c r="S216" s="80" t="n">
        <v>3</v>
      </c>
      <c r="Y216" s="80">
        <f>U216*0.55+W216*0.20+V216*0.15+X216*0.10+ROW()/1000000</f>
        <v/>
      </c>
      <c r="AA216" s="122" t="inlineStr">
        <is>
          <t>https://www.tcgplayer.com/product/505419</t>
        </is>
      </c>
      <c r="AB216" s="80" t="inlineStr">
        <is>
          <t>Paldea sleeper alt.</t>
        </is>
      </c>
    </row>
    <row r="217" ht="15" customHeight="1" s="81">
      <c r="A217" s="80" t="inlineStr">
        <is>
          <t>P015</t>
        </is>
      </c>
      <c r="B217" s="80" t="inlineStr">
        <is>
          <t>Modern Chase PSA 10</t>
        </is>
      </c>
      <c r="C217" s="80" t="inlineStr">
        <is>
          <t>T5</t>
        </is>
      </c>
      <c r="D217" s="80" t="inlineStr">
        <is>
          <t>Eiscue ex Alt Art</t>
        </is>
      </c>
      <c r="E217" s="80" t="inlineStr">
        <is>
          <t>Paradox Rift</t>
        </is>
      </c>
      <c r="F217" s="80" t="inlineStr">
        <is>
          <t>231/182</t>
        </is>
      </c>
      <c r="G217" s="80" t="inlineStr">
        <is>
          <t>Raw NM</t>
        </is>
      </c>
      <c r="H217" s="105" t="n">
        <v>6</v>
      </c>
      <c r="P217" s="121" t="n">
        <v>4</v>
      </c>
      <c r="Q217" s="121" t="n">
        <v>14</v>
      </c>
      <c r="R217" s="80" t="inlineStr">
        <is>
          <t>1-2yr</t>
        </is>
      </c>
      <c r="S217" s="80" t="n">
        <v>3</v>
      </c>
      <c r="Y217" s="80">
        <f>U217*0.55+W217*0.20+V217*0.15+X217*0.10+ROW()/1000000</f>
        <v/>
      </c>
      <c r="AA217" s="122" t="inlineStr">
        <is>
          <t>https://www.tcgplayer.com/product/536454</t>
        </is>
      </c>
      <c r="AB217" s="80" t="inlineStr">
        <is>
          <t>Paradox Rift cheap alt.</t>
        </is>
      </c>
    </row>
    <row r="218" ht="15" customHeight="1" s="81">
      <c r="A218" s="80" t="inlineStr">
        <is>
          <t>P016</t>
        </is>
      </c>
      <c r="B218" s="80" t="inlineStr">
        <is>
          <t>Modern Chase PSA 10</t>
        </is>
      </c>
      <c r="C218" s="80" t="inlineStr">
        <is>
          <t>T5</t>
        </is>
      </c>
      <c r="D218" s="80" t="inlineStr">
        <is>
          <t>Tatsugiri Alt Art</t>
        </is>
      </c>
      <c r="E218" s="80" t="inlineStr">
        <is>
          <t>Paradox Rift</t>
        </is>
      </c>
      <c r="F218" s="80" t="inlineStr">
        <is>
          <t>232/182</t>
        </is>
      </c>
      <c r="G218" s="80" t="inlineStr">
        <is>
          <t>Raw NM</t>
        </is>
      </c>
      <c r="H218" s="105" t="n">
        <v>4</v>
      </c>
      <c r="P218" s="121" t="n">
        <v>3</v>
      </c>
      <c r="Q218" s="121" t="n">
        <v>10</v>
      </c>
      <c r="R218" s="80" t="inlineStr">
        <is>
          <t>1-2yr</t>
        </is>
      </c>
      <c r="S218" s="80" t="n">
        <v>3</v>
      </c>
      <c r="Y218" s="80">
        <f>U218*0.55+W218*0.20+V218*0.15+X218*0.10+ROW()/1000000</f>
        <v/>
      </c>
      <c r="AA218" s="122" t="inlineStr">
        <is>
          <t>https://www.tcgplayer.com/product/536455</t>
        </is>
      </c>
      <c r="AB218" s="80" t="inlineStr">
        <is>
          <t>Niche but volume play.</t>
        </is>
      </c>
    </row>
    <row r="219" ht="15" customHeight="1" s="81">
      <c r="A219" s="80" t="inlineStr">
        <is>
          <t>P017</t>
        </is>
      </c>
      <c r="B219" s="80" t="inlineStr">
        <is>
          <t>Modern Chase PSA 10</t>
        </is>
      </c>
      <c r="C219" s="80" t="inlineStr">
        <is>
          <t>T5</t>
        </is>
      </c>
      <c r="D219" s="80" t="inlineStr">
        <is>
          <t>Walking Wake ex Alt</t>
        </is>
      </c>
      <c r="E219" s="80" t="inlineStr">
        <is>
          <t>Temporal Forces</t>
        </is>
      </c>
      <c r="F219" s="80" t="inlineStr">
        <is>
          <t>227/162</t>
        </is>
      </c>
      <c r="G219" s="80" t="inlineStr">
        <is>
          <t>Raw NM</t>
        </is>
      </c>
      <c r="H219" s="105" t="n">
        <v>7</v>
      </c>
      <c r="P219" s="121" t="n">
        <v>5</v>
      </c>
      <c r="Q219" s="121" t="n">
        <v>17</v>
      </c>
      <c r="R219" s="80" t="inlineStr">
        <is>
          <t>1-2yr</t>
        </is>
      </c>
      <c r="S219" s="80" t="n">
        <v>3</v>
      </c>
      <c r="Y219" s="80">
        <f>U219*0.55+W219*0.20+V219*0.15+X219*0.10+ROW()/1000000</f>
        <v/>
      </c>
      <c r="AA219" s="122" t="inlineStr">
        <is>
          <t>https://www.tcgplayer.com/product/553420</t>
        </is>
      </c>
      <c r="AB219" s="80" t="inlineStr">
        <is>
          <t>Future paradox. Underrated.</t>
        </is>
      </c>
    </row>
    <row r="220" ht="15" customHeight="1" s="81">
      <c r="A220" s="80" t="inlineStr">
        <is>
          <t>P018</t>
        </is>
      </c>
      <c r="B220" s="80" t="inlineStr">
        <is>
          <t>Modern Chase PSA 10</t>
        </is>
      </c>
      <c r="C220" s="80" t="inlineStr">
        <is>
          <t>T5</t>
        </is>
      </c>
      <c r="D220" s="80" t="inlineStr">
        <is>
          <t>Iron Leaves ex Alt</t>
        </is>
      </c>
      <c r="E220" s="80" t="inlineStr">
        <is>
          <t>Temporal Forces</t>
        </is>
      </c>
      <c r="F220" s="80" t="inlineStr">
        <is>
          <t>228/162</t>
        </is>
      </c>
      <c r="G220" s="80" t="inlineStr">
        <is>
          <t>Raw NM</t>
        </is>
      </c>
      <c r="H220" s="105" t="n">
        <v>8</v>
      </c>
      <c r="P220" s="121" t="n">
        <v>5</v>
      </c>
      <c r="Q220" s="121" t="n">
        <v>20</v>
      </c>
      <c r="R220" s="80" t="inlineStr">
        <is>
          <t>1-2yr</t>
        </is>
      </c>
      <c r="S220" s="80" t="n">
        <v>3</v>
      </c>
      <c r="Y220" s="80">
        <f>U220*0.55+W220*0.20+V220*0.15+X220*0.10+ROW()/1000000</f>
        <v/>
      </c>
      <c r="AA220" s="122" t="inlineStr">
        <is>
          <t>https://www.tcgplayer.com/product/553421</t>
        </is>
      </c>
      <c r="AB220" s="80" t="inlineStr">
        <is>
          <t>Past paradox. Building base.</t>
        </is>
      </c>
    </row>
    <row r="221" ht="15" customHeight="1" s="81">
      <c r="A221" s="80" t="inlineStr">
        <is>
          <t>P019</t>
        </is>
      </c>
      <c r="B221" s="80" t="inlineStr">
        <is>
          <t>Modern Chase PSA 10</t>
        </is>
      </c>
      <c r="C221" s="80" t="inlineStr">
        <is>
          <t>T5</t>
        </is>
      </c>
      <c r="D221" s="80" t="inlineStr">
        <is>
          <t>Lechonk Illustration Rare</t>
        </is>
      </c>
      <c r="E221" s="80" t="inlineStr">
        <is>
          <t>Scarlet &amp; Violet base</t>
        </is>
      </c>
      <c r="F221" s="80" t="inlineStr">
        <is>
          <t>199/198</t>
        </is>
      </c>
      <c r="G221" s="80" t="inlineStr">
        <is>
          <t>Raw NM</t>
        </is>
      </c>
      <c r="H221" s="105" t="n">
        <v>3</v>
      </c>
      <c r="P221" s="121" t="n">
        <v>2</v>
      </c>
      <c r="Q221" s="121" t="n">
        <v>8</v>
      </c>
      <c r="R221" s="80" t="inlineStr">
        <is>
          <t>1-2yr</t>
        </is>
      </c>
      <c r="S221" s="80" t="n">
        <v>3</v>
      </c>
      <c r="Y221" s="80">
        <f>U221*0.55+W221*0.20+V221*0.15+X221*0.10+ROW()/1000000</f>
        <v/>
      </c>
      <c r="AA221" s="122" t="inlineStr">
        <is>
          <t>https://www.tcgplayer.com/product/482220</t>
        </is>
      </c>
      <c r="AB221" s="80" t="inlineStr">
        <is>
          <t>Lechonk meme card. Surprisingly strong floor.</t>
        </is>
      </c>
    </row>
    <row r="222" ht="15" customHeight="1" s="81">
      <c r="A222" s="80" t="inlineStr">
        <is>
          <t>P020</t>
        </is>
      </c>
      <c r="B222" s="80" t="inlineStr">
        <is>
          <t>Modern Chase PSA 10</t>
        </is>
      </c>
      <c r="C222" s="80" t="inlineStr">
        <is>
          <t>T5</t>
        </is>
      </c>
      <c r="D222" s="80" t="inlineStr">
        <is>
          <t>Magikarp Illustration Rare</t>
        </is>
      </c>
      <c r="E222" s="80" t="inlineStr">
        <is>
          <t>Scarlet &amp; Violet base</t>
        </is>
      </c>
      <c r="F222" s="80" t="inlineStr">
        <is>
          <t>201/198</t>
        </is>
      </c>
      <c r="G222" s="80" t="inlineStr">
        <is>
          <t>Raw NM</t>
        </is>
      </c>
      <c r="H222" s="105" t="n">
        <v>5</v>
      </c>
      <c r="P222" s="121" t="n">
        <v>3</v>
      </c>
      <c r="Q222" s="121" t="n">
        <v>12</v>
      </c>
      <c r="R222" s="80" t="inlineStr">
        <is>
          <t>1-2yr</t>
        </is>
      </c>
      <c r="S222" s="80" t="n">
        <v>3</v>
      </c>
      <c r="Y222" s="80">
        <f>U222*0.55+W222*0.20+V222*0.15+X222*0.10+ROW()/1000000</f>
        <v/>
      </c>
      <c r="AA222" s="122" t="inlineStr">
        <is>
          <t>https://www.tcgplayer.com/product/482222</t>
        </is>
      </c>
      <c r="AB222" s="80" t="inlineStr">
        <is>
          <t>SV base IR. Splash damage from 151.</t>
        </is>
      </c>
    </row>
    <row r="223" ht="15" customHeight="1" s="81">
      <c r="A223" s="80" t="inlineStr">
        <is>
          <t>P021</t>
        </is>
      </c>
      <c r="B223" s="80" t="inlineStr">
        <is>
          <t>Modern Chase PSA 10</t>
        </is>
      </c>
      <c r="C223" s="80" t="inlineStr">
        <is>
          <t>T5</t>
        </is>
      </c>
      <c r="D223" s="80" t="inlineStr">
        <is>
          <t>Pikachu Common</t>
        </is>
      </c>
      <c r="E223" s="80" t="inlineStr">
        <is>
          <t>Scarlet &amp; Violet 151</t>
        </is>
      </c>
      <c r="F223" s="80" t="inlineStr">
        <is>
          <t>025/165</t>
        </is>
      </c>
      <c r="G223" s="80" t="inlineStr">
        <is>
          <t>Raw NM</t>
        </is>
      </c>
      <c r="H223" s="105" t="n">
        <v>2</v>
      </c>
      <c r="P223" s="121" t="n">
        <v>1</v>
      </c>
      <c r="Q223" s="121" t="n">
        <v>5</v>
      </c>
      <c r="R223" s="80" t="inlineStr">
        <is>
          <t>1-2yr</t>
        </is>
      </c>
      <c r="S223" s="80" t="n">
        <v>3</v>
      </c>
      <c r="Y223" s="80">
        <f>U223*0.55+W223*0.20+V223*0.15+X223*0.10+ROW()/1000000</f>
        <v/>
      </c>
      <c r="AA223" s="122" t="inlineStr">
        <is>
          <t>https://www.tcgplayer.com/product/495018</t>
        </is>
      </c>
      <c r="AB223" s="80" t="inlineStr">
        <is>
          <t>151 Pikachu common. Buy 50, grade centered ones.</t>
        </is>
      </c>
    </row>
    <row r="224" ht="15" customHeight="1" s="81">
      <c r="A224" s="80" t="inlineStr">
        <is>
          <t>P022</t>
        </is>
      </c>
      <c r="B224" s="80" t="inlineStr">
        <is>
          <t>Modern Chase PSA 10</t>
        </is>
      </c>
      <c r="C224" s="80" t="inlineStr">
        <is>
          <t>T5</t>
        </is>
      </c>
      <c r="D224" s="80" t="inlineStr">
        <is>
          <t>Charmander Common</t>
        </is>
      </c>
      <c r="E224" s="80" t="inlineStr">
        <is>
          <t>Scarlet &amp; Violet 151</t>
        </is>
      </c>
      <c r="F224" s="80" t="inlineStr">
        <is>
          <t>004/165</t>
        </is>
      </c>
      <c r="G224" s="80" t="inlineStr">
        <is>
          <t>Raw NM</t>
        </is>
      </c>
      <c r="H224" s="105" t="n">
        <v>2</v>
      </c>
      <c r="P224" s="121" t="n">
        <v>1</v>
      </c>
      <c r="Q224" s="121" t="n">
        <v>6</v>
      </c>
      <c r="R224" s="80" t="inlineStr">
        <is>
          <t>1-2yr</t>
        </is>
      </c>
      <c r="S224" s="80" t="n">
        <v>3</v>
      </c>
      <c r="Y224" s="80">
        <f>U224*0.55+W224*0.20+V224*0.15+X224*0.10+ROW()/1000000</f>
        <v/>
      </c>
      <c r="AA224" s="122" t="inlineStr">
        <is>
          <t>https://www.tcgplayer.com/product/494997</t>
        </is>
      </c>
      <c r="AB224" s="80" t="inlineStr">
        <is>
          <t>Char base art volume play.</t>
        </is>
      </c>
    </row>
    <row r="225" ht="15" customHeight="1" s="81">
      <c r="A225" s="80" t="inlineStr">
        <is>
          <t>P023</t>
        </is>
      </c>
      <c r="B225" s="80" t="inlineStr">
        <is>
          <t>Modern Chase PSA 10</t>
        </is>
      </c>
      <c r="C225" s="80" t="inlineStr">
        <is>
          <t>T5</t>
        </is>
      </c>
      <c r="D225" s="80" t="inlineStr">
        <is>
          <t>Squirtle Common</t>
        </is>
      </c>
      <c r="E225" s="80" t="inlineStr">
        <is>
          <t>Scarlet &amp; Violet 151</t>
        </is>
      </c>
      <c r="F225" s="80" t="inlineStr">
        <is>
          <t>007/165</t>
        </is>
      </c>
      <c r="G225" s="80" t="inlineStr">
        <is>
          <t>Raw NM</t>
        </is>
      </c>
      <c r="H225" s="105" t="n">
        <v>2</v>
      </c>
      <c r="P225" s="121" t="n">
        <v>1</v>
      </c>
      <c r="Q225" s="121" t="n">
        <v>5</v>
      </c>
      <c r="R225" s="80" t="inlineStr">
        <is>
          <t>1-2yr</t>
        </is>
      </c>
      <c r="S225" s="80" t="n">
        <v>3</v>
      </c>
      <c r="Y225" s="80">
        <f>U225*0.55+W225*0.20+V225*0.15+X225*0.10+ROW()/1000000</f>
        <v/>
      </c>
      <c r="AA225" s="122" t="inlineStr">
        <is>
          <t>https://www.tcgplayer.com/product/495000</t>
        </is>
      </c>
      <c r="AB225" s="80" t="inlineStr">
        <is>
          <t>Squirtle base art.</t>
        </is>
      </c>
    </row>
    <row r="226" ht="15" customHeight="1" s="81">
      <c r="A226" s="80" t="inlineStr">
        <is>
          <t>P024</t>
        </is>
      </c>
      <c r="B226" s="80" t="inlineStr">
        <is>
          <t>Modern Chase PSA 10</t>
        </is>
      </c>
      <c r="C226" s="80" t="inlineStr">
        <is>
          <t>T5</t>
        </is>
      </c>
      <c r="D226" s="80" t="inlineStr">
        <is>
          <t>Bulbasaur Common</t>
        </is>
      </c>
      <c r="E226" s="80" t="inlineStr">
        <is>
          <t>Scarlet &amp; Violet 151</t>
        </is>
      </c>
      <c r="F226" s="80" t="inlineStr">
        <is>
          <t>001/165</t>
        </is>
      </c>
      <c r="G226" s="80" t="inlineStr">
        <is>
          <t>Raw NM</t>
        </is>
      </c>
      <c r="H226" s="105" t="n">
        <v>2</v>
      </c>
      <c r="P226" s="121" t="n">
        <v>1</v>
      </c>
      <c r="Q226" s="121" t="n">
        <v>5</v>
      </c>
      <c r="R226" s="80" t="inlineStr">
        <is>
          <t>1-2yr</t>
        </is>
      </c>
      <c r="S226" s="80" t="n">
        <v>3</v>
      </c>
      <c r="Y226" s="80">
        <f>U226*0.55+W226*0.20+V226*0.15+X226*0.10+ROW()/1000000</f>
        <v/>
      </c>
      <c r="AA226" s="122" t="inlineStr">
        <is>
          <t>https://www.tcgplayer.com/product/494994</t>
        </is>
      </c>
      <c r="AB226" s="80" t="inlineStr">
        <is>
          <t>Bulba base. Starter trio play.</t>
        </is>
      </c>
    </row>
    <row r="227" ht="15" customHeight="1" s="81">
      <c r="A227" s="80" t="inlineStr">
        <is>
          <t>P025</t>
        </is>
      </c>
      <c r="B227" s="80" t="inlineStr">
        <is>
          <t>Modern Chase PSA 10</t>
        </is>
      </c>
      <c r="C227" s="80" t="inlineStr">
        <is>
          <t>T5</t>
        </is>
      </c>
      <c r="D227" s="80" t="inlineStr">
        <is>
          <t>Eevee Common</t>
        </is>
      </c>
      <c r="E227" s="80" t="inlineStr">
        <is>
          <t>Scarlet &amp; Violet 151</t>
        </is>
      </c>
      <c r="F227" s="80" t="inlineStr">
        <is>
          <t>133/165</t>
        </is>
      </c>
      <c r="G227" s="80" t="inlineStr">
        <is>
          <t>Raw NM</t>
        </is>
      </c>
      <c r="H227" s="105" t="n">
        <v>3</v>
      </c>
      <c r="P227" s="121" t="n">
        <v>2</v>
      </c>
      <c r="Q227" s="121" t="n">
        <v>7</v>
      </c>
      <c r="R227" s="80" t="inlineStr">
        <is>
          <t>1-2yr</t>
        </is>
      </c>
      <c r="S227" s="80" t="n">
        <v>3</v>
      </c>
      <c r="Y227" s="80">
        <f>U227*0.55+W227*0.20+V227*0.15+X227*0.10+ROW()/1000000</f>
        <v/>
      </c>
      <c r="AA227" s="122" t="inlineStr">
        <is>
          <t>https://www.tcgplayer.com/product/495126</t>
        </is>
      </c>
      <c r="AB227" s="80" t="inlineStr">
        <is>
          <t>Eevee 151 common. Eevee premium.</t>
        </is>
      </c>
    </row>
    <row r="228" ht="15" customHeight="1" s="81">
      <c r="A228" s="80" t="inlineStr">
        <is>
          <t>P026</t>
        </is>
      </c>
      <c r="B228" s="80" t="inlineStr">
        <is>
          <t>Modern Chase PSA 10</t>
        </is>
      </c>
      <c r="C228" s="80" t="inlineStr">
        <is>
          <t>T5</t>
        </is>
      </c>
      <c r="D228" s="80" t="inlineStr">
        <is>
          <t>Mew V</t>
        </is>
      </c>
      <c r="E228" s="80" t="inlineStr">
        <is>
          <t>Pokemon GO</t>
        </is>
      </c>
      <c r="F228" s="80" t="inlineStr">
        <is>
          <t>029/078</t>
        </is>
      </c>
      <c r="G228" s="80" t="inlineStr">
        <is>
          <t>Raw NM</t>
        </is>
      </c>
      <c r="H228" s="105" t="n">
        <v>6</v>
      </c>
      <c r="P228" s="121" t="n">
        <v>4</v>
      </c>
      <c r="Q228" s="121" t="n">
        <v>14</v>
      </c>
      <c r="R228" s="80" t="inlineStr">
        <is>
          <t>1-2yr</t>
        </is>
      </c>
      <c r="S228" s="80" t="n">
        <v>3</v>
      </c>
      <c r="Y228" s="80">
        <f>U228*0.55+W228*0.20+V228*0.15+X228*0.10+ROW()/1000000</f>
        <v/>
      </c>
      <c r="AA228" s="122" t="inlineStr">
        <is>
          <t>https://www.tcgplayer.com/product/270541</t>
        </is>
      </c>
      <c r="AB228" s="80" t="inlineStr">
        <is>
          <t>Pokemon GO Mew V. Lower print.</t>
        </is>
      </c>
    </row>
    <row r="229" ht="15" customHeight="1" s="81">
      <c r="A229" s="80" t="inlineStr">
        <is>
          <t>P027</t>
        </is>
      </c>
      <c r="B229" s="80" t="inlineStr">
        <is>
          <t>Modern Chase PSA 10</t>
        </is>
      </c>
      <c r="C229" s="80" t="inlineStr">
        <is>
          <t>T5</t>
        </is>
      </c>
      <c r="D229" s="80" t="inlineStr">
        <is>
          <t>Mewtwo V (Pokemon GO)</t>
        </is>
      </c>
      <c r="E229" s="80" t="inlineStr">
        <is>
          <t>Pokemon GO</t>
        </is>
      </c>
      <c r="F229" s="80" t="inlineStr">
        <is>
          <t>030/078</t>
        </is>
      </c>
      <c r="G229" s="80" t="inlineStr">
        <is>
          <t>Raw NM</t>
        </is>
      </c>
      <c r="H229" s="105" t="n">
        <v>5</v>
      </c>
      <c r="P229" s="121" t="n">
        <v>3</v>
      </c>
      <c r="Q229" s="121" t="n">
        <v>12</v>
      </c>
      <c r="R229" s="80" t="inlineStr">
        <is>
          <t>1-2yr</t>
        </is>
      </c>
      <c r="S229" s="80" t="n">
        <v>3</v>
      </c>
      <c r="Y229" s="80">
        <f>U229*0.55+W229*0.20+V229*0.15+X229*0.10+ROW()/1000000</f>
        <v/>
      </c>
      <c r="AA229" s="122" t="inlineStr">
        <is>
          <t>https://www.tcgplayer.com/product/270542</t>
        </is>
      </c>
      <c r="AB229" s="80" t="inlineStr">
        <is>
          <t>GO Mewtwo. Mid-pop volume.</t>
        </is>
      </c>
    </row>
    <row r="230" ht="15" customHeight="1" s="81">
      <c r="A230" s="80" t="inlineStr">
        <is>
          <t>P028</t>
        </is>
      </c>
      <c r="B230" s="80" t="inlineStr">
        <is>
          <t>Modern Chase PSA 10</t>
        </is>
      </c>
      <c r="C230" s="80" t="inlineStr">
        <is>
          <t>T5</t>
        </is>
      </c>
      <c r="D230" s="80" t="inlineStr">
        <is>
          <t>Pikachu Half Art (Pokemon GO)</t>
        </is>
      </c>
      <c r="E230" s="80" t="inlineStr">
        <is>
          <t>Pokemon GO</t>
        </is>
      </c>
      <c r="F230" s="80" t="inlineStr">
        <is>
          <t>028/078</t>
        </is>
      </c>
      <c r="G230" s="80" t="inlineStr">
        <is>
          <t>Raw NM</t>
        </is>
      </c>
      <c r="H230" s="105" t="n">
        <v>4</v>
      </c>
      <c r="P230" s="121" t="n">
        <v>2</v>
      </c>
      <c r="Q230" s="121" t="n">
        <v>10</v>
      </c>
      <c r="R230" s="80" t="inlineStr">
        <is>
          <t>1-2yr</t>
        </is>
      </c>
      <c r="S230" s="80" t="n">
        <v>3</v>
      </c>
      <c r="Y230" s="80">
        <f>U230*0.55+W230*0.20+V230*0.15+X230*0.10+ROW()/1000000</f>
        <v/>
      </c>
      <c r="AA230" s="122" t="inlineStr">
        <is>
          <t>https://www.tcgplayer.com/product/270540</t>
        </is>
      </c>
      <c r="AB230" s="80" t="inlineStr">
        <is>
          <t>GO Pikachu. Cheap and cute.</t>
        </is>
      </c>
    </row>
    <row r="231" ht="15" customHeight="1" s="81">
      <c r="A231" s="80" t="inlineStr">
        <is>
          <t>P029</t>
        </is>
      </c>
      <c r="B231" s="80" t="inlineStr">
        <is>
          <t>Modern Chase PSA 10</t>
        </is>
      </c>
      <c r="C231" s="80" t="inlineStr">
        <is>
          <t>T5</t>
        </is>
      </c>
      <c r="D231" s="80" t="inlineStr">
        <is>
          <t>Ditto V (Pokemon GO)</t>
        </is>
      </c>
      <c r="E231" s="80" t="inlineStr">
        <is>
          <t>Pokemon GO</t>
        </is>
      </c>
      <c r="F231" s="80" t="inlineStr">
        <is>
          <t>045/078</t>
        </is>
      </c>
      <c r="G231" s="80" t="inlineStr">
        <is>
          <t>Raw NM</t>
        </is>
      </c>
      <c r="H231" s="105" t="n">
        <v>5</v>
      </c>
      <c r="P231" s="121" t="n">
        <v>3</v>
      </c>
      <c r="Q231" s="121" t="n">
        <v>13</v>
      </c>
      <c r="R231" s="80" t="inlineStr">
        <is>
          <t>1-2yr</t>
        </is>
      </c>
      <c r="S231" s="80" t="n">
        <v>3</v>
      </c>
      <c r="Y231" s="80">
        <f>U231*0.55+W231*0.20+V231*0.15+X231*0.10+ROW()/1000000</f>
        <v/>
      </c>
      <c r="AA231" s="122" t="inlineStr">
        <is>
          <t>https://www.tcgplayer.com/product/270557</t>
        </is>
      </c>
      <c r="AB231" s="80" t="inlineStr">
        <is>
          <t>Ditto V transform mechanic. Cult.</t>
        </is>
      </c>
    </row>
    <row r="232" ht="15" customHeight="1" s="81">
      <c r="A232" s="80" t="inlineStr">
        <is>
          <t>P030</t>
        </is>
      </c>
      <c r="B232" s="80" t="inlineStr">
        <is>
          <t>Modern Chase PSA 10</t>
        </is>
      </c>
      <c r="C232" s="80" t="inlineStr">
        <is>
          <t>T5</t>
        </is>
      </c>
      <c r="D232" s="80" t="inlineStr">
        <is>
          <t>Charizard Full Art (Pokemon GO)</t>
        </is>
      </c>
      <c r="E232" s="80" t="inlineStr">
        <is>
          <t>Pokemon GO</t>
        </is>
      </c>
      <c r="F232" s="80" t="inlineStr">
        <is>
          <t>010/078</t>
        </is>
      </c>
      <c r="G232" s="80" t="inlineStr">
        <is>
          <t>Raw NM</t>
        </is>
      </c>
      <c r="H232" s="105" t="n">
        <v>9</v>
      </c>
      <c r="P232" s="121" t="n">
        <v>6</v>
      </c>
      <c r="Q232" s="121" t="n">
        <v>25</v>
      </c>
      <c r="R232" s="80" t="inlineStr">
        <is>
          <t>1-2yr</t>
        </is>
      </c>
      <c r="S232" s="80" t="n">
        <v>4</v>
      </c>
      <c r="Y232" s="80">
        <f>U232*0.55+W232*0.20+V232*0.15+X232*0.10+ROW()/1000000</f>
        <v/>
      </c>
      <c r="AA232" s="122" t="inlineStr">
        <is>
          <t>https://www.tcgplayer.com/product/270522</t>
        </is>
      </c>
      <c r="AB232" s="80" t="inlineStr">
        <is>
          <t>GO Charizard FA. Char floor + GO scarcity.</t>
        </is>
      </c>
    </row>
    <row r="233" ht="15" customHeight="1" s="81">
      <c r="A233" s="80" t="inlineStr">
        <is>
          <t>P031</t>
        </is>
      </c>
      <c r="B233" s="80" t="inlineStr">
        <is>
          <t>Modern Chase PSA 10</t>
        </is>
      </c>
      <c r="C233" s="80" t="inlineStr">
        <is>
          <t>T5</t>
        </is>
      </c>
      <c r="D233" s="80" t="inlineStr">
        <is>
          <t>Charmander Pokeball Pattern</t>
        </is>
      </c>
      <c r="E233" s="80" t="inlineStr">
        <is>
          <t>151</t>
        </is>
      </c>
      <c r="F233" s="80" t="inlineStr">
        <is>
          <t>004/165</t>
        </is>
      </c>
      <c r="G233" s="80" t="inlineStr">
        <is>
          <t>Raw NM</t>
        </is>
      </c>
      <c r="H233" s="105" t="n">
        <v>8</v>
      </c>
      <c r="P233" s="121" t="n">
        <v>5</v>
      </c>
      <c r="Q233" s="121" t="n">
        <v>20</v>
      </c>
      <c r="R233" s="80" t="inlineStr">
        <is>
          <t>1-2yr</t>
        </is>
      </c>
      <c r="S233" s="80" t="n">
        <v>3</v>
      </c>
      <c r="Y233" s="80">
        <f>U233*0.55+W233*0.20+V233*0.15+X233*0.10+ROW()/1000000</f>
        <v/>
      </c>
      <c r="AA233" s="122" t="inlineStr">
        <is>
          <t>https://www.tcgplayer.com/product/498076</t>
        </is>
      </c>
      <c r="AB233" s="80" t="inlineStr">
        <is>
          <t>Pokeball variant Charmander. Volume play.</t>
        </is>
      </c>
    </row>
    <row r="234" ht="15" customHeight="1" s="81">
      <c r="A234" s="80" t="inlineStr">
        <is>
          <t>P032</t>
        </is>
      </c>
      <c r="B234" s="80" t="inlineStr">
        <is>
          <t>Modern Chase PSA 10</t>
        </is>
      </c>
      <c r="C234" s="80" t="inlineStr">
        <is>
          <t>T5</t>
        </is>
      </c>
      <c r="D234" s="80" t="inlineStr">
        <is>
          <t>Squirtle Pokeball Pattern</t>
        </is>
      </c>
      <c r="E234" s="80" t="inlineStr">
        <is>
          <t>151</t>
        </is>
      </c>
      <c r="F234" s="80" t="inlineStr">
        <is>
          <t>007/165</t>
        </is>
      </c>
      <c r="G234" s="80" t="inlineStr">
        <is>
          <t>Raw NM</t>
        </is>
      </c>
      <c r="H234" s="105" t="n">
        <v>8</v>
      </c>
      <c r="P234" s="121" t="n">
        <v>5</v>
      </c>
      <c r="Q234" s="121" t="n">
        <v>18</v>
      </c>
      <c r="R234" s="80" t="inlineStr">
        <is>
          <t>1-2yr</t>
        </is>
      </c>
      <c r="S234" s="80" t="n">
        <v>3</v>
      </c>
      <c r="Y234" s="80">
        <f>U234*0.55+W234*0.20+V234*0.15+X234*0.10+ROW()/1000000</f>
        <v/>
      </c>
      <c r="AA234" s="122" t="inlineStr">
        <is>
          <t>https://www.tcgplayer.com/product/498077</t>
        </is>
      </c>
      <c r="AB234" s="80" t="inlineStr">
        <is>
          <t>Pokeball Squirtle.</t>
        </is>
      </c>
    </row>
    <row r="235" ht="15" customHeight="1" s="81">
      <c r="A235" s="80" t="inlineStr">
        <is>
          <t>P033</t>
        </is>
      </c>
      <c r="B235" s="80" t="inlineStr">
        <is>
          <t>Modern Chase PSA 10</t>
        </is>
      </c>
      <c r="C235" s="80" t="inlineStr">
        <is>
          <t>T5</t>
        </is>
      </c>
      <c r="D235" s="80" t="inlineStr">
        <is>
          <t>Bulbasaur Pokeball Pattern</t>
        </is>
      </c>
      <c r="E235" s="80" t="inlineStr">
        <is>
          <t>151</t>
        </is>
      </c>
      <c r="F235" s="80" t="inlineStr">
        <is>
          <t>001/165</t>
        </is>
      </c>
      <c r="G235" s="80" t="inlineStr">
        <is>
          <t>Raw NM</t>
        </is>
      </c>
      <c r="H235" s="105" t="n">
        <v>7</v>
      </c>
      <c r="P235" s="121" t="n">
        <v>4</v>
      </c>
      <c r="Q235" s="121" t="n">
        <v>16</v>
      </c>
      <c r="R235" s="80" t="inlineStr">
        <is>
          <t>1-2yr</t>
        </is>
      </c>
      <c r="S235" s="80" t="n">
        <v>3</v>
      </c>
      <c r="Y235" s="80">
        <f>U235*0.55+W235*0.20+V235*0.15+X235*0.10+ROW()/1000000</f>
        <v/>
      </c>
      <c r="AA235" s="122" t="inlineStr">
        <is>
          <t>https://www.tcgplayer.com/product/498075</t>
        </is>
      </c>
      <c r="AB235" s="80" t="inlineStr">
        <is>
          <t>Pokeball Bulba. Set play.</t>
        </is>
      </c>
    </row>
    <row r="236" ht="15" customHeight="1" s="81">
      <c r="A236" s="80" t="inlineStr">
        <is>
          <t>P034</t>
        </is>
      </c>
      <c r="B236" s="80" t="inlineStr">
        <is>
          <t>Modern Chase PSA 10</t>
        </is>
      </c>
      <c r="C236" s="80" t="inlineStr">
        <is>
          <t>T5</t>
        </is>
      </c>
      <c r="D236" s="80" t="inlineStr">
        <is>
          <t>Mew Pokeball Pattern</t>
        </is>
      </c>
      <c r="E236" s="80" t="inlineStr">
        <is>
          <t>151</t>
        </is>
      </c>
      <c r="F236" s="80" t="inlineStr">
        <is>
          <t>151/165</t>
        </is>
      </c>
      <c r="G236" s="80" t="inlineStr">
        <is>
          <t>Raw NM</t>
        </is>
      </c>
      <c r="H236" s="105" t="n">
        <v>9</v>
      </c>
      <c r="P236" s="121" t="n">
        <v>6</v>
      </c>
      <c r="Q236" s="121" t="n">
        <v>22</v>
      </c>
      <c r="R236" s="80" t="inlineStr">
        <is>
          <t>1-2yr</t>
        </is>
      </c>
      <c r="S236" s="80" t="n">
        <v>4</v>
      </c>
      <c r="Y236" s="80">
        <f>U236*0.55+W236*0.20+V236*0.15+X236*0.10+ROW()/1000000</f>
        <v/>
      </c>
      <c r="AA236" s="122" t="inlineStr">
        <is>
          <t>https://www.tcgplayer.com/product/498093</t>
        </is>
      </c>
      <c r="AB236" s="80" t="inlineStr">
        <is>
          <t>Pokeball Mew. Mythical premium.</t>
        </is>
      </c>
    </row>
    <row r="237" ht="15" customHeight="1" s="81">
      <c r="A237" s="80" t="inlineStr">
        <is>
          <t>P035</t>
        </is>
      </c>
      <c r="B237" s="80" t="inlineStr">
        <is>
          <t>Modern Chase PSA 10</t>
        </is>
      </c>
      <c r="C237" s="80" t="inlineStr">
        <is>
          <t>T5</t>
        </is>
      </c>
      <c r="D237" s="80" t="inlineStr">
        <is>
          <t>Pikachu Master Ball + others</t>
        </is>
      </c>
      <c r="E237" s="80" t="inlineStr">
        <is>
          <t>151</t>
        </is>
      </c>
      <c r="F237" s="80" t="inlineStr">
        <is>
          <t>Mixed Master Ball</t>
        </is>
      </c>
      <c r="G237" s="80" t="inlineStr">
        <is>
          <t>Raw NM bundle 10</t>
        </is>
      </c>
      <c r="H237" s="105" t="n">
        <v>30</v>
      </c>
      <c r="P237" s="121" t="n">
        <v>20</v>
      </c>
      <c r="Q237" s="121" t="n">
        <v>70</v>
      </c>
      <c r="R237" s="80" t="inlineStr">
        <is>
          <t>1-2yr</t>
        </is>
      </c>
      <c r="S237" s="80" t="n">
        <v>4</v>
      </c>
      <c r="Y237" s="80">
        <f>U237*0.55+W237*0.20+V237*0.15+X237*0.10+ROW()/1000000</f>
        <v/>
      </c>
      <c r="AA237" s="122" t="inlineStr">
        <is>
          <t>https://www.tcgplayer.com/product/498100</t>
        </is>
      </c>
      <c r="AB237" s="80" t="inlineStr">
        <is>
          <t>Master Ball pattern bundle. Hardest pattern to pull.</t>
        </is>
      </c>
    </row>
    <row r="238" ht="15" customHeight="1" s="81">
      <c r="A238" s="80" t="inlineStr">
        <is>
          <t>P036</t>
        </is>
      </c>
      <c r="B238" s="80" t="inlineStr">
        <is>
          <t>Modern Chase PSA 10</t>
        </is>
      </c>
      <c r="C238" s="80" t="inlineStr">
        <is>
          <t>T5</t>
        </is>
      </c>
      <c r="D238" s="80" t="inlineStr">
        <is>
          <t>Lillie's Determination Holo</t>
        </is>
      </c>
      <c r="E238" s="80" t="inlineStr">
        <is>
          <t>ME01</t>
        </is>
      </c>
      <c r="F238" s="80" t="inlineStr">
        <is>
          <t>159/132</t>
        </is>
      </c>
      <c r="G238" s="80" t="inlineStr">
        <is>
          <t>Raw NM</t>
        </is>
      </c>
      <c r="H238" s="105" t="n">
        <v>5</v>
      </c>
      <c r="P238" s="121" t="n">
        <v>3</v>
      </c>
      <c r="Q238" s="121" t="n">
        <v>14</v>
      </c>
      <c r="R238" s="80" t="inlineStr">
        <is>
          <t>1-2yr</t>
        </is>
      </c>
      <c r="S238" s="80" t="n">
        <v>3</v>
      </c>
      <c r="Y238" s="80">
        <f>U238*0.55+W238*0.20+V238*0.15+X238*0.10+ROW()/1000000</f>
        <v/>
      </c>
      <c r="AA238" s="122" t="inlineStr">
        <is>
          <t>https://www.tcgplayer.com/product/654522</t>
        </is>
      </c>
      <c r="AB238" s="80" t="inlineStr">
        <is>
          <t>Non-SIR Lillie. Cheaper Lillie exposure.</t>
        </is>
      </c>
    </row>
    <row r="239" ht="15" customHeight="1" s="81">
      <c r="A239" s="80" t="inlineStr">
        <is>
          <t>P037</t>
        </is>
      </c>
      <c r="B239" s="80" t="inlineStr">
        <is>
          <t>Modern Chase PSA 10</t>
        </is>
      </c>
      <c r="C239" s="80" t="inlineStr">
        <is>
          <t>T5</t>
        </is>
      </c>
      <c r="D239" s="80" t="inlineStr">
        <is>
          <t>Marnie Holo Trainer</t>
        </is>
      </c>
      <c r="E239" s="80" t="inlineStr">
        <is>
          <t>Sword &amp; Shield base</t>
        </is>
      </c>
      <c r="F239" s="80" t="inlineStr">
        <is>
          <t>169/202</t>
        </is>
      </c>
      <c r="G239" s="80" t="inlineStr">
        <is>
          <t>Raw NM</t>
        </is>
      </c>
      <c r="H239" s="105" t="n">
        <v>6</v>
      </c>
      <c r="P239" s="121" t="n">
        <v>4</v>
      </c>
      <c r="Q239" s="121" t="n">
        <v>14</v>
      </c>
      <c r="R239" s="80" t="inlineStr">
        <is>
          <t>1-2yr</t>
        </is>
      </c>
      <c r="S239" s="80" t="n">
        <v>3</v>
      </c>
      <c r="Y239" s="80">
        <f>U239*0.55+W239*0.20+V239*0.15+X239*0.10+ROW()/1000000</f>
        <v/>
      </c>
      <c r="AA239" s="122" t="inlineStr">
        <is>
          <t>https://www.tcgplayer.com/product/197812</t>
        </is>
      </c>
      <c r="AB239" s="80" t="inlineStr">
        <is>
          <t>OG Marnie holo non-FA. Volume play.</t>
        </is>
      </c>
    </row>
    <row r="240" ht="15" customHeight="1" s="81">
      <c r="A240" s="80" t="inlineStr">
        <is>
          <t>P038</t>
        </is>
      </c>
      <c r="B240" s="80" t="inlineStr">
        <is>
          <t>Modern Chase PSA 10</t>
        </is>
      </c>
      <c r="C240" s="80" t="inlineStr">
        <is>
          <t>T5</t>
        </is>
      </c>
      <c r="D240" s="80" t="inlineStr">
        <is>
          <t>Klara Trainer SIR</t>
        </is>
      </c>
      <c r="E240" s="80" t="inlineStr">
        <is>
          <t>Chilling Reign</t>
        </is>
      </c>
      <c r="F240" s="80" t="inlineStr">
        <is>
          <t>194/198</t>
        </is>
      </c>
      <c r="G240" s="80" t="inlineStr">
        <is>
          <t>Raw NM</t>
        </is>
      </c>
      <c r="H240" s="105" t="n">
        <v>8</v>
      </c>
      <c r="P240" s="121" t="n">
        <v>5</v>
      </c>
      <c r="Q240" s="121" t="n">
        <v>18</v>
      </c>
      <c r="R240" s="80" t="inlineStr">
        <is>
          <t>1-2yr</t>
        </is>
      </c>
      <c r="S240" s="80" t="n">
        <v>3</v>
      </c>
      <c r="Y240" s="80">
        <f>U240*0.55+W240*0.20+V240*0.15+X240*0.10+ROW()/1000000</f>
        <v/>
      </c>
      <c r="AA240" s="122" t="inlineStr">
        <is>
          <t>https://www.tcgplayer.com/product/240091</t>
        </is>
      </c>
      <c r="AB240" s="80" t="inlineStr">
        <is>
          <t>Klara SIR. Sleeper trainer chase.</t>
        </is>
      </c>
    </row>
    <row r="241" ht="15" customHeight="1" s="81">
      <c r="A241" s="80" t="inlineStr">
        <is>
          <t>P039</t>
        </is>
      </c>
      <c r="B241" s="80" t="inlineStr">
        <is>
          <t>Modern Chase PSA 10</t>
        </is>
      </c>
      <c r="C241" s="80" t="inlineStr">
        <is>
          <t>T5</t>
        </is>
      </c>
      <c r="D241" s="80" t="inlineStr">
        <is>
          <t>Penny Trainer Gallery</t>
        </is>
      </c>
      <c r="E241" s="80" t="inlineStr">
        <is>
          <t>Paldea Evolved</t>
        </is>
      </c>
      <c r="F241" s="80" t="inlineStr">
        <is>
          <t>245/193</t>
        </is>
      </c>
      <c r="G241" s="80" t="inlineStr">
        <is>
          <t>Raw NM</t>
        </is>
      </c>
      <c r="H241" s="105" t="n">
        <v>9</v>
      </c>
      <c r="P241" s="121" t="n">
        <v>6</v>
      </c>
      <c r="Q241" s="121" t="n">
        <v>20</v>
      </c>
      <c r="R241" s="80" t="inlineStr">
        <is>
          <t>1-2yr</t>
        </is>
      </c>
      <c r="S241" s="80" t="n">
        <v>3</v>
      </c>
      <c r="Y241" s="80">
        <f>U241*0.55+W241*0.20+V241*0.15+X241*0.10+ROW()/1000000</f>
        <v/>
      </c>
      <c r="AA241" s="122" t="inlineStr">
        <is>
          <t>https://www.tcgplayer.com/product/505431</t>
        </is>
      </c>
      <c r="AB241" s="80" t="inlineStr">
        <is>
          <t>Penny in trainer gallery. SV gen rising star.</t>
        </is>
      </c>
    </row>
    <row r="242" ht="15" customHeight="1" s="81">
      <c r="A242" s="80" t="inlineStr">
        <is>
          <t>P040</t>
        </is>
      </c>
      <c r="B242" s="80" t="inlineStr">
        <is>
          <t>Modern Chase PSA 10</t>
        </is>
      </c>
      <c r="C242" s="80" t="inlineStr">
        <is>
          <t>T5</t>
        </is>
      </c>
      <c r="D242" s="80" t="inlineStr">
        <is>
          <t>Iono Trainer Gallery (NM raw)</t>
        </is>
      </c>
      <c r="E242" s="80" t="inlineStr">
        <is>
          <t>Paldea Evolved</t>
        </is>
      </c>
      <c r="F242" s="80" t="inlineStr">
        <is>
          <t>237/193</t>
        </is>
      </c>
      <c r="G242" s="80" t="inlineStr">
        <is>
          <t>Raw NM</t>
        </is>
      </c>
      <c r="H242" s="105" t="n">
        <v>6</v>
      </c>
      <c r="P242" s="121" t="n">
        <v>4</v>
      </c>
      <c r="Q242" s="121" t="n">
        <v>14</v>
      </c>
      <c r="R242" s="80" t="inlineStr">
        <is>
          <t>1-2yr</t>
        </is>
      </c>
      <c r="S242" s="80" t="n">
        <v>3</v>
      </c>
      <c r="Y242" s="80">
        <f>U242*0.55+W242*0.20+V242*0.15+X242*0.10+ROW()/1000000</f>
        <v/>
      </c>
      <c r="AA242" s="122" t="inlineStr">
        <is>
          <t>https://www.tcgplayer.com/product/505423</t>
        </is>
      </c>
      <c r="AB242" s="80" t="inlineStr">
        <is>
          <t>Iono base trainer. Different from SIR.</t>
        </is>
      </c>
    </row>
    <row r="243" ht="15" customHeight="1" s="81">
      <c r="A243" s="80" t="inlineStr">
        <is>
          <t>P041</t>
        </is>
      </c>
      <c r="B243" s="80" t="inlineStr">
        <is>
          <t>Modern Chase PSA 10</t>
        </is>
      </c>
      <c r="C243" s="80" t="inlineStr">
        <is>
          <t>T5</t>
        </is>
      </c>
      <c r="D243" s="80" t="inlineStr">
        <is>
          <t>Lillie Common Trainer</t>
        </is>
      </c>
      <c r="E243" s="80" t="inlineStr">
        <is>
          <t>ME01</t>
        </is>
      </c>
      <c r="F243" s="80" t="inlineStr">
        <is>
          <t>171/132</t>
        </is>
      </c>
      <c r="G243" s="80" t="inlineStr">
        <is>
          <t>Raw NM</t>
        </is>
      </c>
      <c r="H243" s="105" t="n">
        <v>4</v>
      </c>
      <c r="P243" s="121" t="n">
        <v>2</v>
      </c>
      <c r="Q243" s="121" t="n">
        <v>12</v>
      </c>
      <c r="R243" s="80" t="inlineStr">
        <is>
          <t>1-2yr</t>
        </is>
      </c>
      <c r="S243" s="80" t="n">
        <v>3</v>
      </c>
      <c r="Y243" s="80">
        <f>U243*0.55+W243*0.20+V243*0.15+X243*0.10+ROW()/1000000</f>
        <v/>
      </c>
      <c r="AA243" s="122" t="inlineStr">
        <is>
          <t>https://www.tcgplayer.com/product/654534</t>
        </is>
      </c>
      <c r="AB243" s="80" t="inlineStr">
        <is>
          <t>Lillie base trainer. Buy 30+.</t>
        </is>
      </c>
    </row>
    <row r="244" ht="15" customHeight="1" s="81">
      <c r="A244" s="80" t="inlineStr">
        <is>
          <t>P042</t>
        </is>
      </c>
      <c r="B244" s="80" t="inlineStr">
        <is>
          <t>Modern Chase PSA 10</t>
        </is>
      </c>
      <c r="C244" s="80" t="inlineStr">
        <is>
          <t>T5</t>
        </is>
      </c>
      <c r="D244" s="80" t="inlineStr">
        <is>
          <t>Mega Charizard X Common</t>
        </is>
      </c>
      <c r="E244" s="80" t="inlineStr">
        <is>
          <t>ME01</t>
        </is>
      </c>
      <c r="F244" s="80" t="inlineStr">
        <is>
          <t>010/132</t>
        </is>
      </c>
      <c r="G244" s="80" t="inlineStr">
        <is>
          <t>Raw NM</t>
        </is>
      </c>
      <c r="H244" s="105" t="n">
        <v>5</v>
      </c>
      <c r="P244" s="121" t="n">
        <v>3</v>
      </c>
      <c r="Q244" s="121" t="n">
        <v>14</v>
      </c>
      <c r="R244" s="80" t="inlineStr">
        <is>
          <t>1-2yr</t>
        </is>
      </c>
      <c r="S244" s="80" t="n">
        <v>3</v>
      </c>
      <c r="Y244" s="80">
        <f>U244*0.55+W244*0.20+V244*0.15+X244*0.10+ROW()/1000000</f>
        <v/>
      </c>
      <c r="AA244" s="122" t="inlineStr">
        <is>
          <t>https://www.tcgplayer.com/product/654373</t>
        </is>
      </c>
      <c r="AB244" s="80" t="inlineStr">
        <is>
          <t>Cheap M Char X. Set theme play.</t>
        </is>
      </c>
    </row>
    <row r="245" ht="15" customHeight="1" s="81">
      <c r="A245" s="80" t="inlineStr">
        <is>
          <t>P043</t>
        </is>
      </c>
      <c r="B245" s="80" t="inlineStr">
        <is>
          <t>Modern Chase PSA 10</t>
        </is>
      </c>
      <c r="C245" s="80" t="inlineStr">
        <is>
          <t>T5</t>
        </is>
      </c>
      <c r="D245" s="80" t="inlineStr">
        <is>
          <t>Mega Charizard Y Common</t>
        </is>
      </c>
      <c r="E245" s="80" t="inlineStr">
        <is>
          <t>ME01</t>
        </is>
      </c>
      <c r="F245" s="80" t="inlineStr">
        <is>
          <t>011/132</t>
        </is>
      </c>
      <c r="G245" s="80" t="inlineStr">
        <is>
          <t>Raw NM</t>
        </is>
      </c>
      <c r="H245" s="105" t="n">
        <v>5</v>
      </c>
      <c r="P245" s="121" t="n">
        <v>3</v>
      </c>
      <c r="Q245" s="121" t="n">
        <v>15</v>
      </c>
      <c r="R245" s="80" t="inlineStr">
        <is>
          <t>1-2yr</t>
        </is>
      </c>
      <c r="S245" s="80" t="n">
        <v>3</v>
      </c>
      <c r="Y245" s="80">
        <f>U245*0.55+W245*0.20+V245*0.15+X245*0.10+ROW()/1000000</f>
        <v/>
      </c>
      <c r="AA245" s="122" t="inlineStr">
        <is>
          <t>https://www.tcgplayer.com/product/654374</t>
        </is>
      </c>
      <c r="AB245" s="80" t="inlineStr">
        <is>
          <t>Cheap M Char Y companion.</t>
        </is>
      </c>
    </row>
    <row r="246" ht="15" customHeight="1" s="81">
      <c r="A246" s="80" t="inlineStr">
        <is>
          <t>P044</t>
        </is>
      </c>
      <c r="B246" s="80" t="inlineStr">
        <is>
          <t>Modern Chase PSA 10</t>
        </is>
      </c>
      <c r="C246" s="80" t="inlineStr">
        <is>
          <t>T5</t>
        </is>
      </c>
      <c r="D246" s="80" t="inlineStr">
        <is>
          <t>Mega Gengar Common (AH)</t>
        </is>
      </c>
      <c r="E246" s="80" t="inlineStr">
        <is>
          <t>Ascended Heroes</t>
        </is>
      </c>
      <c r="F246" s="80" t="inlineStr">
        <is>
          <t>094/217</t>
        </is>
      </c>
      <c r="G246" s="80" t="inlineStr">
        <is>
          <t>Raw NM</t>
        </is>
      </c>
      <c r="H246" s="105" t="n">
        <v>6</v>
      </c>
      <c r="P246" s="121" t="n">
        <v>4</v>
      </c>
      <c r="Q246" s="121" t="n">
        <v>18</v>
      </c>
      <c r="R246" s="80" t="inlineStr">
        <is>
          <t>1-2yr</t>
        </is>
      </c>
      <c r="S246" s="80" t="n">
        <v>3</v>
      </c>
      <c r="Y246" s="80">
        <f>U246*0.55+W246*0.20+V246*0.15+X246*0.10+ROW()/1000000</f>
        <v/>
      </c>
      <c r="AA246" s="122" t="inlineStr">
        <is>
          <t>https://www.tcgplayer.com/product/676000</t>
        </is>
      </c>
      <c r="AB246" s="80" t="inlineStr">
        <is>
          <t>Mega Gengar base. Sub-SIR Gengar play.</t>
        </is>
      </c>
    </row>
    <row r="247" ht="15" customHeight="1" s="81">
      <c r="A247" s="80" t="inlineStr">
        <is>
          <t>P045</t>
        </is>
      </c>
      <c r="B247" s="80" t="inlineStr">
        <is>
          <t>Modern Chase PSA 10</t>
        </is>
      </c>
      <c r="C247" s="80" t="inlineStr">
        <is>
          <t>T5</t>
        </is>
      </c>
      <c r="D247" s="80" t="inlineStr">
        <is>
          <t>Mega Lucario Common (AH)</t>
        </is>
      </c>
      <c r="E247" s="80" t="inlineStr">
        <is>
          <t>Ascended Heroes</t>
        </is>
      </c>
      <c r="F247" s="80" t="inlineStr">
        <is>
          <t>115/217</t>
        </is>
      </c>
      <c r="G247" s="80" t="inlineStr">
        <is>
          <t>Raw NM</t>
        </is>
      </c>
      <c r="H247" s="105" t="n">
        <v>4</v>
      </c>
      <c r="P247" s="121" t="n">
        <v>3</v>
      </c>
      <c r="Q247" s="121" t="n">
        <v>12</v>
      </c>
      <c r="R247" s="80" t="inlineStr">
        <is>
          <t>1-2yr</t>
        </is>
      </c>
      <c r="S247" s="80" t="n">
        <v>3</v>
      </c>
      <c r="Y247" s="80">
        <f>U247*0.55+W247*0.20+V247*0.15+X247*0.10+ROW()/1000000</f>
        <v/>
      </c>
      <c r="AA247" s="122" t="inlineStr">
        <is>
          <t>https://www.tcgplayer.com/product/676021</t>
        </is>
      </c>
      <c r="AB247" s="80" t="inlineStr">
        <is>
          <t>Cheap Mega Lucario. Volume.</t>
        </is>
      </c>
    </row>
    <row r="248" ht="15" customHeight="1" s="81">
      <c r="A248" s="80" t="inlineStr">
        <is>
          <t>P046</t>
        </is>
      </c>
      <c r="B248" s="80" t="inlineStr">
        <is>
          <t>Modern Chase PSA 10</t>
        </is>
      </c>
      <c r="C248" s="80" t="inlineStr">
        <is>
          <t>T5</t>
        </is>
      </c>
      <c r="D248" s="80" t="inlineStr">
        <is>
          <t>Mega Rayquaza Common (AH)</t>
        </is>
      </c>
      <c r="E248" s="80" t="inlineStr">
        <is>
          <t>Ascended Heroes</t>
        </is>
      </c>
      <c r="F248" s="80" t="inlineStr">
        <is>
          <t>138/217</t>
        </is>
      </c>
      <c r="G248" s="80" t="inlineStr">
        <is>
          <t>Raw NM</t>
        </is>
      </c>
      <c r="H248" s="105" t="n">
        <v>5</v>
      </c>
      <c r="P248" s="121" t="n">
        <v>3</v>
      </c>
      <c r="Q248" s="121" t="n">
        <v>14</v>
      </c>
      <c r="R248" s="80" t="inlineStr">
        <is>
          <t>1-2yr</t>
        </is>
      </c>
      <c r="S248" s="80" t="n">
        <v>3</v>
      </c>
      <c r="Y248" s="80">
        <f>U248*0.55+W248*0.20+V248*0.15+X248*0.10+ROW()/1000000</f>
        <v/>
      </c>
      <c r="AA248" s="122" t="inlineStr">
        <is>
          <t>https://www.tcgplayer.com/product/676044</t>
        </is>
      </c>
      <c r="AB248" s="80" t="inlineStr">
        <is>
          <t>Mega Ray base. Set theme.</t>
        </is>
      </c>
    </row>
    <row r="249" ht="15" customHeight="1" s="81">
      <c r="A249" s="80" t="inlineStr">
        <is>
          <t>P047</t>
        </is>
      </c>
      <c r="B249" s="80" t="inlineStr">
        <is>
          <t>Modern Chase PSA 10</t>
        </is>
      </c>
      <c r="C249" s="80" t="inlineStr">
        <is>
          <t>T5</t>
        </is>
      </c>
      <c r="D249" s="80" t="inlineStr">
        <is>
          <t>Eevee Holo</t>
        </is>
      </c>
      <c r="E249" s="80" t="inlineStr">
        <is>
          <t>Prismatic Evolutions</t>
        </is>
      </c>
      <c r="F249" s="80" t="inlineStr">
        <is>
          <t>032/131</t>
        </is>
      </c>
      <c r="G249" s="80" t="inlineStr">
        <is>
          <t>Raw NM</t>
        </is>
      </c>
      <c r="H249" s="105" t="n">
        <v>4</v>
      </c>
      <c r="P249" s="121" t="n">
        <v>3</v>
      </c>
      <c r="Q249" s="121" t="n">
        <v>12</v>
      </c>
      <c r="R249" s="80" t="inlineStr">
        <is>
          <t>1-2yr</t>
        </is>
      </c>
      <c r="S249" s="80" t="n">
        <v>3</v>
      </c>
      <c r="Y249" s="80">
        <f>U249*0.55+W249*0.20+V249*0.15+X249*0.10+ROW()/1000000</f>
        <v/>
      </c>
      <c r="AA249" s="122" t="inlineStr">
        <is>
          <t>https://www.tcgplayer.com/product/610387</t>
        </is>
      </c>
      <c r="AB249" s="80" t="inlineStr">
        <is>
          <t>PE Eevee. Eeveelution set core.</t>
        </is>
      </c>
    </row>
    <row r="250" ht="15" customHeight="1" s="81">
      <c r="A250" s="80" t="inlineStr">
        <is>
          <t>P048</t>
        </is>
      </c>
      <c r="B250" s="80" t="inlineStr">
        <is>
          <t>Modern Chase PSA 10</t>
        </is>
      </c>
      <c r="C250" s="80" t="inlineStr">
        <is>
          <t>T5</t>
        </is>
      </c>
      <c r="D250" s="80" t="inlineStr">
        <is>
          <t>Vaporeon Holo</t>
        </is>
      </c>
      <c r="E250" s="80" t="inlineStr">
        <is>
          <t>Prismatic Evolutions</t>
        </is>
      </c>
      <c r="F250" s="80" t="inlineStr">
        <is>
          <t>045/131</t>
        </is>
      </c>
      <c r="G250" s="80" t="inlineStr">
        <is>
          <t>Raw NM</t>
        </is>
      </c>
      <c r="H250" s="105" t="n">
        <v>5</v>
      </c>
      <c r="P250" s="121" t="n">
        <v>3</v>
      </c>
      <c r="Q250" s="121" t="n">
        <v>14</v>
      </c>
      <c r="R250" s="80" t="inlineStr">
        <is>
          <t>1-2yr</t>
        </is>
      </c>
      <c r="S250" s="80" t="n">
        <v>3</v>
      </c>
      <c r="Y250" s="80">
        <f>U250*0.55+W250*0.20+V250*0.15+X250*0.10+ROW()/1000000</f>
        <v/>
      </c>
      <c r="AA250" s="122" t="inlineStr">
        <is>
          <t>https://www.tcgplayer.com/product/610400</t>
        </is>
      </c>
      <c r="AB250" s="80" t="inlineStr">
        <is>
          <t>Water Eeveelution holo.</t>
        </is>
      </c>
    </row>
    <row r="251" ht="15" customHeight="1" s="81">
      <c r="A251" s="80" t="inlineStr">
        <is>
          <t>P049</t>
        </is>
      </c>
      <c r="B251" s="80" t="inlineStr">
        <is>
          <t>Modern Chase PSA 10</t>
        </is>
      </c>
      <c r="C251" s="80" t="inlineStr">
        <is>
          <t>T5</t>
        </is>
      </c>
      <c r="D251" s="80" t="inlineStr">
        <is>
          <t>Jolteon Holo</t>
        </is>
      </c>
      <c r="E251" s="80" t="inlineStr">
        <is>
          <t>Prismatic Evolutions</t>
        </is>
      </c>
      <c r="F251" s="80" t="inlineStr">
        <is>
          <t>066/131</t>
        </is>
      </c>
      <c r="G251" s="80" t="inlineStr">
        <is>
          <t>Raw NM</t>
        </is>
      </c>
      <c r="H251" s="105" t="n">
        <v>5</v>
      </c>
      <c r="P251" s="121" t="n">
        <v>3</v>
      </c>
      <c r="Q251" s="121" t="n">
        <v>14</v>
      </c>
      <c r="R251" s="80" t="inlineStr">
        <is>
          <t>1-2yr</t>
        </is>
      </c>
      <c r="S251" s="80" t="n">
        <v>3</v>
      </c>
      <c r="Y251" s="80">
        <f>U251*0.55+W251*0.20+V251*0.15+X251*0.10+ROW()/1000000</f>
        <v/>
      </c>
      <c r="AA251" s="122" t="inlineStr">
        <is>
          <t>https://www.tcgplayer.com/product/610421</t>
        </is>
      </c>
      <c r="AB251" s="80" t="inlineStr">
        <is>
          <t>Electric Eeveelution.</t>
        </is>
      </c>
    </row>
    <row r="252" ht="15" customHeight="1" s="81">
      <c r="A252" s="80" t="inlineStr">
        <is>
          <t>P050</t>
        </is>
      </c>
      <c r="B252" s="80" t="inlineStr">
        <is>
          <t>Modern Chase PSA 10</t>
        </is>
      </c>
      <c r="C252" s="80" t="inlineStr">
        <is>
          <t>T5</t>
        </is>
      </c>
      <c r="D252" s="80" t="inlineStr">
        <is>
          <t>Flareon Holo</t>
        </is>
      </c>
      <c r="E252" s="80" t="inlineStr">
        <is>
          <t>Prismatic Evolutions</t>
        </is>
      </c>
      <c r="F252" s="80" t="inlineStr">
        <is>
          <t>021/131</t>
        </is>
      </c>
      <c r="G252" s="80" t="inlineStr">
        <is>
          <t>Raw NM</t>
        </is>
      </c>
      <c r="H252" s="105" t="n">
        <v>5</v>
      </c>
      <c r="P252" s="121" t="n">
        <v>3</v>
      </c>
      <c r="Q252" s="121" t="n">
        <v>14</v>
      </c>
      <c r="R252" s="80" t="inlineStr">
        <is>
          <t>1-2yr</t>
        </is>
      </c>
      <c r="S252" s="80" t="n">
        <v>3</v>
      </c>
      <c r="Y252" s="80">
        <f>U252*0.55+W252*0.20+V252*0.15+X252*0.10+ROW()/1000000</f>
        <v/>
      </c>
      <c r="AA252" s="122" t="inlineStr">
        <is>
          <t>https://www.tcgplayer.com/product/610376</t>
        </is>
      </c>
      <c r="AB252" s="80" t="inlineStr">
        <is>
          <t>Fire Eeveelution.</t>
        </is>
      </c>
    </row>
    <row r="253" ht="15" customHeight="1" s="81">
      <c r="A253" s="80" t="inlineStr">
        <is>
          <t>P051</t>
        </is>
      </c>
      <c r="B253" s="80" t="inlineStr">
        <is>
          <t>Modern Chase PSA 10</t>
        </is>
      </c>
      <c r="C253" s="80" t="inlineStr">
        <is>
          <t>T5</t>
        </is>
      </c>
      <c r="D253" s="80" t="inlineStr">
        <is>
          <t>Espeon Holo</t>
        </is>
      </c>
      <c r="E253" s="80" t="inlineStr">
        <is>
          <t>Prismatic Evolutions</t>
        </is>
      </c>
      <c r="F253" s="80" t="inlineStr">
        <is>
          <t>076/131</t>
        </is>
      </c>
      <c r="G253" s="80" t="inlineStr">
        <is>
          <t>Raw NM</t>
        </is>
      </c>
      <c r="H253" s="105" t="n">
        <v>6</v>
      </c>
      <c r="P253" s="121" t="n">
        <v>4</v>
      </c>
      <c r="Q253" s="121" t="n">
        <v>16</v>
      </c>
      <c r="R253" s="80" t="inlineStr">
        <is>
          <t>1-2yr</t>
        </is>
      </c>
      <c r="S253" s="80" t="n">
        <v>3</v>
      </c>
      <c r="Y253" s="80">
        <f>U253*0.55+W253*0.20+V253*0.15+X253*0.10+ROW()/1000000</f>
        <v/>
      </c>
      <c r="AA253" s="122" t="inlineStr">
        <is>
          <t>https://www.tcgplayer.com/product/610431</t>
        </is>
      </c>
      <c r="AB253" s="80" t="inlineStr">
        <is>
          <t>Psychic Eeveelution.</t>
        </is>
      </c>
    </row>
    <row r="254" ht="15" customHeight="1" s="81">
      <c r="A254" s="80" t="inlineStr">
        <is>
          <t>P052</t>
        </is>
      </c>
      <c r="B254" s="80" t="inlineStr">
        <is>
          <t>Modern Chase PSA 10</t>
        </is>
      </c>
      <c r="C254" s="80" t="inlineStr">
        <is>
          <t>T5</t>
        </is>
      </c>
      <c r="D254" s="80" t="inlineStr">
        <is>
          <t>Umbreon Holo</t>
        </is>
      </c>
      <c r="E254" s="80" t="inlineStr">
        <is>
          <t>Prismatic Evolutions</t>
        </is>
      </c>
      <c r="F254" s="80" t="inlineStr">
        <is>
          <t>131/131</t>
        </is>
      </c>
      <c r="G254" s="80" t="inlineStr">
        <is>
          <t>Raw NM</t>
        </is>
      </c>
      <c r="H254" s="105" t="n">
        <v>8</v>
      </c>
      <c r="P254" s="121" t="n">
        <v>5</v>
      </c>
      <c r="Q254" s="121" t="n">
        <v>20</v>
      </c>
      <c r="R254" s="80" t="inlineStr">
        <is>
          <t>1-2yr</t>
        </is>
      </c>
      <c r="S254" s="80" t="n">
        <v>4</v>
      </c>
      <c r="Y254" s="80">
        <f>U254*0.55+W254*0.20+V254*0.15+X254*0.10+ROW()/1000000</f>
        <v/>
      </c>
      <c r="AA254" s="122" t="inlineStr">
        <is>
          <t>https://www.tcgplayer.com/product/610486</t>
        </is>
      </c>
      <c r="AB254" s="80" t="inlineStr">
        <is>
          <t>Dark Eeveelution. Umbreon premium.</t>
        </is>
      </c>
    </row>
    <row r="255" ht="15" customHeight="1" s="81">
      <c r="A255" s="80" t="inlineStr">
        <is>
          <t>P053</t>
        </is>
      </c>
      <c r="B255" s="80" t="inlineStr">
        <is>
          <t>Modern Chase PSA 10</t>
        </is>
      </c>
      <c r="C255" s="80" t="inlineStr">
        <is>
          <t>T5</t>
        </is>
      </c>
      <c r="D255" s="80" t="inlineStr">
        <is>
          <t>Leafeon Holo</t>
        </is>
      </c>
      <c r="E255" s="80" t="inlineStr">
        <is>
          <t>Prismatic Evolutions</t>
        </is>
      </c>
      <c r="F255" s="80" t="inlineStr">
        <is>
          <t>008/131</t>
        </is>
      </c>
      <c r="G255" s="80" t="inlineStr">
        <is>
          <t>Raw NM</t>
        </is>
      </c>
      <c r="H255" s="105" t="n">
        <v>5</v>
      </c>
      <c r="P255" s="121" t="n">
        <v>3</v>
      </c>
      <c r="Q255" s="121" t="n">
        <v>14</v>
      </c>
      <c r="R255" s="80" t="inlineStr">
        <is>
          <t>1-2yr</t>
        </is>
      </c>
      <c r="S255" s="80" t="n">
        <v>3</v>
      </c>
      <c r="Y255" s="80">
        <f>U255*0.55+W255*0.20+V255*0.15+X255*0.10+ROW()/1000000</f>
        <v/>
      </c>
      <c r="AA255" s="122" t="inlineStr">
        <is>
          <t>https://www.tcgplayer.com/product/610363</t>
        </is>
      </c>
      <c r="AB255" s="80" t="inlineStr">
        <is>
          <t>Grass Eeveelution.</t>
        </is>
      </c>
    </row>
    <row r="256" ht="15" customHeight="1" s="81">
      <c r="A256" s="80" t="inlineStr">
        <is>
          <t>P054</t>
        </is>
      </c>
      <c r="B256" s="80" t="inlineStr">
        <is>
          <t>Modern Chase PSA 10</t>
        </is>
      </c>
      <c r="C256" s="80" t="inlineStr">
        <is>
          <t>T5</t>
        </is>
      </c>
      <c r="D256" s="80" t="inlineStr">
        <is>
          <t>Glaceon Holo</t>
        </is>
      </c>
      <c r="E256" s="80" t="inlineStr">
        <is>
          <t>Prismatic Evolutions</t>
        </is>
      </c>
      <c r="F256" s="80" t="inlineStr">
        <is>
          <t>035/131</t>
        </is>
      </c>
      <c r="G256" s="80" t="inlineStr">
        <is>
          <t>Raw NM</t>
        </is>
      </c>
      <c r="H256" s="105" t="n">
        <v>5</v>
      </c>
      <c r="P256" s="121" t="n">
        <v>3</v>
      </c>
      <c r="Q256" s="121" t="n">
        <v>14</v>
      </c>
      <c r="R256" s="80" t="inlineStr">
        <is>
          <t>1-2yr</t>
        </is>
      </c>
      <c r="S256" s="80" t="n">
        <v>3</v>
      </c>
      <c r="Y256" s="80">
        <f>U256*0.55+W256*0.20+V256*0.15+X256*0.10+ROW()/1000000</f>
        <v/>
      </c>
      <c r="AA256" s="122" t="inlineStr">
        <is>
          <t>https://www.tcgplayer.com/product/610390</t>
        </is>
      </c>
      <c r="AB256" s="80" t="inlineStr">
        <is>
          <t>Ice Eeveelution.</t>
        </is>
      </c>
    </row>
    <row r="257" ht="15" customHeight="1" s="81">
      <c r="A257" s="80" t="inlineStr">
        <is>
          <t>P055</t>
        </is>
      </c>
      <c r="B257" s="80" t="inlineStr">
        <is>
          <t>Modern Chase PSA 10</t>
        </is>
      </c>
      <c r="C257" s="80" t="inlineStr">
        <is>
          <t>T5</t>
        </is>
      </c>
      <c r="D257" s="80" t="inlineStr">
        <is>
          <t>Sylveon Holo</t>
        </is>
      </c>
      <c r="E257" s="80" t="inlineStr">
        <is>
          <t>Prismatic Evolutions</t>
        </is>
      </c>
      <c r="F257" s="80" t="inlineStr">
        <is>
          <t>086/131</t>
        </is>
      </c>
      <c r="G257" s="80" t="inlineStr">
        <is>
          <t>Raw NM</t>
        </is>
      </c>
      <c r="H257" s="105" t="n">
        <v>6</v>
      </c>
      <c r="P257" s="121" t="n">
        <v>4</v>
      </c>
      <c r="Q257" s="121" t="n">
        <v>15</v>
      </c>
      <c r="R257" s="80" t="inlineStr">
        <is>
          <t>1-2yr</t>
        </is>
      </c>
      <c r="S257" s="80" t="n">
        <v>3</v>
      </c>
      <c r="Y257" s="80">
        <f>U257*0.55+W257*0.20+V257*0.15+X257*0.10+ROW()/1000000</f>
        <v/>
      </c>
      <c r="AA257" s="122" t="inlineStr">
        <is>
          <t>https://www.tcgplayer.com/product/610441</t>
        </is>
      </c>
      <c r="AB257" s="80" t="inlineStr">
        <is>
          <t>Fairy Eeveelution.</t>
        </is>
      </c>
    </row>
    <row r="258" ht="15" customHeight="1" s="81">
      <c r="A258" s="80" t="inlineStr">
        <is>
          <t>P056</t>
        </is>
      </c>
      <c r="B258" s="80" t="inlineStr">
        <is>
          <t>Modern Chase PSA 10</t>
        </is>
      </c>
      <c r="C258" s="80" t="inlineStr">
        <is>
          <t>T5</t>
        </is>
      </c>
      <c r="D258" s="80" t="inlineStr">
        <is>
          <t>Pikachu Holo (PE)</t>
        </is>
      </c>
      <c r="E258" s="80" t="inlineStr">
        <is>
          <t>Prismatic Evolutions</t>
        </is>
      </c>
      <c r="F258" s="80" t="inlineStr">
        <is>
          <t>001/131</t>
        </is>
      </c>
      <c r="G258" s="80" t="inlineStr">
        <is>
          <t>Raw NM</t>
        </is>
      </c>
      <c r="H258" s="105" t="n">
        <v>7</v>
      </c>
      <c r="P258" s="121" t="n">
        <v>5</v>
      </c>
      <c r="Q258" s="121" t="n">
        <v>18</v>
      </c>
      <c r="R258" s="80" t="inlineStr">
        <is>
          <t>1-2yr</t>
        </is>
      </c>
      <c r="S258" s="80" t="n">
        <v>3</v>
      </c>
      <c r="Y258" s="80">
        <f>U258*0.55+W258*0.20+V258*0.15+X258*0.10+ROW()/1000000</f>
        <v/>
      </c>
      <c r="AA258" s="122" t="inlineStr">
        <is>
          <t>https://www.tcgplayer.com/product/610356</t>
        </is>
      </c>
      <c r="AB258" s="80" t="inlineStr">
        <is>
          <t>PE Pikachu. First card in set.</t>
        </is>
      </c>
    </row>
    <row r="259" ht="15" customHeight="1" s="81">
      <c r="A259" s="80" t="inlineStr">
        <is>
          <t>P057</t>
        </is>
      </c>
      <c r="B259" s="80" t="inlineStr">
        <is>
          <t>Modern Chase PSA 10</t>
        </is>
      </c>
      <c r="C259" s="80" t="inlineStr">
        <is>
          <t>T5</t>
        </is>
      </c>
      <c r="D259" s="80" t="inlineStr">
        <is>
          <t>Charizard Holo (PE)</t>
        </is>
      </c>
      <c r="E259" s="80" t="inlineStr">
        <is>
          <t>Prismatic Evolutions</t>
        </is>
      </c>
      <c r="F259" s="80" t="inlineStr">
        <is>
          <t>024/131</t>
        </is>
      </c>
      <c r="G259" s="80" t="inlineStr">
        <is>
          <t>Raw NM</t>
        </is>
      </c>
      <c r="H259" s="105" t="n">
        <v>9</v>
      </c>
      <c r="P259" s="121" t="n">
        <v>6</v>
      </c>
      <c r="Q259" s="121" t="n">
        <v>22</v>
      </c>
      <c r="R259" s="80" t="inlineStr">
        <is>
          <t>1-2yr</t>
        </is>
      </c>
      <c r="S259" s="80" t="n">
        <v>4</v>
      </c>
      <c r="Y259" s="80">
        <f>U259*0.55+W259*0.20+V259*0.15+X259*0.10+ROW()/1000000</f>
        <v/>
      </c>
      <c r="AA259" s="122" t="inlineStr">
        <is>
          <t>https://www.tcgplayer.com/product/610379</t>
        </is>
      </c>
      <c r="AB259" s="80" t="inlineStr">
        <is>
          <t>PE Charizard. Char floor.</t>
        </is>
      </c>
    </row>
    <row r="260" ht="15" customHeight="1" s="81">
      <c r="A260" s="80" t="inlineStr">
        <is>
          <t>P058</t>
        </is>
      </c>
      <c r="B260" s="80" t="inlineStr">
        <is>
          <t>Modern Chase PSA 10</t>
        </is>
      </c>
      <c r="C260" s="80" t="inlineStr">
        <is>
          <t>T5</t>
        </is>
      </c>
      <c r="D260" s="80" t="inlineStr">
        <is>
          <t>Mewtwo Holo (PE)</t>
        </is>
      </c>
      <c r="E260" s="80" t="inlineStr">
        <is>
          <t>Prismatic Evolutions</t>
        </is>
      </c>
      <c r="F260" s="80" t="inlineStr">
        <is>
          <t>108/131</t>
        </is>
      </c>
      <c r="G260" s="80" t="inlineStr">
        <is>
          <t>Raw NM</t>
        </is>
      </c>
      <c r="H260" s="105" t="n">
        <v>8</v>
      </c>
      <c r="P260" s="121" t="n">
        <v>5</v>
      </c>
      <c r="Q260" s="121" t="n">
        <v>20</v>
      </c>
      <c r="R260" s="80" t="inlineStr">
        <is>
          <t>1-2yr</t>
        </is>
      </c>
      <c r="S260" s="80" t="n">
        <v>3</v>
      </c>
      <c r="Y260" s="80">
        <f>U260*0.55+W260*0.20+V260*0.15+X260*0.10+ROW()/1000000</f>
        <v/>
      </c>
      <c r="AA260" s="122" t="inlineStr">
        <is>
          <t>https://www.tcgplayer.com/product/610463</t>
        </is>
      </c>
      <c r="AB260" s="80" t="inlineStr">
        <is>
          <t>PE Mewtwo holo.</t>
        </is>
      </c>
    </row>
    <row r="261" ht="15" customHeight="1" s="81">
      <c r="A261" s="80" t="inlineStr">
        <is>
          <t>P059</t>
        </is>
      </c>
      <c r="B261" s="80" t="inlineStr">
        <is>
          <t>Modern Chase PSA 10</t>
        </is>
      </c>
      <c r="C261" s="80" t="inlineStr">
        <is>
          <t>T5</t>
        </is>
      </c>
      <c r="D261" s="80" t="inlineStr">
        <is>
          <t>Snorlax ex (PE)</t>
        </is>
      </c>
      <c r="E261" s="80" t="inlineStr">
        <is>
          <t>Prismatic Evolutions</t>
        </is>
      </c>
      <c r="F261" s="80" t="inlineStr">
        <is>
          <t>143/131</t>
        </is>
      </c>
      <c r="G261" s="80" t="inlineStr">
        <is>
          <t>Raw NM</t>
        </is>
      </c>
      <c r="H261" s="105" t="n">
        <v>6</v>
      </c>
      <c r="P261" s="121" t="n">
        <v>4</v>
      </c>
      <c r="Q261" s="121" t="n">
        <v>16</v>
      </c>
      <c r="R261" s="80" t="inlineStr">
        <is>
          <t>1-2yr</t>
        </is>
      </c>
      <c r="S261" s="80" t="n">
        <v>3</v>
      </c>
      <c r="Y261" s="80">
        <f>U261*0.55+W261*0.20+V261*0.15+X261*0.10+ROW()/1000000</f>
        <v/>
      </c>
      <c r="AA261" s="122" t="inlineStr">
        <is>
          <t>https://www.tcgplayer.com/product/610498</t>
        </is>
      </c>
      <c r="AB261" s="80" t="inlineStr">
        <is>
          <t>Snorlax fan favorite.</t>
        </is>
      </c>
    </row>
    <row r="262" ht="15" customHeight="1" s="81">
      <c r="A262" s="80" t="inlineStr">
        <is>
          <t>P060</t>
        </is>
      </c>
      <c r="B262" s="80" t="inlineStr">
        <is>
          <t>Modern Chase PSA 10</t>
        </is>
      </c>
      <c r="C262" s="80" t="inlineStr">
        <is>
          <t>T5</t>
        </is>
      </c>
      <c r="D262" s="80" t="inlineStr">
        <is>
          <t>Greedent Trainer SIR</t>
        </is>
      </c>
      <c r="E262" s="80" t="inlineStr">
        <is>
          <t>Surging Sparks</t>
        </is>
      </c>
      <c r="F262" s="80" t="inlineStr">
        <is>
          <t>265/191</t>
        </is>
      </c>
      <c r="G262" s="80" t="inlineStr">
        <is>
          <t>Raw NM</t>
        </is>
      </c>
      <c r="H262" s="105" t="n">
        <v>8</v>
      </c>
      <c r="P262" s="121" t="n">
        <v>5</v>
      </c>
      <c r="Q262" s="121" t="n">
        <v>22</v>
      </c>
      <c r="R262" s="80" t="inlineStr">
        <is>
          <t>1-2yr</t>
        </is>
      </c>
      <c r="S262" s="80" t="n">
        <v>3</v>
      </c>
      <c r="Y262" s="80">
        <f>U262*0.55+W262*0.20+V262*0.15+X262*0.10+ROW()/1000000</f>
        <v/>
      </c>
      <c r="AA262" s="122" t="inlineStr">
        <is>
          <t>https://www.tcgplayer.com/product/610516</t>
        </is>
      </c>
      <c r="AB262" s="80" t="inlineStr">
        <is>
          <t>Greedent + SIR. Sleeper.</t>
        </is>
      </c>
    </row>
    <row r="263" ht="15" customHeight="1" s="81">
      <c r="A263" s="80" t="inlineStr">
        <is>
          <t>B001</t>
        </is>
      </c>
      <c r="B263" s="80" t="inlineStr">
        <is>
          <t>Modern Chase PSA 10</t>
        </is>
      </c>
      <c r="C263" s="80" t="inlineStr">
        <is>
          <t>T5</t>
        </is>
      </c>
      <c r="D263" s="80" t="inlineStr">
        <is>
          <t>Pikachu ex SIR</t>
        </is>
      </c>
      <c r="E263" s="80" t="inlineStr">
        <is>
          <t>Surging Sparks</t>
        </is>
      </c>
      <c r="F263" s="80" t="inlineStr">
        <is>
          <t>238/191</t>
        </is>
      </c>
      <c r="G263" s="80" t="inlineStr">
        <is>
          <t>Raw NM</t>
        </is>
      </c>
      <c r="H263" s="105" t="n">
        <v>15</v>
      </c>
      <c r="P263" s="121" t="n">
        <v>10</v>
      </c>
      <c r="Q263" s="121" t="n">
        <v>35</v>
      </c>
      <c r="R263" s="80" t="inlineStr">
        <is>
          <t>1-2yr</t>
        </is>
      </c>
      <c r="S263" s="80" t="n">
        <v>3</v>
      </c>
      <c r="Y263" s="80">
        <f>U263*0.55+W263*0.20+V263*0.15+X263*0.10+ROW()/1000000</f>
        <v/>
      </c>
      <c r="AA263" s="122" t="inlineStr">
        <is>
          <t>https://www.tcgplayer.com/product/610489</t>
        </is>
      </c>
      <c r="AB263" s="80" t="inlineStr">
        <is>
          <t>Pikachu ex SIR raw. Buy 5, grade 2-3.</t>
        </is>
      </c>
    </row>
    <row r="264" ht="15" customHeight="1" s="81">
      <c r="A264" s="80" t="inlineStr">
        <is>
          <t>B002</t>
        </is>
      </c>
      <c r="B264" s="80" t="inlineStr">
        <is>
          <t>Modern Chase PSA 10</t>
        </is>
      </c>
      <c r="C264" s="80" t="inlineStr">
        <is>
          <t>T5</t>
        </is>
      </c>
      <c r="D264" s="80" t="inlineStr">
        <is>
          <t>Greninja ex SIR raw</t>
        </is>
      </c>
      <c r="E264" s="80" t="inlineStr">
        <is>
          <t>Twilight Masquerade</t>
        </is>
      </c>
      <c r="F264" s="80" t="inlineStr">
        <is>
          <t>232/167</t>
        </is>
      </c>
      <c r="G264" s="80" t="inlineStr">
        <is>
          <t>Raw NM</t>
        </is>
      </c>
      <c r="H264" s="105" t="n">
        <v>25</v>
      </c>
      <c r="P264" s="121" t="n">
        <v>18</v>
      </c>
      <c r="Q264" s="121" t="n">
        <v>50</v>
      </c>
      <c r="R264" s="80" t="inlineStr">
        <is>
          <t>1-2yr</t>
        </is>
      </c>
      <c r="S264" s="80" t="n">
        <v>4</v>
      </c>
      <c r="Y264" s="80">
        <f>U264*0.55+W264*0.20+V264*0.15+X264*0.10+ROW()/1000000</f>
        <v/>
      </c>
      <c r="AA264" s="122" t="inlineStr">
        <is>
          <t>https://www.tcgplayer.com/product/567103</t>
        </is>
      </c>
      <c r="AB264" s="80" t="inlineStr">
        <is>
          <t>Greninja chase raw.</t>
        </is>
      </c>
    </row>
    <row r="265" ht="15" customHeight="1" s="81">
      <c r="A265" s="80" t="inlineStr">
        <is>
          <t>B003</t>
        </is>
      </c>
      <c r="B265" s="80" t="inlineStr">
        <is>
          <t>Modern Chase PSA 10</t>
        </is>
      </c>
      <c r="C265" s="80" t="inlineStr">
        <is>
          <t>T5</t>
        </is>
      </c>
      <c r="D265" s="80" t="inlineStr">
        <is>
          <t>Hop's Zacian Trainer Gallery</t>
        </is>
      </c>
      <c r="E265" s="80" t="inlineStr">
        <is>
          <t>Lost Origin</t>
        </is>
      </c>
      <c r="F265" s="80" t="inlineStr">
        <is>
          <t>TG23/TG30</t>
        </is>
      </c>
      <c r="G265" s="80" t="inlineStr">
        <is>
          <t>Raw NM</t>
        </is>
      </c>
      <c r="H265" s="105" t="n">
        <v>18</v>
      </c>
      <c r="P265" s="121" t="n">
        <v>12</v>
      </c>
      <c r="Q265" s="121" t="n">
        <v>38</v>
      </c>
      <c r="R265" s="80" t="inlineStr">
        <is>
          <t>1-2yr</t>
        </is>
      </c>
      <c r="S265" s="80" t="n">
        <v>3</v>
      </c>
      <c r="Y265" s="80">
        <f>U265*0.55+W265*0.20+V265*0.15+X265*0.10+ROW()/1000000</f>
        <v/>
      </c>
      <c r="AA265" s="122" t="inlineStr">
        <is>
          <t>https://www.tcgplayer.com/product/271622</t>
        </is>
      </c>
      <c r="AB265" s="80" t="inlineStr">
        <is>
          <t>Hop's Zacian TG.</t>
        </is>
      </c>
    </row>
    <row r="266" ht="15" customHeight="1" s="81">
      <c r="A266" s="80" t="inlineStr">
        <is>
          <t>B004</t>
        </is>
      </c>
      <c r="B266" s="80" t="inlineStr">
        <is>
          <t>Modern Chase PSA 10</t>
        </is>
      </c>
      <c r="C266" s="80" t="inlineStr">
        <is>
          <t>T5</t>
        </is>
      </c>
      <c r="D266" s="80" t="inlineStr">
        <is>
          <t>Roaring Moon ex Alt raw</t>
        </is>
      </c>
      <c r="E266" s="80" t="inlineStr">
        <is>
          <t>Paradox Rift</t>
        </is>
      </c>
      <c r="F266" s="80" t="inlineStr">
        <is>
          <t>229/182</t>
        </is>
      </c>
      <c r="G266" s="80" t="inlineStr">
        <is>
          <t>Raw NM</t>
        </is>
      </c>
      <c r="H266" s="105" t="n">
        <v>35</v>
      </c>
      <c r="P266" s="121" t="n">
        <v>25</v>
      </c>
      <c r="Q266" s="121" t="n">
        <v>70</v>
      </c>
      <c r="R266" s="80" t="inlineStr">
        <is>
          <t>1-2yr</t>
        </is>
      </c>
      <c r="S266" s="80" t="n">
        <v>4</v>
      </c>
      <c r="Y266" s="80">
        <f>U266*0.55+W266*0.20+V266*0.15+X266*0.10+ROW()/1000000</f>
        <v/>
      </c>
      <c r="AA266" s="122" t="inlineStr">
        <is>
          <t>https://www.tcgplayer.com/product/536452</t>
        </is>
      </c>
      <c r="AB266" s="80" t="inlineStr">
        <is>
          <t>PR Roaring Moon alt. Grade play.</t>
        </is>
      </c>
    </row>
    <row r="267" ht="15" customHeight="1" s="81">
      <c r="A267" s="80" t="inlineStr">
        <is>
          <t>B005</t>
        </is>
      </c>
      <c r="B267" s="80" t="inlineStr">
        <is>
          <t>Modern Chase PSA 10</t>
        </is>
      </c>
      <c r="C267" s="80" t="inlineStr">
        <is>
          <t>T5</t>
        </is>
      </c>
      <c r="D267" s="80" t="inlineStr">
        <is>
          <t>Iron Hands ex Alt raw</t>
        </is>
      </c>
      <c r="E267" s="80" t="inlineStr">
        <is>
          <t>Paradox Rift</t>
        </is>
      </c>
      <c r="F267" s="80" t="inlineStr">
        <is>
          <t>228/182</t>
        </is>
      </c>
      <c r="G267" s="80" t="inlineStr">
        <is>
          <t>Raw NM</t>
        </is>
      </c>
      <c r="H267" s="105" t="n">
        <v>28</v>
      </c>
      <c r="P267" s="121" t="n">
        <v>20</v>
      </c>
      <c r="Q267" s="121" t="n">
        <v>60</v>
      </c>
      <c r="R267" s="80" t="inlineStr">
        <is>
          <t>1-2yr</t>
        </is>
      </c>
      <c r="S267" s="80" t="n">
        <v>3</v>
      </c>
      <c r="Y267" s="80">
        <f>U267*0.55+W267*0.20+V267*0.15+X267*0.10+ROW()/1000000</f>
        <v/>
      </c>
      <c r="AA267" s="122" t="inlineStr">
        <is>
          <t>https://www.tcgplayer.com/product/536451</t>
        </is>
      </c>
      <c r="AB267" s="80" t="inlineStr">
        <is>
          <t>PR Iron Hands.</t>
        </is>
      </c>
    </row>
    <row r="268" ht="15" customHeight="1" s="81">
      <c r="A268" s="80" t="inlineStr">
        <is>
          <t>B006</t>
        </is>
      </c>
      <c r="B268" s="80" t="inlineStr">
        <is>
          <t>Modern Chase PSA 10</t>
        </is>
      </c>
      <c r="C268" s="80" t="inlineStr">
        <is>
          <t>T5</t>
        </is>
      </c>
      <c r="D268" s="80" t="inlineStr">
        <is>
          <t>Mela Trainer SIR raw</t>
        </is>
      </c>
      <c r="E268" s="80" t="inlineStr">
        <is>
          <t>Obsidian Flames</t>
        </is>
      </c>
      <c r="F268" s="80" t="inlineStr">
        <is>
          <t>229/197</t>
        </is>
      </c>
      <c r="G268" s="80" t="inlineStr">
        <is>
          <t>Raw NM</t>
        </is>
      </c>
      <c r="H268" s="105" t="n">
        <v>22</v>
      </c>
      <c r="P268" s="121" t="n">
        <v>15</v>
      </c>
      <c r="Q268" s="121" t="n">
        <v>50</v>
      </c>
      <c r="R268" s="80" t="inlineStr">
        <is>
          <t>1-2yr</t>
        </is>
      </c>
      <c r="S268" s="80" t="n">
        <v>3</v>
      </c>
      <c r="Y268" s="80">
        <f>U268*0.55+W268*0.20+V268*0.15+X268*0.10+ROW()/1000000</f>
        <v/>
      </c>
      <c r="AA268" s="122" t="inlineStr">
        <is>
          <t>https://www.tcgplayer.com/product/521989</t>
        </is>
      </c>
      <c r="AB268" s="80" t="inlineStr">
        <is>
          <t>Mela waifu trainer.</t>
        </is>
      </c>
    </row>
    <row r="269" ht="15" customHeight="1" s="81">
      <c r="A269" s="80" t="inlineStr">
        <is>
          <t>B007</t>
        </is>
      </c>
      <c r="B269" s="80" t="inlineStr">
        <is>
          <t>Modern Chase PSA 10</t>
        </is>
      </c>
      <c r="C269" s="80" t="inlineStr">
        <is>
          <t>T5</t>
        </is>
      </c>
      <c r="D269" s="80" t="inlineStr">
        <is>
          <t>Tyrunt ex Illustration</t>
        </is>
      </c>
      <c r="E269" s="80" t="inlineStr">
        <is>
          <t>Twilight Masquerade</t>
        </is>
      </c>
      <c r="F269" s="80" t="inlineStr">
        <is>
          <t>228/167</t>
        </is>
      </c>
      <c r="G269" s="80" t="inlineStr">
        <is>
          <t>Raw NM</t>
        </is>
      </c>
      <c r="H269" s="105" t="n">
        <v>12</v>
      </c>
      <c r="P269" s="121" t="n">
        <v>8</v>
      </c>
      <c r="Q269" s="121" t="n">
        <v>30</v>
      </c>
      <c r="R269" s="80" t="inlineStr">
        <is>
          <t>1-2yr</t>
        </is>
      </c>
      <c r="S269" s="80" t="n">
        <v>3</v>
      </c>
      <c r="Y269" s="80">
        <f>U269*0.55+W269*0.20+V269*0.15+X269*0.10+ROW()/1000000</f>
        <v/>
      </c>
      <c r="AA269" s="122" t="inlineStr">
        <is>
          <t>https://www.tcgplayer.com/product/567099</t>
        </is>
      </c>
      <c r="AB269" s="80" t="inlineStr">
        <is>
          <t>Tyrunt IR. Underrated.</t>
        </is>
      </c>
    </row>
    <row r="270" ht="15" customHeight="1" s="81">
      <c r="A270" s="80" t="inlineStr">
        <is>
          <t>B008</t>
        </is>
      </c>
      <c r="B270" s="80" t="inlineStr">
        <is>
          <t>Modern Chase PSA 10</t>
        </is>
      </c>
      <c r="C270" s="80" t="inlineStr">
        <is>
          <t>T5</t>
        </is>
      </c>
      <c r="D270" s="80" t="inlineStr">
        <is>
          <t>Pikachu Promo (gold)</t>
        </is>
      </c>
      <c r="E270" s="80" t="inlineStr">
        <is>
          <t>SWSH295</t>
        </is>
      </c>
      <c r="F270" s="80" t="inlineStr">
        <is>
          <t>295</t>
        </is>
      </c>
      <c r="G270" s="80" t="inlineStr">
        <is>
          <t>Raw NM</t>
        </is>
      </c>
      <c r="H270" s="105" t="n">
        <v>18</v>
      </c>
      <c r="P270" s="121" t="n">
        <v>12</v>
      </c>
      <c r="Q270" s="121" t="n">
        <v>35</v>
      </c>
      <c r="R270" s="80" t="inlineStr">
        <is>
          <t>2-3yr</t>
        </is>
      </c>
      <c r="S270" s="80" t="n">
        <v>3</v>
      </c>
      <c r="Y270" s="80">
        <f>U270*0.55+W270*0.20+V270*0.15+X270*0.10+ROW()/1000000</f>
        <v/>
      </c>
      <c r="AA270" s="122" t="inlineStr">
        <is>
          <t>https://www.tcgplayer.com/product/250000</t>
        </is>
      </c>
      <c r="AB270" s="80" t="inlineStr">
        <is>
          <t>Gold Pikachu promo. Stable floor.</t>
        </is>
      </c>
    </row>
    <row r="271" ht="15" customHeight="1" s="81">
      <c r="A271" s="80" t="inlineStr">
        <is>
          <t>B009</t>
        </is>
      </c>
      <c r="B271" s="80" t="inlineStr">
        <is>
          <t>Modern Chase PSA 10</t>
        </is>
      </c>
      <c r="C271" s="80" t="inlineStr">
        <is>
          <t>T5</t>
        </is>
      </c>
      <c r="D271" s="80" t="inlineStr">
        <is>
          <t>Charizard VSTAR (BRS)</t>
        </is>
      </c>
      <c r="E271" s="80" t="inlineStr">
        <is>
          <t>Brilliant Stars</t>
        </is>
      </c>
      <c r="F271" s="80" t="inlineStr">
        <is>
          <t>018/172</t>
        </is>
      </c>
      <c r="G271" s="80" t="inlineStr">
        <is>
          <t>Raw NM</t>
        </is>
      </c>
      <c r="H271" s="105" t="n">
        <v>28</v>
      </c>
      <c r="P271" s="121" t="n">
        <v>20</v>
      </c>
      <c r="Q271" s="121" t="n">
        <v>55</v>
      </c>
      <c r="R271" s="80" t="inlineStr">
        <is>
          <t>1-2yr</t>
        </is>
      </c>
      <c r="S271" s="80" t="n">
        <v>3</v>
      </c>
      <c r="Y271" s="80">
        <f>U271*0.55+W271*0.20+V271*0.15+X271*0.10+ROW()/1000000</f>
        <v/>
      </c>
      <c r="AA271" s="122" t="inlineStr">
        <is>
          <t>https://www.tcgplayer.com/product/261819</t>
        </is>
      </c>
      <c r="AB271" s="80" t="inlineStr">
        <is>
          <t>Char VSTAR non-rainbow.</t>
        </is>
      </c>
    </row>
    <row r="272" ht="15" customHeight="1" s="81">
      <c r="A272" s="80" t="inlineStr">
        <is>
          <t>B010</t>
        </is>
      </c>
      <c r="B272" s="80" t="inlineStr">
        <is>
          <t>Modern Chase PSA 10</t>
        </is>
      </c>
      <c r="C272" s="80" t="inlineStr">
        <is>
          <t>T5</t>
        </is>
      </c>
      <c r="D272" s="80" t="inlineStr">
        <is>
          <t>Mew VMAX Alt Art</t>
        </is>
      </c>
      <c r="E272" s="80" t="inlineStr">
        <is>
          <t>Fusion Strike</t>
        </is>
      </c>
      <c r="F272" s="80" t="inlineStr">
        <is>
          <t>TG30/TG30</t>
        </is>
      </c>
      <c r="G272" s="80" t="inlineStr">
        <is>
          <t>Raw NM</t>
        </is>
      </c>
      <c r="H272" s="105" t="n">
        <v>35</v>
      </c>
      <c r="P272" s="121" t="n">
        <v>25</v>
      </c>
      <c r="Q272" s="121" t="n">
        <v>75</v>
      </c>
      <c r="R272" s="80" t="inlineStr">
        <is>
          <t>2-3yr</t>
        </is>
      </c>
      <c r="S272" s="80" t="n">
        <v>4</v>
      </c>
      <c r="Y272" s="80">
        <f>U272*0.55+W272*0.20+V272*0.15+X272*0.10+ROW()/1000000</f>
        <v/>
      </c>
      <c r="AA272" s="122" t="inlineStr">
        <is>
          <t>https://www.tcgplayer.com/product/254093</t>
        </is>
      </c>
      <c r="AB272" s="80" t="inlineStr">
        <is>
          <t>Fusion Strike Mew alt. Out-of-print.</t>
        </is>
      </c>
    </row>
    <row r="273" ht="15" customHeight="1" s="81">
      <c r="A273" s="80" t="inlineStr">
        <is>
          <t>B011</t>
        </is>
      </c>
      <c r="B273" s="80" t="inlineStr">
        <is>
          <t>Modern Chase PSA 10</t>
        </is>
      </c>
      <c r="C273" s="80" t="inlineStr">
        <is>
          <t>T5</t>
        </is>
      </c>
      <c r="D273" s="80" t="inlineStr">
        <is>
          <t>Gengar VMAX Alt Art</t>
        </is>
      </c>
      <c r="E273" s="80" t="inlineStr">
        <is>
          <t>Fusion Strike</t>
        </is>
      </c>
      <c r="F273" s="80" t="inlineStr">
        <is>
          <t>TG29/TG30</t>
        </is>
      </c>
      <c r="G273" s="80" t="inlineStr">
        <is>
          <t>Raw NM</t>
        </is>
      </c>
      <c r="H273" s="105" t="n">
        <v>28</v>
      </c>
      <c r="P273" s="121" t="n">
        <v>20</v>
      </c>
      <c r="Q273" s="121" t="n">
        <v>60</v>
      </c>
      <c r="R273" s="80" t="inlineStr">
        <is>
          <t>2-3yr</t>
        </is>
      </c>
      <c r="S273" s="80" t="n">
        <v>3</v>
      </c>
      <c r="Y273" s="80">
        <f>U273*0.55+W273*0.20+V273*0.15+X273*0.10+ROW()/1000000</f>
        <v/>
      </c>
      <c r="AA273" s="122" t="inlineStr">
        <is>
          <t>https://www.tcgplayer.com/product/254092</t>
        </is>
      </c>
      <c r="AB273" s="80" t="inlineStr">
        <is>
          <t>Gengar alt. Gengar momentum from Mega.</t>
        </is>
      </c>
    </row>
    <row r="274" ht="15" customHeight="1" s="81">
      <c r="A274" s="80" t="inlineStr">
        <is>
          <t>B012</t>
        </is>
      </c>
      <c r="B274" s="80" t="inlineStr">
        <is>
          <t>Modern Chase PSA 10</t>
        </is>
      </c>
      <c r="C274" s="80" t="inlineStr">
        <is>
          <t>T5</t>
        </is>
      </c>
      <c r="D274" s="80" t="inlineStr">
        <is>
          <t>Zekrom Trainer Gallery</t>
        </is>
      </c>
      <c r="E274" s="80" t="inlineStr">
        <is>
          <t>Lost Origin</t>
        </is>
      </c>
      <c r="F274" s="80" t="inlineStr">
        <is>
          <t>TG18/TG30</t>
        </is>
      </c>
      <c r="G274" s="80" t="inlineStr">
        <is>
          <t>Raw NM</t>
        </is>
      </c>
      <c r="H274" s="105" t="n">
        <v>18</v>
      </c>
      <c r="P274" s="121" t="n">
        <v>12</v>
      </c>
      <c r="Q274" s="121" t="n">
        <v>38</v>
      </c>
      <c r="R274" s="80" t="inlineStr">
        <is>
          <t>1-2yr</t>
        </is>
      </c>
      <c r="S274" s="80" t="n">
        <v>3</v>
      </c>
      <c r="Y274" s="80">
        <f>U274*0.55+W274*0.20+V274*0.15+X274*0.10+ROW()/1000000</f>
        <v/>
      </c>
      <c r="AA274" s="122" t="inlineStr">
        <is>
          <t>https://www.tcgplayer.com/product/271617</t>
        </is>
      </c>
      <c r="AB274" s="80" t="inlineStr">
        <is>
          <t>Sleeper Zekrom TG.</t>
        </is>
      </c>
    </row>
    <row r="275" ht="15" customHeight="1" s="81">
      <c r="A275" s="80" t="inlineStr">
        <is>
          <t>B013</t>
        </is>
      </c>
      <c r="B275" s="80" t="inlineStr">
        <is>
          <t>Modern Chase PSA 10</t>
        </is>
      </c>
      <c r="C275" s="80" t="inlineStr">
        <is>
          <t>T5</t>
        </is>
      </c>
      <c r="D275" s="80" t="inlineStr">
        <is>
          <t>Reshiram Trainer Gallery</t>
        </is>
      </c>
      <c r="E275" s="80" t="inlineStr">
        <is>
          <t>Brilliant Stars</t>
        </is>
      </c>
      <c r="F275" s="80" t="inlineStr">
        <is>
          <t>TG07/TG30</t>
        </is>
      </c>
      <c r="G275" s="80" t="inlineStr">
        <is>
          <t>Raw NM</t>
        </is>
      </c>
      <c r="H275" s="105" t="n">
        <v>22</v>
      </c>
      <c r="P275" s="121" t="n">
        <v>15</v>
      </c>
      <c r="Q275" s="121" t="n">
        <v>45</v>
      </c>
      <c r="R275" s="80" t="inlineStr">
        <is>
          <t>1-2yr</t>
        </is>
      </c>
      <c r="S275" s="80" t="n">
        <v>3</v>
      </c>
      <c r="Y275" s="80">
        <f>U275*0.55+W275*0.20+V275*0.15+X275*0.10+ROW()/1000000</f>
        <v/>
      </c>
      <c r="AA275" s="122" t="inlineStr">
        <is>
          <t>https://www.tcgplayer.com/product/261988</t>
        </is>
      </c>
      <c r="AB275" s="80" t="inlineStr">
        <is>
          <t>Reshiram TG. Pairs with Zekrom.</t>
        </is>
      </c>
    </row>
    <row r="276" ht="15" customHeight="1" s="81">
      <c r="A276" s="80" t="inlineStr">
        <is>
          <t>B014</t>
        </is>
      </c>
      <c r="B276" s="80" t="inlineStr">
        <is>
          <t>Modern Chase PSA 10</t>
        </is>
      </c>
      <c r="C276" s="80" t="inlineStr">
        <is>
          <t>T5</t>
        </is>
      </c>
      <c r="D276" s="80" t="inlineStr">
        <is>
          <t>Lugia V Alt Art (raw)</t>
        </is>
      </c>
      <c r="E276" s="80" t="inlineStr">
        <is>
          <t>Silver Tempest</t>
        </is>
      </c>
      <c r="F276" s="80" t="inlineStr">
        <is>
          <t>TG30/TG30</t>
        </is>
      </c>
      <c r="G276" s="80" t="inlineStr">
        <is>
          <t>Raw NM</t>
        </is>
      </c>
      <c r="H276" s="105" t="n">
        <v>35</v>
      </c>
      <c r="P276" s="121" t="n">
        <v>25</v>
      </c>
      <c r="Q276" s="121" t="n">
        <v>75</v>
      </c>
      <c r="R276" s="80" t="inlineStr">
        <is>
          <t>1-2yr</t>
        </is>
      </c>
      <c r="S276" s="80" t="n">
        <v>4</v>
      </c>
      <c r="Y276" s="80">
        <f>U276*0.55+W276*0.20+V276*0.15+X276*0.10+ROW()/1000000</f>
        <v/>
      </c>
      <c r="AA276" s="122" t="inlineStr">
        <is>
          <t>https://www.tcgplayer.com/product/278920</t>
        </is>
      </c>
      <c r="AB276" s="80" t="inlineStr">
        <is>
          <t>Lugia alt raw. Grade for $500+ PSA 10.</t>
        </is>
      </c>
    </row>
    <row r="277" ht="15" customHeight="1" s="81">
      <c r="A277" s="80" t="inlineStr">
        <is>
          <t>B015</t>
        </is>
      </c>
      <c r="B277" s="80" t="inlineStr">
        <is>
          <t>Modern Chase PSA 10</t>
        </is>
      </c>
      <c r="C277" s="80" t="inlineStr">
        <is>
          <t>T5</t>
        </is>
      </c>
      <c r="D277" s="80" t="inlineStr">
        <is>
          <t>Pokémon Center Pikachu Promo 2026</t>
        </is>
      </c>
      <c r="E277" s="80" t="inlineStr">
        <is>
          <t>Promo</t>
        </is>
      </c>
      <c r="F277" s="80" t="inlineStr">
        <is>
          <t>Promo</t>
        </is>
      </c>
      <c r="G277" s="80" t="inlineStr">
        <is>
          <t>Raw NM</t>
        </is>
      </c>
      <c r="H277" s="105" t="n">
        <v>20</v>
      </c>
      <c r="P277" s="121" t="n">
        <v>15</v>
      </c>
      <c r="Q277" s="121" t="n">
        <v>45</v>
      </c>
      <c r="R277" s="80" t="inlineStr">
        <is>
          <t>1-2yr</t>
        </is>
      </c>
      <c r="S277" s="80" t="n">
        <v>3</v>
      </c>
      <c r="Y277" s="80">
        <f>U277*0.55+W277*0.20+V277*0.15+X277*0.10+ROW()/1000000</f>
        <v/>
      </c>
      <c r="AA277" s="122" t="inlineStr">
        <is>
          <t>https://www.tcgplayer.com/product/700000</t>
        </is>
      </c>
      <c r="AB277" s="80" t="inlineStr">
        <is>
          <t>Annual Pokemon Center promo. Buy 5 from PC website.</t>
        </is>
      </c>
    </row>
    <row r="278" ht="15" customHeight="1" s="81">
      <c r="A278" s="80" t="inlineStr">
        <is>
          <t>B016</t>
        </is>
      </c>
      <c r="B278" s="80" t="inlineStr">
        <is>
          <t>Modern Chase PSA 10</t>
        </is>
      </c>
      <c r="C278" s="80" t="inlineStr">
        <is>
          <t>T5</t>
        </is>
      </c>
      <c r="D278" s="80" t="inlineStr">
        <is>
          <t>Origin Forme Palkia Alt Art Raw</t>
        </is>
      </c>
      <c r="E278" s="80" t="inlineStr">
        <is>
          <t>Astral Radiance</t>
        </is>
      </c>
      <c r="F278" s="80" t="inlineStr">
        <is>
          <t>TG24/TG30</t>
        </is>
      </c>
      <c r="G278" s="80" t="inlineStr">
        <is>
          <t>Raw NM</t>
        </is>
      </c>
      <c r="H278" s="105" t="n">
        <v>25</v>
      </c>
      <c r="P278" s="121" t="n">
        <v>18</v>
      </c>
      <c r="Q278" s="121" t="n">
        <v>55</v>
      </c>
      <c r="R278" s="80" t="inlineStr">
        <is>
          <t>1-2yr</t>
        </is>
      </c>
      <c r="S278" s="80" t="n">
        <v>3</v>
      </c>
      <c r="Y278" s="80">
        <f>U278*0.55+W278*0.20+V278*0.15+X278*0.10+ROW()/1000000</f>
        <v/>
      </c>
      <c r="AA278" s="122" t="inlineStr">
        <is>
          <t>https://www.tcgplayer.com/product/267749</t>
        </is>
      </c>
      <c r="AB278" s="80" t="inlineStr">
        <is>
          <t>Palkia alt raw.</t>
        </is>
      </c>
    </row>
    <row r="279" ht="15" customHeight="1" s="81">
      <c r="A279" s="80" t="inlineStr">
        <is>
          <t>B017</t>
        </is>
      </c>
      <c r="B279" s="80" t="inlineStr">
        <is>
          <t>Modern Chase PSA 10</t>
        </is>
      </c>
      <c r="C279" s="80" t="inlineStr">
        <is>
          <t>T5</t>
        </is>
      </c>
      <c r="D279" s="80" t="inlineStr">
        <is>
          <t>Origin Forme Dialga Alt Art Raw</t>
        </is>
      </c>
      <c r="E279" s="80" t="inlineStr">
        <is>
          <t>Astral Radiance</t>
        </is>
      </c>
      <c r="F279" s="80" t="inlineStr">
        <is>
          <t>TG23/TG30</t>
        </is>
      </c>
      <c r="G279" s="80" t="inlineStr">
        <is>
          <t>Raw NM</t>
        </is>
      </c>
      <c r="H279" s="105" t="n">
        <v>25</v>
      </c>
      <c r="P279" s="121" t="n">
        <v>18</v>
      </c>
      <c r="Q279" s="121" t="n">
        <v>55</v>
      </c>
      <c r="R279" s="80" t="inlineStr">
        <is>
          <t>1-2yr</t>
        </is>
      </c>
      <c r="S279" s="80" t="n">
        <v>3</v>
      </c>
      <c r="Y279" s="80">
        <f>U279*0.55+W279*0.20+V279*0.15+X279*0.10+ROW()/1000000</f>
        <v/>
      </c>
      <c r="AA279" s="122" t="inlineStr">
        <is>
          <t>https://www.tcgplayer.com/product/267748</t>
        </is>
      </c>
      <c r="AB279" s="80" t="inlineStr">
        <is>
          <t>Dialga alt raw.</t>
        </is>
      </c>
    </row>
    <row r="280" ht="15" customHeight="1" s="81">
      <c r="A280" s="80" t="inlineStr">
        <is>
          <t>B018</t>
        </is>
      </c>
      <c r="B280" s="80" t="inlineStr">
        <is>
          <t>Modern Chase PSA 10</t>
        </is>
      </c>
      <c r="C280" s="80" t="inlineStr">
        <is>
          <t>T5</t>
        </is>
      </c>
      <c r="D280" s="80" t="inlineStr">
        <is>
          <t>Whimsicott VSTAR Raw</t>
        </is>
      </c>
      <c r="E280" s="80" t="inlineStr">
        <is>
          <t>Brilliant Stars</t>
        </is>
      </c>
      <c r="F280" s="80" t="inlineStr">
        <is>
          <t>175/172</t>
        </is>
      </c>
      <c r="G280" s="80" t="inlineStr">
        <is>
          <t>Raw NM</t>
        </is>
      </c>
      <c r="H280" s="105" t="n">
        <v>20</v>
      </c>
      <c r="P280" s="121" t="n">
        <v>14</v>
      </c>
      <c r="Q280" s="121" t="n">
        <v>45</v>
      </c>
      <c r="R280" s="80" t="inlineStr">
        <is>
          <t>1-2yr</t>
        </is>
      </c>
      <c r="S280" s="80" t="n">
        <v>3</v>
      </c>
      <c r="Y280" s="80">
        <f>U280*0.55+W280*0.20+V280*0.15+X280*0.10+ROW()/1000000</f>
        <v/>
      </c>
      <c r="AA280" s="122" t="inlineStr">
        <is>
          <t>https://www.tcgplayer.com/product/261976</t>
        </is>
      </c>
      <c r="AB280" s="80" t="inlineStr">
        <is>
          <t>BRS Whimsicott raw.</t>
        </is>
      </c>
    </row>
    <row r="281" ht="15" customHeight="1" s="81">
      <c r="A281" s="80" t="inlineStr">
        <is>
          <t>B019</t>
        </is>
      </c>
      <c r="B281" s="80" t="inlineStr">
        <is>
          <t>Modern Chase PSA 10</t>
        </is>
      </c>
      <c r="C281" s="80" t="inlineStr">
        <is>
          <t>T5</t>
        </is>
      </c>
      <c r="D281" s="80" t="inlineStr">
        <is>
          <t>Volcanion Trainer Gallery</t>
        </is>
      </c>
      <c r="E281" s="80" t="inlineStr">
        <is>
          <t>Lost Origin</t>
        </is>
      </c>
      <c r="F281" s="80" t="inlineStr">
        <is>
          <t>TG09/TG30</t>
        </is>
      </c>
      <c r="G281" s="80" t="inlineStr">
        <is>
          <t>Raw NM</t>
        </is>
      </c>
      <c r="H281" s="105" t="n">
        <v>15</v>
      </c>
      <c r="P281" s="121" t="n">
        <v>10</v>
      </c>
      <c r="Q281" s="121" t="n">
        <v>30</v>
      </c>
      <c r="R281" s="80" t="inlineStr">
        <is>
          <t>1-2yr</t>
        </is>
      </c>
      <c r="S281" s="80" t="n">
        <v>3</v>
      </c>
      <c r="Y281" s="80">
        <f>U281*0.55+W281*0.20+V281*0.15+X281*0.10+ROW()/1000000</f>
        <v/>
      </c>
      <c r="AA281" s="122" t="inlineStr">
        <is>
          <t>https://www.tcgplayer.com/product/271608</t>
        </is>
      </c>
      <c r="AB281" s="80" t="inlineStr">
        <is>
          <t>LO Volcanion TG.</t>
        </is>
      </c>
    </row>
    <row r="282" ht="15" customHeight="1" s="81">
      <c r="A282" s="80" t="inlineStr">
        <is>
          <t>B020</t>
        </is>
      </c>
      <c r="B282" s="80" t="inlineStr">
        <is>
          <t>Modern Chase PSA 10</t>
        </is>
      </c>
      <c r="C282" s="80" t="inlineStr">
        <is>
          <t>T5</t>
        </is>
      </c>
      <c r="D282" s="80" t="inlineStr">
        <is>
          <t>Hisuian Zoroark Alt Art Raw</t>
        </is>
      </c>
      <c r="E282" s="80" t="inlineStr">
        <is>
          <t>Astral Radiance</t>
        </is>
      </c>
      <c r="F282" s="80" t="inlineStr">
        <is>
          <t>188/189</t>
        </is>
      </c>
      <c r="G282" s="80" t="inlineStr">
        <is>
          <t>Raw NM</t>
        </is>
      </c>
      <c r="H282" s="105" t="n">
        <v>32</v>
      </c>
      <c r="P282" s="121" t="n">
        <v>22</v>
      </c>
      <c r="Q282" s="121" t="n">
        <v>65</v>
      </c>
      <c r="R282" s="80" t="inlineStr">
        <is>
          <t>1-2yr</t>
        </is>
      </c>
      <c r="S282" s="80" t="n">
        <v>3</v>
      </c>
      <c r="Y282" s="80">
        <f>U282*0.55+W282*0.20+V282*0.15+X282*0.10+ROW()/1000000</f>
        <v/>
      </c>
      <c r="AA282" s="122" t="inlineStr">
        <is>
          <t>https://www.tcgplayer.com/product/267729</t>
        </is>
      </c>
      <c r="AB282" s="80" t="inlineStr">
        <is>
          <t>Hisuian Zoroark alt.</t>
        </is>
      </c>
    </row>
    <row r="283" ht="15" customHeight="1" s="81">
      <c r="A283" s="80" t="inlineStr">
        <is>
          <t>M101</t>
        </is>
      </c>
      <c r="B283" s="80" t="inlineStr">
        <is>
          <t>Modern Chase PSA 10</t>
        </is>
      </c>
      <c r="C283" s="80" t="inlineStr">
        <is>
          <t>T2</t>
        </is>
      </c>
      <c r="D283" s="80" t="inlineStr">
        <is>
          <t>Charizard V Alt Art (CZ)</t>
        </is>
      </c>
      <c r="E283" s="80" t="inlineStr">
        <is>
          <t>Champion's Path</t>
        </is>
      </c>
      <c r="F283" s="80" t="inlineStr">
        <is>
          <t>79/73</t>
        </is>
      </c>
      <c r="G283" s="80" t="inlineStr">
        <is>
          <t>PSA 10</t>
        </is>
      </c>
      <c r="H283" s="105" t="n">
        <v>80</v>
      </c>
      <c r="P283" s="121" t="n">
        <v>60</v>
      </c>
      <c r="Q283" s="121" t="n">
        <v>130</v>
      </c>
      <c r="R283" s="80" t="inlineStr">
        <is>
          <t>3-5yr</t>
        </is>
      </c>
      <c r="S283" s="80" t="n">
        <v>3</v>
      </c>
      <c r="T283" s="80" t="n">
        <v>2800</v>
      </c>
      <c r="Y283" s="80">
        <f>U283*0.55+W283*0.20+V283*0.15+X283*0.10+ROW()/1000000</f>
        <v/>
      </c>
      <c r="AA283" s="122" t="inlineStr">
        <is>
          <t>https://www.tcgplayer.com/product/223078</t>
        </is>
      </c>
      <c r="AB283" s="80" t="inlineStr">
        <is>
          <t>CP Char V FA already graded. Stable mid-cap.</t>
        </is>
      </c>
    </row>
    <row r="284" ht="15" customHeight="1" s="81">
      <c r="A284" s="80" t="inlineStr">
        <is>
          <t>M102</t>
        </is>
      </c>
      <c r="B284" s="80" t="inlineStr">
        <is>
          <t>Modern Chase PSA 10</t>
        </is>
      </c>
      <c r="C284" s="80" t="inlineStr">
        <is>
          <t>T2</t>
        </is>
      </c>
      <c r="D284" s="80" t="inlineStr">
        <is>
          <t>Drasna Trainer Gallery</t>
        </is>
      </c>
      <c r="E284" s="80" t="inlineStr">
        <is>
          <t>Silver Tempest</t>
        </is>
      </c>
      <c r="F284" s="80" t="inlineStr">
        <is>
          <t>TG28/TG30</t>
        </is>
      </c>
      <c r="G284" s="80" t="inlineStr">
        <is>
          <t>PSA 10</t>
        </is>
      </c>
      <c r="H284" s="105" t="n">
        <v>65</v>
      </c>
      <c r="P284" s="121" t="n">
        <v>50</v>
      </c>
      <c r="Q284" s="121" t="n">
        <v>110</v>
      </c>
      <c r="R284" s="80" t="inlineStr">
        <is>
          <t>2-3yr</t>
        </is>
      </c>
      <c r="S284" s="80" t="n">
        <v>3</v>
      </c>
      <c r="T284" s="80" t="n">
        <v>1500</v>
      </c>
      <c r="Y284" s="80">
        <f>U284*0.55+W284*0.20+V284*0.15+X284*0.10+ROW()/1000000</f>
        <v/>
      </c>
      <c r="AA284" s="122" t="inlineStr">
        <is>
          <t>https://www.tcgplayer.com/product/278918</t>
        </is>
      </c>
      <c r="AB284" s="80" t="inlineStr">
        <is>
          <t>Sleeper trainer gallery.</t>
        </is>
      </c>
    </row>
    <row r="285" ht="15" customHeight="1" s="81">
      <c r="A285" s="80" t="inlineStr">
        <is>
          <t>M103</t>
        </is>
      </c>
      <c r="B285" s="80" t="inlineStr">
        <is>
          <t>Modern Chase PSA 10</t>
        </is>
      </c>
      <c r="C285" s="80" t="inlineStr">
        <is>
          <t>T2</t>
        </is>
      </c>
      <c r="D285" s="80" t="inlineStr">
        <is>
          <t>Calyrex VMAX Alt Art</t>
        </is>
      </c>
      <c r="E285" s="80" t="inlineStr">
        <is>
          <t>Chilling Reign</t>
        </is>
      </c>
      <c r="F285" s="80" t="inlineStr">
        <is>
          <t>174/198</t>
        </is>
      </c>
      <c r="G285" s="80" t="inlineStr">
        <is>
          <t>PSA 10</t>
        </is>
      </c>
      <c r="H285" s="105" t="n">
        <v>90</v>
      </c>
      <c r="P285" s="121" t="n">
        <v>65</v>
      </c>
      <c r="Q285" s="121" t="n">
        <v>150</v>
      </c>
      <c r="R285" s="80" t="inlineStr">
        <is>
          <t>3-5yr</t>
        </is>
      </c>
      <c r="S285" s="80" t="n">
        <v>3</v>
      </c>
      <c r="T285" s="80" t="n">
        <v>2400</v>
      </c>
      <c r="Y285" s="80">
        <f>U285*0.55+W285*0.20+V285*0.15+X285*0.10+ROW()/1000000</f>
        <v/>
      </c>
      <c r="AA285" s="122" t="inlineStr">
        <is>
          <t>https://www.tcgplayer.com/product/240071</t>
        </is>
      </c>
      <c r="AB285" s="80" t="inlineStr">
        <is>
          <t>Chilling Reign Calyrex alt.</t>
        </is>
      </c>
    </row>
    <row r="286" ht="15" customHeight="1" s="81">
      <c r="A286" s="80" t="inlineStr">
        <is>
          <t>M104</t>
        </is>
      </c>
      <c r="B286" s="80" t="inlineStr">
        <is>
          <t>Modern Chase PSA 10</t>
        </is>
      </c>
      <c r="C286" s="80" t="inlineStr">
        <is>
          <t>T2</t>
        </is>
      </c>
      <c r="D286" s="80" t="inlineStr">
        <is>
          <t>Galarian Moltres V Alt</t>
        </is>
      </c>
      <c r="E286" s="80" t="inlineStr">
        <is>
          <t>Crown Zenith</t>
        </is>
      </c>
      <c r="F286" s="80" t="inlineStr">
        <is>
          <t>GG39/GG70</t>
        </is>
      </c>
      <c r="G286" s="80" t="inlineStr">
        <is>
          <t>PSA 10</t>
        </is>
      </c>
      <c r="H286" s="105" t="n">
        <v>75</v>
      </c>
      <c r="P286" s="121" t="n">
        <v>55</v>
      </c>
      <c r="Q286" s="121" t="n">
        <v>120</v>
      </c>
      <c r="R286" s="80" t="inlineStr">
        <is>
          <t>3-5yr</t>
        </is>
      </c>
      <c r="S286" s="80" t="n">
        <v>3</v>
      </c>
      <c r="T286" s="80" t="n">
        <v>2100</v>
      </c>
      <c r="Y286" s="80">
        <f>U286*0.55+W286*0.20+V286*0.15+X286*0.10+ROW()/1000000</f>
        <v/>
      </c>
      <c r="AA286" s="122" t="inlineStr">
        <is>
          <t>https://www.tcgplayer.com/product/477099</t>
        </is>
      </c>
      <c r="AB286" s="80" t="inlineStr">
        <is>
          <t>GG Galarian Moltres.</t>
        </is>
      </c>
    </row>
    <row r="287" ht="15" customHeight="1" s="81">
      <c r="A287" s="80" t="inlineStr">
        <is>
          <t>M105</t>
        </is>
      </c>
      <c r="B287" s="80" t="inlineStr">
        <is>
          <t>Modern Chase PSA 10</t>
        </is>
      </c>
      <c r="C287" s="80" t="inlineStr">
        <is>
          <t>T2</t>
        </is>
      </c>
      <c r="D287" s="80" t="inlineStr">
        <is>
          <t>Galarian Articuno V Alt</t>
        </is>
      </c>
      <c r="E287" s="80" t="inlineStr">
        <is>
          <t>Crown Zenith</t>
        </is>
      </c>
      <c r="F287" s="80" t="inlineStr">
        <is>
          <t>GG40/GG70</t>
        </is>
      </c>
      <c r="G287" s="80" t="inlineStr">
        <is>
          <t>PSA 10</t>
        </is>
      </c>
      <c r="H287" s="105" t="n">
        <v>70</v>
      </c>
      <c r="P287" s="121" t="n">
        <v>50</v>
      </c>
      <c r="Q287" s="121" t="n">
        <v>115</v>
      </c>
      <c r="R287" s="80" t="inlineStr">
        <is>
          <t>3-5yr</t>
        </is>
      </c>
      <c r="S287" s="80" t="n">
        <v>3</v>
      </c>
      <c r="T287" s="80" t="n">
        <v>2200</v>
      </c>
      <c r="Y287" s="80">
        <f>U287*0.55+W287*0.20+V287*0.15+X287*0.10+ROW()/1000000</f>
        <v/>
      </c>
      <c r="AA287" s="122" t="inlineStr">
        <is>
          <t>https://www.tcgplayer.com/product/477100</t>
        </is>
      </c>
      <c r="AB287" s="80" t="inlineStr">
        <is>
          <t>GG Galarian Articuno.</t>
        </is>
      </c>
    </row>
    <row r="288" ht="15" customHeight="1" s="81">
      <c r="A288" s="80" t="inlineStr">
        <is>
          <t>M106</t>
        </is>
      </c>
      <c r="B288" s="80" t="inlineStr">
        <is>
          <t>Modern Chase PSA 10</t>
        </is>
      </c>
      <c r="C288" s="80" t="inlineStr">
        <is>
          <t>T2</t>
        </is>
      </c>
      <c r="D288" s="80" t="inlineStr">
        <is>
          <t>Galarian Zapdos V Alt</t>
        </is>
      </c>
      <c r="E288" s="80" t="inlineStr">
        <is>
          <t>Crown Zenith</t>
        </is>
      </c>
      <c r="F288" s="80" t="inlineStr">
        <is>
          <t>GG41/GG70</t>
        </is>
      </c>
      <c r="G288" s="80" t="inlineStr">
        <is>
          <t>PSA 10</t>
        </is>
      </c>
      <c r="H288" s="105" t="n">
        <v>65</v>
      </c>
      <c r="P288" s="121" t="n">
        <v>48</v>
      </c>
      <c r="Q288" s="121" t="n">
        <v>110</v>
      </c>
      <c r="R288" s="80" t="inlineStr">
        <is>
          <t>3-5yr</t>
        </is>
      </c>
      <c r="S288" s="80" t="n">
        <v>3</v>
      </c>
      <c r="T288" s="80" t="n">
        <v>2100</v>
      </c>
      <c r="Y288" s="80">
        <f>U288*0.55+W288*0.20+V288*0.15+X288*0.10+ROW()/1000000</f>
        <v/>
      </c>
      <c r="AA288" s="122" t="inlineStr">
        <is>
          <t>https://www.tcgplayer.com/product/477101</t>
        </is>
      </c>
      <c r="AB288" s="80" t="inlineStr">
        <is>
          <t>GG Galarian Zapdos.</t>
        </is>
      </c>
    </row>
    <row r="289" ht="15" customHeight="1" s="81">
      <c r="A289" s="80" t="inlineStr">
        <is>
          <t>M107</t>
        </is>
      </c>
      <c r="B289" s="80" t="inlineStr">
        <is>
          <t>Modern Chase PSA 10</t>
        </is>
      </c>
      <c r="C289" s="80" t="inlineStr">
        <is>
          <t>T2</t>
        </is>
      </c>
      <c r="D289" s="80" t="inlineStr">
        <is>
          <t>Greninja V Alt Art (FS)</t>
        </is>
      </c>
      <c r="E289" s="80" t="inlineStr">
        <is>
          <t>Fusion Strike</t>
        </is>
      </c>
      <c r="F289" s="80" t="inlineStr">
        <is>
          <t>271/264</t>
        </is>
      </c>
      <c r="G289" s="80" t="inlineStr">
        <is>
          <t>PSA 10</t>
        </is>
      </c>
      <c r="H289" s="105" t="n">
        <v>120</v>
      </c>
      <c r="P289" s="121" t="n">
        <v>90</v>
      </c>
      <c r="Q289" s="121" t="n">
        <v>180</v>
      </c>
      <c r="R289" s="80" t="inlineStr">
        <is>
          <t>3-5yr</t>
        </is>
      </c>
      <c r="S289" s="80" t="n">
        <v>4</v>
      </c>
      <c r="T289" s="80" t="n">
        <v>1800</v>
      </c>
      <c r="Y289" s="80">
        <f>U289*0.55+W289*0.20+V289*0.15+X289*0.10+ROW()/1000000</f>
        <v/>
      </c>
      <c r="AA289" s="122" t="inlineStr">
        <is>
          <t>https://www.tcgplayer.com/product/254094</t>
        </is>
      </c>
      <c r="AB289" s="80" t="inlineStr">
        <is>
          <t>FS Greninja alt. Out-of-print.</t>
        </is>
      </c>
    </row>
    <row r="290" ht="15" customHeight="1" s="81">
      <c r="A290" s="80" t="inlineStr">
        <is>
          <t>M108</t>
        </is>
      </c>
      <c r="B290" s="80" t="inlineStr">
        <is>
          <t>Modern Chase PSA 10</t>
        </is>
      </c>
      <c r="C290" s="80" t="inlineStr">
        <is>
          <t>T2</t>
        </is>
      </c>
      <c r="D290" s="80" t="inlineStr">
        <is>
          <t>Boltund V Alt Art</t>
        </is>
      </c>
      <c r="E290" s="80" t="inlineStr">
        <is>
          <t>Evolving Skies</t>
        </is>
      </c>
      <c r="F290" s="80" t="inlineStr">
        <is>
          <t>201/203</t>
        </is>
      </c>
      <c r="G290" s="80" t="inlineStr">
        <is>
          <t>PSA 10</t>
        </is>
      </c>
      <c r="H290" s="105" t="n">
        <v>85</v>
      </c>
      <c r="P290" s="121" t="n">
        <v>65</v>
      </c>
      <c r="Q290" s="121" t="n">
        <v>140</v>
      </c>
      <c r="R290" s="80" t="inlineStr">
        <is>
          <t>3-5yr</t>
        </is>
      </c>
      <c r="S290" s="80" t="n">
        <v>3</v>
      </c>
      <c r="T290" s="80" t="n">
        <v>1900</v>
      </c>
      <c r="Y290" s="80">
        <f>U290*0.55+W290*0.20+V290*0.15+X290*0.10+ROW()/1000000</f>
        <v/>
      </c>
      <c r="AA290" s="122" t="inlineStr">
        <is>
          <t>https://www.tcgplayer.com/product/246709</t>
        </is>
      </c>
      <c r="AB290" s="80" t="inlineStr">
        <is>
          <t>ES sleeper alt.</t>
        </is>
      </c>
    </row>
    <row r="291" ht="15" customHeight="1" s="81">
      <c r="A291" s="80" t="inlineStr">
        <is>
          <t>M109</t>
        </is>
      </c>
      <c r="B291" s="80" t="inlineStr">
        <is>
          <t>Modern Chase PSA 10</t>
        </is>
      </c>
      <c r="C291" s="80" t="inlineStr">
        <is>
          <t>T2</t>
        </is>
      </c>
      <c r="D291" s="80" t="inlineStr">
        <is>
          <t>Octillery V Alt Art</t>
        </is>
      </c>
      <c r="E291" s="80" t="inlineStr">
        <is>
          <t>Evolving Skies</t>
        </is>
      </c>
      <c r="F291" s="80" t="inlineStr">
        <is>
          <t>200/203</t>
        </is>
      </c>
      <c r="G291" s="80" t="inlineStr">
        <is>
          <t>PSA 10</t>
        </is>
      </c>
      <c r="H291" s="105" t="n">
        <v>95</v>
      </c>
      <c r="P291" s="121" t="n">
        <v>70</v>
      </c>
      <c r="Q291" s="121" t="n">
        <v>160</v>
      </c>
      <c r="R291" s="80" t="inlineStr">
        <is>
          <t>3-5yr</t>
        </is>
      </c>
      <c r="S291" s="80" t="n">
        <v>3</v>
      </c>
      <c r="T291" s="80" t="n">
        <v>1700</v>
      </c>
      <c r="Y291" s="80">
        <f>U291*0.55+W291*0.20+V291*0.15+X291*0.10+ROW()/1000000</f>
        <v/>
      </c>
      <c r="AA291" s="122" t="inlineStr">
        <is>
          <t>https://www.tcgplayer.com/product/246708</t>
        </is>
      </c>
      <c r="AB291" s="80" t="inlineStr">
        <is>
          <t>ES Octillery alt. Niche but real.</t>
        </is>
      </c>
    </row>
    <row r="292" ht="15" customHeight="1" s="81">
      <c r="A292" s="80" t="inlineStr">
        <is>
          <t>M110</t>
        </is>
      </c>
      <c r="B292" s="80" t="inlineStr">
        <is>
          <t>Modern Chase PSA 10</t>
        </is>
      </c>
      <c r="C292" s="80" t="inlineStr">
        <is>
          <t>T2</t>
        </is>
      </c>
      <c r="D292" s="80" t="inlineStr">
        <is>
          <t>Galarian Slowking VMAX Alt</t>
        </is>
      </c>
      <c r="E292" s="80" t="inlineStr">
        <is>
          <t>Chilling Reign</t>
        </is>
      </c>
      <c r="F292" s="80" t="inlineStr">
        <is>
          <t>187/198</t>
        </is>
      </c>
      <c r="G292" s="80" t="inlineStr">
        <is>
          <t>PSA 10</t>
        </is>
      </c>
      <c r="H292" s="105" t="n">
        <v>130</v>
      </c>
      <c r="P292" s="121" t="n">
        <v>95</v>
      </c>
      <c r="Q292" s="121" t="n">
        <v>200</v>
      </c>
      <c r="R292" s="80" t="inlineStr">
        <is>
          <t>3-5yr</t>
        </is>
      </c>
      <c r="S292" s="80" t="n">
        <v>3</v>
      </c>
      <c r="T292" s="80" t="n">
        <v>1600</v>
      </c>
      <c r="Y292" s="80">
        <f>U292*0.55+W292*0.20+V292*0.15+X292*0.10+ROW()/1000000</f>
        <v/>
      </c>
      <c r="AA292" s="122" t="inlineStr">
        <is>
          <t>https://www.tcgplayer.com/product/240084</t>
        </is>
      </c>
      <c r="AB292" s="80" t="inlineStr">
        <is>
          <t>Galarian Slowking alt.</t>
        </is>
      </c>
    </row>
    <row r="293" ht="15" customHeight="1" s="81">
      <c r="A293" s="80" t="inlineStr">
        <is>
          <t>M111</t>
        </is>
      </c>
      <c r="B293" s="80" t="inlineStr">
        <is>
          <t>Modern Chase PSA 10</t>
        </is>
      </c>
      <c r="C293" s="80" t="inlineStr">
        <is>
          <t>T2</t>
        </is>
      </c>
      <c r="D293" s="80" t="inlineStr">
        <is>
          <t>Empoleon V Alt Art</t>
        </is>
      </c>
      <c r="E293" s="80" t="inlineStr">
        <is>
          <t>Brilliant Stars</t>
        </is>
      </c>
      <c r="F293" s="80" t="inlineStr">
        <is>
          <t>172/172</t>
        </is>
      </c>
      <c r="G293" s="80" t="inlineStr">
        <is>
          <t>PSA 10</t>
        </is>
      </c>
      <c r="H293" s="105" t="n">
        <v>70</v>
      </c>
      <c r="P293" s="121" t="n">
        <v>50</v>
      </c>
      <c r="Q293" s="121" t="n">
        <v>115</v>
      </c>
      <c r="R293" s="80" t="inlineStr">
        <is>
          <t>3-5yr</t>
        </is>
      </c>
      <c r="S293" s="80" t="n">
        <v>3</v>
      </c>
      <c r="T293" s="80" t="n">
        <v>2000</v>
      </c>
      <c r="Y293" s="80">
        <f>U293*0.55+W293*0.20+V293*0.15+X293*0.10+ROW()/1000000</f>
        <v/>
      </c>
      <c r="AA293" s="122" t="inlineStr">
        <is>
          <t>https://www.tcgplayer.com/product/261973</t>
        </is>
      </c>
      <c r="AB293" s="80" t="inlineStr">
        <is>
          <t>BRS Empoleon alt.</t>
        </is>
      </c>
    </row>
    <row r="294" ht="15" customHeight="1" s="81">
      <c r="A294" s="80" t="inlineStr">
        <is>
          <t>M112</t>
        </is>
      </c>
      <c r="B294" s="80" t="inlineStr">
        <is>
          <t>Modern Chase PSA 10</t>
        </is>
      </c>
      <c r="C294" s="80" t="inlineStr">
        <is>
          <t>T2</t>
        </is>
      </c>
      <c r="D294" s="80" t="inlineStr">
        <is>
          <t>Cresselia V Alt Art</t>
        </is>
      </c>
      <c r="E294" s="80" t="inlineStr">
        <is>
          <t>Lost Origin</t>
        </is>
      </c>
      <c r="F294" s="80" t="inlineStr">
        <is>
          <t>TG28/TG30</t>
        </is>
      </c>
      <c r="G294" s="80" t="inlineStr">
        <is>
          <t>PSA 10</t>
        </is>
      </c>
      <c r="H294" s="105" t="n">
        <v>95</v>
      </c>
      <c r="P294" s="121" t="n">
        <v>70</v>
      </c>
      <c r="Q294" s="121" t="n">
        <v>150</v>
      </c>
      <c r="R294" s="80" t="inlineStr">
        <is>
          <t>3-5yr</t>
        </is>
      </c>
      <c r="S294" s="80" t="n">
        <v>3</v>
      </c>
      <c r="T294" s="80" t="n">
        <v>1600</v>
      </c>
      <c r="Y294" s="80">
        <f>U294*0.55+W294*0.20+V294*0.15+X294*0.10+ROW()/1000000</f>
        <v/>
      </c>
      <c r="AA294" s="122" t="inlineStr">
        <is>
          <t>https://www.tcgplayer.com/product/271627</t>
        </is>
      </c>
      <c r="AB294" s="80" t="inlineStr">
        <is>
          <t>LO Cresselia.</t>
        </is>
      </c>
    </row>
    <row r="295" ht="15" customHeight="1" s="81">
      <c r="A295" s="80" t="inlineStr">
        <is>
          <t>M113</t>
        </is>
      </c>
      <c r="B295" s="80" t="inlineStr">
        <is>
          <t>Modern Chase PSA 10</t>
        </is>
      </c>
      <c r="C295" s="80" t="inlineStr">
        <is>
          <t>T2</t>
        </is>
      </c>
      <c r="D295" s="80" t="inlineStr">
        <is>
          <t>Spiritomb Trainer Gallery</t>
        </is>
      </c>
      <c r="E295" s="80" t="inlineStr">
        <is>
          <t>Astral Radiance</t>
        </is>
      </c>
      <c r="F295" s="80" t="inlineStr">
        <is>
          <t>TG10/TG30</t>
        </is>
      </c>
      <c r="G295" s="80" t="inlineStr">
        <is>
          <t>PSA 10</t>
        </is>
      </c>
      <c r="H295" s="105" t="n">
        <v>60</v>
      </c>
      <c r="P295" s="121" t="n">
        <v>45</v>
      </c>
      <c r="Q295" s="121" t="n">
        <v>100</v>
      </c>
      <c r="R295" s="80" t="inlineStr">
        <is>
          <t>2-3yr</t>
        </is>
      </c>
      <c r="S295" s="80" t="n">
        <v>3</v>
      </c>
      <c r="T295" s="80" t="n">
        <v>1700</v>
      </c>
      <c r="Y295" s="80">
        <f>U295*0.55+W295*0.20+V295*0.15+X295*0.10+ROW()/1000000</f>
        <v/>
      </c>
      <c r="AA295" s="122" t="inlineStr">
        <is>
          <t>https://www.tcgplayer.com/product/267735</t>
        </is>
      </c>
      <c r="AB295" s="80" t="inlineStr">
        <is>
          <t>AR Spiritomb TG.</t>
        </is>
      </c>
    </row>
    <row r="296" ht="15" customHeight="1" s="81">
      <c r="A296" s="80" t="inlineStr">
        <is>
          <t>M114</t>
        </is>
      </c>
      <c r="B296" s="80" t="inlineStr">
        <is>
          <t>Modern Chase PSA 10</t>
        </is>
      </c>
      <c r="C296" s="80" t="inlineStr">
        <is>
          <t>T2</t>
        </is>
      </c>
      <c r="D296" s="80" t="inlineStr">
        <is>
          <t>Mimikyu V Alt Art (LO)</t>
        </is>
      </c>
      <c r="E296" s="80" t="inlineStr">
        <is>
          <t>Lost Origin</t>
        </is>
      </c>
      <c r="F296" s="80" t="inlineStr">
        <is>
          <t>TG07/TG30</t>
        </is>
      </c>
      <c r="G296" s="80" t="inlineStr">
        <is>
          <t>PSA 10</t>
        </is>
      </c>
      <c r="H296" s="105" t="n">
        <v>85</v>
      </c>
      <c r="P296" s="121" t="n">
        <v>65</v>
      </c>
      <c r="Q296" s="121" t="n">
        <v>140</v>
      </c>
      <c r="R296" s="80" t="inlineStr">
        <is>
          <t>3-5yr</t>
        </is>
      </c>
      <c r="S296" s="80" t="n">
        <v>3</v>
      </c>
      <c r="T296" s="80" t="n">
        <v>1800</v>
      </c>
      <c r="Y296" s="80">
        <f>U296*0.55+W296*0.20+V296*0.15+X296*0.10+ROW()/1000000</f>
        <v/>
      </c>
      <c r="AA296" s="122" t="inlineStr">
        <is>
          <t>https://www.tcgplayer.com/product/271606</t>
        </is>
      </c>
      <c r="AB296" s="80" t="inlineStr">
        <is>
          <t>LO Mimikyu alt.</t>
        </is>
      </c>
    </row>
    <row r="297" ht="15" customHeight="1" s="81">
      <c r="A297" s="80" t="inlineStr">
        <is>
          <t>M115</t>
        </is>
      </c>
      <c r="B297" s="80" t="inlineStr">
        <is>
          <t>Modern Chase PSA 10</t>
        </is>
      </c>
      <c r="C297" s="80" t="inlineStr">
        <is>
          <t>T2</t>
        </is>
      </c>
      <c r="D297" s="80" t="inlineStr">
        <is>
          <t>Pikachu V Black Star Promo</t>
        </is>
      </c>
      <c r="E297" s="80" t="inlineStr">
        <is>
          <t>SWSH Promo</t>
        </is>
      </c>
      <c r="F297" s="80" t="inlineStr">
        <is>
          <t>SWSH285</t>
        </is>
      </c>
      <c r="G297" s="80" t="inlineStr">
        <is>
          <t>PSA 10</t>
        </is>
      </c>
      <c r="H297" s="105" t="n">
        <v>55</v>
      </c>
      <c r="P297" s="121" t="n">
        <v>42</v>
      </c>
      <c r="Q297" s="121" t="n">
        <v>90</v>
      </c>
      <c r="R297" s="80" t="inlineStr">
        <is>
          <t>2-3yr</t>
        </is>
      </c>
      <c r="S297" s="80" t="n">
        <v>3</v>
      </c>
      <c r="T297" s="80" t="n">
        <v>2600</v>
      </c>
      <c r="Y297" s="80">
        <f>U297*0.55+W297*0.20+V297*0.15+X297*0.10+ROW()/1000000</f>
        <v/>
      </c>
      <c r="AA297" s="122" t="inlineStr">
        <is>
          <t>https://www.tcgplayer.com/product/250100</t>
        </is>
      </c>
      <c r="AB297" s="80" t="inlineStr">
        <is>
          <t>Stable Pikachu V promo.</t>
        </is>
      </c>
    </row>
    <row r="298" ht="15" customHeight="1" s="81">
      <c r="A298" s="80" t="inlineStr">
        <is>
          <t>V801</t>
        </is>
      </c>
      <c r="B298" s="80" t="inlineStr">
        <is>
          <t>Vintage Graded Singles</t>
        </is>
      </c>
      <c r="C298" s="80" t="inlineStr">
        <is>
          <t>T1</t>
        </is>
      </c>
      <c r="D298" s="80" t="inlineStr">
        <is>
          <t>Charizard Base Unlimited</t>
        </is>
      </c>
      <c r="E298" s="80" t="inlineStr">
        <is>
          <t>Base Set</t>
        </is>
      </c>
      <c r="F298" s="80" t="inlineStr">
        <is>
          <t>4/102</t>
        </is>
      </c>
      <c r="G298" s="80" t="inlineStr">
        <is>
          <t>PSA 8</t>
        </is>
      </c>
      <c r="H298" s="105" t="n">
        <v>700</v>
      </c>
      <c r="P298" s="121" t="n">
        <v>550</v>
      </c>
      <c r="Q298" s="121" t="n">
        <v>1100</v>
      </c>
      <c r="R298" s="80" t="inlineStr">
        <is>
          <t>5-10yr</t>
        </is>
      </c>
      <c r="S298" s="80" t="n">
        <v>4</v>
      </c>
      <c r="T298" s="80" t="n">
        <v>8500</v>
      </c>
      <c r="Y298" s="80">
        <f>U298*0.55+W298*0.20+V298*0.15+X298*0.10+ROW()/1000000</f>
        <v/>
      </c>
      <c r="AA298" s="122" t="inlineStr">
        <is>
          <t>https://www.pricecharting.com/game/pokemon-base-set/charizard-4</t>
        </is>
      </c>
      <c r="AB298" s="80" t="inlineStr">
        <is>
          <t>PSA 8 Base Char. Best risk/reward for Char exposure.</t>
        </is>
      </c>
    </row>
    <row r="299" ht="15" customHeight="1" s="81">
      <c r="A299" s="80" t="inlineStr">
        <is>
          <t>V802</t>
        </is>
      </c>
      <c r="B299" s="80" t="inlineStr">
        <is>
          <t>Vintage Graded Singles</t>
        </is>
      </c>
      <c r="C299" s="80" t="inlineStr">
        <is>
          <t>T1</t>
        </is>
      </c>
      <c r="D299" s="80" t="inlineStr">
        <is>
          <t>Blastoise Base Unlimited</t>
        </is>
      </c>
      <c r="E299" s="80" t="inlineStr">
        <is>
          <t>Base Set</t>
        </is>
      </c>
      <c r="F299" s="80" t="inlineStr">
        <is>
          <t>2/102</t>
        </is>
      </c>
      <c r="G299" s="80" t="inlineStr">
        <is>
          <t>PSA 8</t>
        </is>
      </c>
      <c r="H299" s="105" t="n">
        <v>280</v>
      </c>
      <c r="P299" s="121" t="n">
        <v>220</v>
      </c>
      <c r="Q299" s="121" t="n">
        <v>450</v>
      </c>
      <c r="R299" s="80" t="inlineStr">
        <is>
          <t>5-10yr</t>
        </is>
      </c>
      <c r="S299" s="80" t="n">
        <v>3</v>
      </c>
      <c r="T299" s="80" t="n">
        <v>3200</v>
      </c>
      <c r="Y299" s="80">
        <f>U299*0.55+W299*0.20+V299*0.15+X299*0.10+ROW()/1000000</f>
        <v/>
      </c>
      <c r="AA299" s="122" t="inlineStr">
        <is>
          <t>https://www.pricecharting.com/game/pokemon-base-set/blastoise-2</t>
        </is>
      </c>
      <c r="AB299" s="80" t="inlineStr">
        <is>
          <t>PSA 8 Blastoise. Starter trio.</t>
        </is>
      </c>
    </row>
    <row r="300" ht="15" customHeight="1" s="81">
      <c r="A300" s="80" t="inlineStr">
        <is>
          <t>V803</t>
        </is>
      </c>
      <c r="B300" s="80" t="inlineStr">
        <is>
          <t>Vintage Graded Singles</t>
        </is>
      </c>
      <c r="C300" s="80" t="inlineStr">
        <is>
          <t>T1</t>
        </is>
      </c>
      <c r="D300" s="80" t="inlineStr">
        <is>
          <t>Venusaur Base Unlimited</t>
        </is>
      </c>
      <c r="E300" s="80" t="inlineStr">
        <is>
          <t>Base Set</t>
        </is>
      </c>
      <c r="F300" s="80" t="inlineStr">
        <is>
          <t>15/102</t>
        </is>
      </c>
      <c r="G300" s="80" t="inlineStr">
        <is>
          <t>PSA 8</t>
        </is>
      </c>
      <c r="H300" s="105" t="n">
        <v>250</v>
      </c>
      <c r="P300" s="121" t="n">
        <v>200</v>
      </c>
      <c r="Q300" s="121" t="n">
        <v>400</v>
      </c>
      <c r="R300" s="80" t="inlineStr">
        <is>
          <t>5-10yr</t>
        </is>
      </c>
      <c r="S300" s="80" t="n">
        <v>3</v>
      </c>
      <c r="T300" s="80" t="n">
        <v>3000</v>
      </c>
      <c r="Y300" s="80">
        <f>U300*0.55+W300*0.20+V300*0.15+X300*0.10+ROW()/1000000</f>
        <v/>
      </c>
      <c r="AA300" s="122" t="inlineStr">
        <is>
          <t>https://www.pricecharting.com/game/pokemon-base-set/venusaur-15</t>
        </is>
      </c>
      <c r="AB300" s="80" t="inlineStr">
        <is>
          <t>PSA 8 Venusaur.</t>
        </is>
      </c>
    </row>
    <row r="301" ht="15" customHeight="1" s="81">
      <c r="A301" s="80" t="inlineStr">
        <is>
          <t>V804</t>
        </is>
      </c>
      <c r="B301" s="80" t="inlineStr">
        <is>
          <t>Vintage Graded Singles</t>
        </is>
      </c>
      <c r="C301" s="80" t="inlineStr">
        <is>
          <t>T1</t>
        </is>
      </c>
      <c r="D301" s="80" t="inlineStr">
        <is>
          <t>Mewtwo Base Unlimited</t>
        </is>
      </c>
      <c r="E301" s="80" t="inlineStr">
        <is>
          <t>Base Set</t>
        </is>
      </c>
      <c r="F301" s="80" t="inlineStr">
        <is>
          <t>10/102</t>
        </is>
      </c>
      <c r="G301" s="80" t="inlineStr">
        <is>
          <t>PSA 8</t>
        </is>
      </c>
      <c r="H301" s="105" t="n">
        <v>180</v>
      </c>
      <c r="P301" s="121" t="n">
        <v>140</v>
      </c>
      <c r="Q301" s="121" t="n">
        <v>280</v>
      </c>
      <c r="R301" s="80" t="inlineStr">
        <is>
          <t>5-10yr</t>
        </is>
      </c>
      <c r="S301" s="80" t="n">
        <v>3</v>
      </c>
      <c r="T301" s="80" t="n">
        <v>4500</v>
      </c>
      <c r="Y301" s="80">
        <f>U301*0.55+W301*0.20+V301*0.15+X301*0.10+ROW()/1000000</f>
        <v/>
      </c>
      <c r="AA301" s="122" t="inlineStr">
        <is>
          <t>https://www.pricecharting.com/game/pokemon-base-set/mewtwo-10</t>
        </is>
      </c>
      <c r="AB301" s="80" t="inlineStr">
        <is>
          <t>PSA 8 Base Mewtwo.</t>
        </is>
      </c>
    </row>
    <row r="302" ht="15" customHeight="1" s="81">
      <c r="A302" s="80" t="inlineStr">
        <is>
          <t>V805</t>
        </is>
      </c>
      <c r="B302" s="80" t="inlineStr">
        <is>
          <t>Vintage Graded Singles</t>
        </is>
      </c>
      <c r="C302" s="80" t="inlineStr">
        <is>
          <t>T1</t>
        </is>
      </c>
      <c r="D302" s="80" t="inlineStr">
        <is>
          <t>Pikachu Yellow Cheeks Shadowless</t>
        </is>
      </c>
      <c r="E302" s="80" t="inlineStr">
        <is>
          <t>Base Set Shadowless</t>
        </is>
      </c>
      <c r="F302" s="80" t="inlineStr">
        <is>
          <t>58/102</t>
        </is>
      </c>
      <c r="G302" s="80" t="inlineStr">
        <is>
          <t>PSA 8</t>
        </is>
      </c>
      <c r="H302" s="105" t="n">
        <v>220</v>
      </c>
      <c r="P302" s="121" t="n">
        <v>170</v>
      </c>
      <c r="Q302" s="121" t="n">
        <v>360</v>
      </c>
      <c r="R302" s="80" t="inlineStr">
        <is>
          <t>5-10yr</t>
        </is>
      </c>
      <c r="S302" s="80" t="n">
        <v>3</v>
      </c>
      <c r="T302" s="80" t="n">
        <v>1800</v>
      </c>
      <c r="Y302" s="80">
        <f>U302*0.55+W302*0.20+V302*0.15+X302*0.10+ROW()/1000000</f>
        <v/>
      </c>
      <c r="AA302" s="122" t="inlineStr">
        <is>
          <t>https://www.pricecharting.com/game/pokemon-base-set/pikachu-58</t>
        </is>
      </c>
      <c r="AB302" s="80" t="inlineStr">
        <is>
          <t>PSA 8 Shadowless Pika.</t>
        </is>
      </c>
    </row>
    <row r="303" ht="15" customHeight="1" s="81">
      <c r="A303" s="80" t="inlineStr">
        <is>
          <t>V806</t>
        </is>
      </c>
      <c r="B303" s="80" t="inlineStr">
        <is>
          <t>Vintage Graded Singles</t>
        </is>
      </c>
      <c r="C303" s="80" t="inlineStr">
        <is>
          <t>T1</t>
        </is>
      </c>
      <c r="D303" s="80" t="inlineStr">
        <is>
          <t>Charizard Jungle</t>
        </is>
      </c>
      <c r="E303" s="80" t="inlineStr">
        <is>
          <t>Jungle</t>
        </is>
      </c>
      <c r="F303" s="80" t="inlineStr">
        <is>
          <t>Holo</t>
        </is>
      </c>
      <c r="G303" s="80" t="inlineStr">
        <is>
          <t>PSA 8</t>
        </is>
      </c>
      <c r="H303" s="105" t="n">
        <v>90</v>
      </c>
      <c r="P303" s="121" t="n">
        <v>70</v>
      </c>
      <c r="Q303" s="121" t="n">
        <v>140</v>
      </c>
      <c r="R303" s="80" t="inlineStr">
        <is>
          <t>5-10yr</t>
        </is>
      </c>
      <c r="S303" s="80" t="n">
        <v>3</v>
      </c>
      <c r="T303" s="80" t="n">
        <v>2200</v>
      </c>
      <c r="Y303" s="80">
        <f>U303*0.55+W303*0.20+V303*0.15+X303*0.10+ROW()/1000000</f>
        <v/>
      </c>
      <c r="AA303" s="122" t="inlineStr">
        <is>
          <t>https://www.pricecharting.com/game/pokemon-jungle/scyther-holo</t>
        </is>
      </c>
      <c r="AB303" s="80" t="inlineStr">
        <is>
          <t>Scyther jungle holo PSA 8 (placeholder name).</t>
        </is>
      </c>
    </row>
    <row r="304" ht="15" customHeight="1" s="81">
      <c r="A304" s="80" t="inlineStr">
        <is>
          <t>V807</t>
        </is>
      </c>
      <c r="B304" s="80" t="inlineStr">
        <is>
          <t>Vintage Graded Singles</t>
        </is>
      </c>
      <c r="C304" s="80" t="inlineStr">
        <is>
          <t>T1</t>
        </is>
      </c>
      <c r="D304" s="80" t="inlineStr">
        <is>
          <t>Dragonite Fossil Unlimited</t>
        </is>
      </c>
      <c r="E304" s="80" t="inlineStr">
        <is>
          <t>Fossil</t>
        </is>
      </c>
      <c r="F304" s="80" t="inlineStr">
        <is>
          <t>4/62</t>
        </is>
      </c>
      <c r="G304" s="80" t="inlineStr">
        <is>
          <t>PSA 8</t>
        </is>
      </c>
      <c r="H304" s="105" t="n">
        <v>130</v>
      </c>
      <c r="P304" s="121" t="n">
        <v>100</v>
      </c>
      <c r="Q304" s="121" t="n">
        <v>210</v>
      </c>
      <c r="R304" s="80" t="inlineStr">
        <is>
          <t>5-10yr</t>
        </is>
      </c>
      <c r="S304" s="80" t="n">
        <v>3</v>
      </c>
      <c r="T304" s="80" t="n">
        <v>2400</v>
      </c>
      <c r="Y304" s="80">
        <f>U304*0.55+W304*0.20+V304*0.15+X304*0.10+ROW()/1000000</f>
        <v/>
      </c>
      <c r="AA304" s="122" t="inlineStr">
        <is>
          <t>https://www.pricecharting.com/game/pokemon-fossil/dragonite-4</t>
        </is>
      </c>
      <c r="AB304" s="80" t="inlineStr">
        <is>
          <t>Fossil Dragonite PSA 8.</t>
        </is>
      </c>
    </row>
    <row r="305" ht="15" customHeight="1" s="81">
      <c r="A305" s="80" t="inlineStr">
        <is>
          <t>V808</t>
        </is>
      </c>
      <c r="B305" s="80" t="inlineStr">
        <is>
          <t>Vintage Graded Singles</t>
        </is>
      </c>
      <c r="C305" s="80" t="inlineStr">
        <is>
          <t>T1</t>
        </is>
      </c>
      <c r="D305" s="80" t="inlineStr">
        <is>
          <t>Lugia Neo Genesis Unlimited</t>
        </is>
      </c>
      <c r="E305" s="80" t="inlineStr">
        <is>
          <t>Neo Genesis</t>
        </is>
      </c>
      <c r="F305" s="80" t="inlineStr">
        <is>
          <t>9/111</t>
        </is>
      </c>
      <c r="G305" s="80" t="inlineStr">
        <is>
          <t>PSA 8</t>
        </is>
      </c>
      <c r="H305" s="105" t="n">
        <v>380</v>
      </c>
      <c r="P305" s="121" t="n">
        <v>290</v>
      </c>
      <c r="Q305" s="121" t="n">
        <v>600</v>
      </c>
      <c r="R305" s="80" t="inlineStr">
        <is>
          <t>5-10yr</t>
        </is>
      </c>
      <c r="S305" s="80" t="n">
        <v>4</v>
      </c>
      <c r="T305" s="80" t="n">
        <v>1200</v>
      </c>
      <c r="Y305" s="80">
        <f>U305*0.55+W305*0.20+V305*0.15+X305*0.10+ROW()/1000000</f>
        <v/>
      </c>
      <c r="AA305" s="122" t="inlineStr">
        <is>
          <t>https://www.pricecharting.com/game/pokemon-neo-genesis/lugia-9</t>
        </is>
      </c>
      <c r="AB305" s="80" t="inlineStr">
        <is>
          <t>Neo Lugia PSA 8. Best Lugia entry.</t>
        </is>
      </c>
    </row>
    <row r="306" ht="15" customHeight="1" s="81">
      <c r="A306" s="80" t="inlineStr">
        <is>
          <t>V809</t>
        </is>
      </c>
      <c r="B306" s="80" t="inlineStr">
        <is>
          <t>Vintage Graded Singles</t>
        </is>
      </c>
      <c r="C306" s="80" t="inlineStr">
        <is>
          <t>T1</t>
        </is>
      </c>
      <c r="D306" s="80" t="inlineStr">
        <is>
          <t>Ho-Oh Neo Revelation Unlimited</t>
        </is>
      </c>
      <c r="E306" s="80" t="inlineStr">
        <is>
          <t>Neo Revelation</t>
        </is>
      </c>
      <c r="F306" s="80" t="inlineStr">
        <is>
          <t>7/64</t>
        </is>
      </c>
      <c r="G306" s="80" t="inlineStr">
        <is>
          <t>PSA 8</t>
        </is>
      </c>
      <c r="H306" s="105" t="n">
        <v>180</v>
      </c>
      <c r="P306" s="121" t="n">
        <v>140</v>
      </c>
      <c r="Q306" s="121" t="n">
        <v>280</v>
      </c>
      <c r="R306" s="80" t="inlineStr">
        <is>
          <t>5-10yr</t>
        </is>
      </c>
      <c r="S306" s="80" t="n">
        <v>3</v>
      </c>
      <c r="T306" s="80" t="n">
        <v>1400</v>
      </c>
      <c r="Y306" s="80">
        <f>U306*0.55+W306*0.20+V306*0.15+X306*0.10+ROW()/1000000</f>
        <v/>
      </c>
      <c r="AA306" s="122" t="inlineStr">
        <is>
          <t>https://www.pricecharting.com/game/pokemon-neo-revelation/ho-oh-7</t>
        </is>
      </c>
      <c r="AB306" s="80" t="inlineStr">
        <is>
          <t>Neo Ho-Oh PSA 8.</t>
        </is>
      </c>
    </row>
    <row r="307" ht="15" customHeight="1" s="81">
      <c r="A307" s="80" t="inlineStr">
        <is>
          <t>V810</t>
        </is>
      </c>
      <c r="B307" s="80" t="inlineStr">
        <is>
          <t>Vintage Graded Singles</t>
        </is>
      </c>
      <c r="C307" s="80" t="inlineStr">
        <is>
          <t>T1</t>
        </is>
      </c>
      <c r="D307" s="80" t="inlineStr">
        <is>
          <t>Espeon Neo Discovery</t>
        </is>
      </c>
      <c r="E307" s="80" t="inlineStr">
        <is>
          <t>Neo Discovery</t>
        </is>
      </c>
      <c r="F307" s="80" t="inlineStr">
        <is>
          <t>20/75</t>
        </is>
      </c>
      <c r="G307" s="80" t="inlineStr">
        <is>
          <t>PSA 8</t>
        </is>
      </c>
      <c r="H307" s="105" t="n">
        <v>110</v>
      </c>
      <c r="P307" s="121" t="n">
        <v>85</v>
      </c>
      <c r="Q307" s="121" t="n">
        <v>175</v>
      </c>
      <c r="R307" s="80" t="inlineStr">
        <is>
          <t>5-10yr</t>
        </is>
      </c>
      <c r="S307" s="80" t="n">
        <v>3</v>
      </c>
      <c r="T307" s="80" t="n">
        <v>900</v>
      </c>
      <c r="Y307" s="80">
        <f>U307*0.55+W307*0.20+V307*0.15+X307*0.10+ROW()/1000000</f>
        <v/>
      </c>
      <c r="AA307" s="122" t="inlineStr">
        <is>
          <t>https://www.pricecharting.com/game/pokemon-neo-discovery/espeon-20</t>
        </is>
      </c>
      <c r="AB307" s="80" t="inlineStr">
        <is>
          <t>Neo Espeon PSA 8.</t>
        </is>
      </c>
    </row>
    <row r="308" ht="15" customHeight="1" s="81">
      <c r="A308" s="80" t="inlineStr">
        <is>
          <t>V811</t>
        </is>
      </c>
      <c r="B308" s="80" t="inlineStr">
        <is>
          <t>Vintage Graded Singles</t>
        </is>
      </c>
      <c r="C308" s="80" t="inlineStr">
        <is>
          <t>T1</t>
        </is>
      </c>
      <c r="D308" s="80" t="inlineStr">
        <is>
          <t>Umbreon Neo Discovery</t>
        </is>
      </c>
      <c r="E308" s="80" t="inlineStr">
        <is>
          <t>Neo Discovery</t>
        </is>
      </c>
      <c r="F308" s="80" t="inlineStr">
        <is>
          <t>32/75</t>
        </is>
      </c>
      <c r="G308" s="80" t="inlineStr">
        <is>
          <t>PSA 8</t>
        </is>
      </c>
      <c r="H308" s="105" t="n">
        <v>280</v>
      </c>
      <c r="P308" s="121" t="n">
        <v>220</v>
      </c>
      <c r="Q308" s="121" t="n">
        <v>450</v>
      </c>
      <c r="R308" s="80" t="inlineStr">
        <is>
          <t>5-10yr</t>
        </is>
      </c>
      <c r="S308" s="80" t="n">
        <v>4</v>
      </c>
      <c r="T308" s="80" t="n">
        <v>850</v>
      </c>
      <c r="Y308" s="80">
        <f>U308*0.55+W308*0.20+V308*0.15+X308*0.10+ROW()/1000000</f>
        <v/>
      </c>
      <c r="AA308" s="122" t="inlineStr">
        <is>
          <t>https://www.pricecharting.com/game/pokemon-neo-discovery/umbreon-32</t>
        </is>
      </c>
      <c r="AB308" s="80" t="inlineStr">
        <is>
          <t>Neo Umbreon PSA 8. Umbreon premium.</t>
        </is>
      </c>
    </row>
    <row r="309" ht="15" customHeight="1" s="81">
      <c r="A309" s="80" t="inlineStr">
        <is>
          <t>V812</t>
        </is>
      </c>
      <c r="B309" s="80" t="inlineStr">
        <is>
          <t>Vintage Graded Singles</t>
        </is>
      </c>
      <c r="C309" s="80" t="inlineStr">
        <is>
          <t>T1</t>
        </is>
      </c>
      <c r="D309" s="80" t="inlineStr">
        <is>
          <t>Charizard Skyridge</t>
        </is>
      </c>
      <c r="E309" s="80" t="inlineStr">
        <is>
          <t>Skyridge</t>
        </is>
      </c>
      <c r="F309" s="80" t="inlineStr">
        <is>
          <t>146/144</t>
        </is>
      </c>
      <c r="G309" s="80" t="inlineStr">
        <is>
          <t>PSA 8</t>
        </is>
      </c>
      <c r="H309" s="105" t="n">
        <v>2800</v>
      </c>
      <c r="P309" s="121" t="n">
        <v>2200</v>
      </c>
      <c r="Q309" s="121" t="n">
        <v>4400</v>
      </c>
      <c r="R309" s="80" t="inlineStr">
        <is>
          <t>5-10yr</t>
        </is>
      </c>
      <c r="S309" s="80" t="n">
        <v>4</v>
      </c>
      <c r="T309" s="80" t="n">
        <v>350</v>
      </c>
      <c r="Y309" s="80">
        <f>U309*0.55+W309*0.20+V309*0.15+X309*0.10+ROW()/1000000</f>
        <v/>
      </c>
      <c r="AA309" s="122" t="inlineStr">
        <is>
          <t>https://www.pricecharting.com/game/pokemon-skyridge/charizard-146</t>
        </is>
      </c>
      <c r="AB309" s="80" t="inlineStr">
        <is>
          <t>Skyridge Char PSA 8. Hard to find.</t>
        </is>
      </c>
    </row>
    <row r="310" ht="15" customHeight="1" s="81">
      <c r="A310" s="80" t="inlineStr">
        <is>
          <t>V813</t>
        </is>
      </c>
      <c r="B310" s="80" t="inlineStr">
        <is>
          <t>Vintage Graded Singles</t>
        </is>
      </c>
      <c r="C310" s="80" t="inlineStr">
        <is>
          <t>T1</t>
        </is>
      </c>
      <c r="D310" s="80" t="inlineStr">
        <is>
          <t>Crystal Lugia Aquapolis</t>
        </is>
      </c>
      <c r="E310" s="80" t="inlineStr">
        <is>
          <t>Aquapolis</t>
        </is>
      </c>
      <c r="F310" s="80" t="inlineStr">
        <is>
          <t>148/147</t>
        </is>
      </c>
      <c r="G310" s="80" t="inlineStr">
        <is>
          <t>PSA 8</t>
        </is>
      </c>
      <c r="H310" s="105" t="n">
        <v>950</v>
      </c>
      <c r="P310" s="121" t="n">
        <v>750</v>
      </c>
      <c r="Q310" s="121" t="n">
        <v>1500</v>
      </c>
      <c r="R310" s="80" t="inlineStr">
        <is>
          <t>5-10yr</t>
        </is>
      </c>
      <c r="S310" s="80" t="n">
        <v>4</v>
      </c>
      <c r="T310" s="80" t="n">
        <v>220</v>
      </c>
      <c r="Y310" s="80">
        <f>U310*0.55+W310*0.20+V310*0.15+X310*0.10+ROW()/1000000</f>
        <v/>
      </c>
      <c r="AA310" s="122" t="inlineStr">
        <is>
          <t>https://www.pricecharting.com/game/pokemon-aquapolis/crystal-lugia-148</t>
        </is>
      </c>
      <c r="AB310" s="80" t="inlineStr">
        <is>
          <t>Aquapolis Crystal Lugia PSA 8.</t>
        </is>
      </c>
    </row>
    <row r="311" ht="15" customHeight="1" s="81">
      <c r="A311" s="80" t="inlineStr">
        <is>
          <t>V814</t>
        </is>
      </c>
      <c r="B311" s="80" t="inlineStr">
        <is>
          <t>Vintage Graded Singles</t>
        </is>
      </c>
      <c r="C311" s="80" t="inlineStr">
        <is>
          <t>T1</t>
        </is>
      </c>
      <c r="D311" s="80" t="inlineStr">
        <is>
          <t>Crystal Charizard Skyridge</t>
        </is>
      </c>
      <c r="E311" s="80" t="inlineStr">
        <is>
          <t>Skyridge</t>
        </is>
      </c>
      <c r="F311" s="80" t="inlineStr">
        <is>
          <t>146/144</t>
        </is>
      </c>
      <c r="G311" s="80" t="inlineStr">
        <is>
          <t>PSA 8</t>
        </is>
      </c>
      <c r="H311" s="105" t="n">
        <v>2200</v>
      </c>
      <c r="P311" s="121" t="n">
        <v>1800</v>
      </c>
      <c r="Q311" s="121" t="n">
        <v>3500</v>
      </c>
      <c r="R311" s="80" t="inlineStr">
        <is>
          <t>5-10yr</t>
        </is>
      </c>
      <c r="S311" s="80" t="n">
        <v>5</v>
      </c>
      <c r="T311" s="80" t="n">
        <v>280</v>
      </c>
      <c r="Y311" s="80">
        <f>U311*0.55+W311*0.20+V311*0.15+X311*0.10+ROW()/1000000</f>
        <v/>
      </c>
      <c r="AA311" s="122" t="inlineStr">
        <is>
          <t>https://www.pricecharting.com/game/pokemon-skyridge/crystal-charizard-146</t>
        </is>
      </c>
      <c r="AB311" s="80" t="inlineStr">
        <is>
          <t>Skyridge Crystal Char PSA 8.</t>
        </is>
      </c>
    </row>
    <row r="312" ht="15" customHeight="1" s="81">
      <c r="A312" s="80" t="inlineStr">
        <is>
          <t>V815</t>
        </is>
      </c>
      <c r="B312" s="80" t="inlineStr">
        <is>
          <t>Vintage Graded Singles</t>
        </is>
      </c>
      <c r="C312" s="80" t="inlineStr">
        <is>
          <t>T1</t>
        </is>
      </c>
      <c r="D312" s="80" t="inlineStr">
        <is>
          <t>Espeon Gold Star (PP)</t>
        </is>
      </c>
      <c r="E312" s="80" t="inlineStr">
        <is>
          <t>EX Power Keepers</t>
        </is>
      </c>
      <c r="F312" s="80" t="inlineStr">
        <is>
          <t>Gold Star</t>
        </is>
      </c>
      <c r="G312" s="80" t="inlineStr">
        <is>
          <t>PSA 8</t>
        </is>
      </c>
      <c r="H312" s="105" t="n">
        <v>880</v>
      </c>
      <c r="P312" s="121" t="n">
        <v>700</v>
      </c>
      <c r="Q312" s="121" t="n">
        <v>1400</v>
      </c>
      <c r="R312" s="80" t="inlineStr">
        <is>
          <t>5-10yr</t>
        </is>
      </c>
      <c r="S312" s="80" t="n">
        <v>4</v>
      </c>
      <c r="T312" s="80" t="n">
        <v>320</v>
      </c>
      <c r="Y312" s="80">
        <f>U312*0.55+W312*0.20+V312*0.15+X312*0.10+ROW()/1000000</f>
        <v/>
      </c>
      <c r="AA312" s="122" t="inlineStr">
        <is>
          <t>https://www.pricecharting.com/game/pokemon-ex-power-keepers/espeon-gold-star</t>
        </is>
      </c>
      <c r="AB312" s="80" t="inlineStr">
        <is>
          <t>Espeon GS PSA 8 entry.</t>
        </is>
      </c>
    </row>
    <row r="313" ht="15" customHeight="1" s="81">
      <c r="A313" s="80" t="inlineStr">
        <is>
          <t>JB01</t>
        </is>
      </c>
      <c r="B313" s="80" t="inlineStr">
        <is>
          <t>Modern Chase PSA 10</t>
        </is>
      </c>
      <c r="C313" s="80" t="inlineStr">
        <is>
          <t>T5</t>
        </is>
      </c>
      <c r="D313" s="80" t="inlineStr">
        <is>
          <t>Charizard ex CHR (JP)</t>
        </is>
      </c>
      <c r="E313" s="80" t="inlineStr">
        <is>
          <t>Pokemon Card 151 JP</t>
        </is>
      </c>
      <c r="F313" s="80" t="inlineStr">
        <is>
          <t>JP</t>
        </is>
      </c>
      <c r="G313" s="80" t="inlineStr">
        <is>
          <t>Raw NM</t>
        </is>
      </c>
      <c r="H313" s="105" t="n">
        <v>18</v>
      </c>
      <c r="P313" s="121" t="n">
        <v>12</v>
      </c>
      <c r="Q313" s="121" t="n">
        <v>35</v>
      </c>
      <c r="R313" s="80" t="inlineStr">
        <is>
          <t>2-3yr</t>
        </is>
      </c>
      <c r="S313" s="80" t="n">
        <v>3</v>
      </c>
      <c r="Y313" s="80">
        <f>U313*0.55+W313*0.20+V313*0.15+X313*0.10+ROW()/1000000</f>
        <v/>
      </c>
      <c r="AA313" s="122" t="inlineStr">
        <is>
          <t>https://www.pricecharting.com/game/pokemon-japanese-151/charizard-ex-chr</t>
        </is>
      </c>
      <c r="AB313" s="80" t="inlineStr">
        <is>
          <t>JP 151 Char CHR. Cheaper than EN equivalent.</t>
        </is>
      </c>
    </row>
    <row r="314" ht="15" customHeight="1" s="81">
      <c r="A314" s="80" t="inlineStr">
        <is>
          <t>JB02</t>
        </is>
      </c>
      <c r="B314" s="80" t="inlineStr">
        <is>
          <t>Modern Chase PSA 10</t>
        </is>
      </c>
      <c r="C314" s="80" t="inlineStr">
        <is>
          <t>T5</t>
        </is>
      </c>
      <c r="D314" s="80" t="inlineStr">
        <is>
          <t>Mew ex CHR (JP)</t>
        </is>
      </c>
      <c r="E314" s="80" t="inlineStr">
        <is>
          <t>Pokemon Card 151 JP</t>
        </is>
      </c>
      <c r="F314" s="80" t="inlineStr">
        <is>
          <t>JP</t>
        </is>
      </c>
      <c r="G314" s="80" t="inlineStr">
        <is>
          <t>Raw NM</t>
        </is>
      </c>
      <c r="H314" s="105" t="n">
        <v>14</v>
      </c>
      <c r="P314" s="121" t="n">
        <v>10</v>
      </c>
      <c r="Q314" s="121" t="n">
        <v>28</v>
      </c>
      <c r="R314" s="80" t="inlineStr">
        <is>
          <t>2-3yr</t>
        </is>
      </c>
      <c r="S314" s="80" t="n">
        <v>3</v>
      </c>
      <c r="Y314" s="80">
        <f>U314*0.55+W314*0.20+V314*0.15+X314*0.10+ROW()/1000000</f>
        <v/>
      </c>
      <c r="AA314" s="122" t="inlineStr">
        <is>
          <t>https://www.pricecharting.com/game/pokemon-japanese-151/mew-ex-chr</t>
        </is>
      </c>
      <c r="AB314" s="80" t="inlineStr">
        <is>
          <t>JP 151 Mew CHR.</t>
        </is>
      </c>
    </row>
    <row r="315" ht="15" customHeight="1" s="81">
      <c r="A315" s="80" t="inlineStr">
        <is>
          <t>JB03</t>
        </is>
      </c>
      <c r="B315" s="80" t="inlineStr">
        <is>
          <t>Modern Chase PSA 10</t>
        </is>
      </c>
      <c r="C315" s="80" t="inlineStr">
        <is>
          <t>T5</t>
        </is>
      </c>
      <c r="D315" s="80" t="inlineStr">
        <is>
          <t>Pikachu Holo Stamp (JP)</t>
        </is>
      </c>
      <c r="E315" s="80" t="inlineStr">
        <is>
          <t>Various JP Promos</t>
        </is>
      </c>
      <c r="F315" s="80" t="inlineStr">
        <is>
          <t>JP</t>
        </is>
      </c>
      <c r="G315" s="80" t="inlineStr">
        <is>
          <t>Raw NM</t>
        </is>
      </c>
      <c r="H315" s="105" t="n">
        <v>12</v>
      </c>
      <c r="P315" s="121" t="n">
        <v>8</v>
      </c>
      <c r="Q315" s="121" t="n">
        <v>25</v>
      </c>
      <c r="R315" s="80" t="inlineStr">
        <is>
          <t>2-3yr</t>
        </is>
      </c>
      <c r="S315" s="80" t="n">
        <v>3</v>
      </c>
      <c r="Y315" s="80">
        <f>U315*0.55+W315*0.20+V315*0.15+X315*0.10+ROW()/1000000</f>
        <v/>
      </c>
      <c r="AA315" s="122" t="inlineStr">
        <is>
          <t>https://www.pricecharting.com/game/pokemon-japanese-promo/pikachu-stamp</t>
        </is>
      </c>
      <c r="AB315" s="80" t="inlineStr">
        <is>
          <t>Japanese Pokemon Center event promos.</t>
        </is>
      </c>
    </row>
    <row r="316" ht="15" customHeight="1" s="81">
      <c r="A316" s="80" t="inlineStr">
        <is>
          <t>JB04</t>
        </is>
      </c>
      <c r="B316" s="80" t="inlineStr">
        <is>
          <t>Modern Chase PSA 10</t>
        </is>
      </c>
      <c r="C316" s="80" t="inlineStr">
        <is>
          <t>T5</t>
        </is>
      </c>
      <c r="D316" s="80" t="inlineStr">
        <is>
          <t>Eevee Heroes Booster (JP single)</t>
        </is>
      </c>
      <c r="E316" s="80" t="inlineStr">
        <is>
          <t>Eevee Heroes JP</t>
        </is>
      </c>
      <c r="F316" s="80" t="inlineStr">
        <is>
          <t>Pack</t>
        </is>
      </c>
      <c r="G316" s="80" t="inlineStr">
        <is>
          <t>Sealed</t>
        </is>
      </c>
      <c r="H316" s="105" t="n">
        <v>25</v>
      </c>
      <c r="P316" s="121" t="n">
        <v>18</v>
      </c>
      <c r="Q316" s="121" t="n">
        <v>50</v>
      </c>
      <c r="R316" s="80" t="inlineStr">
        <is>
          <t>2-3yr</t>
        </is>
      </c>
      <c r="S316" s="80" t="n">
        <v>3</v>
      </c>
      <c r="Y316" s="80">
        <f>U316*0.55+W316*0.20+V316*0.15+X316*0.10+ROW()/1000000</f>
        <v/>
      </c>
      <c r="AA316" s="122" t="inlineStr">
        <is>
          <t>https://www.pricecharting.com/game/pokemon-japanese-eevee-heroes/booster-pack</t>
        </is>
      </c>
      <c r="AB316" s="80" t="inlineStr">
        <is>
          <t>Single JP booster pack. Buy 10 cases.</t>
        </is>
      </c>
    </row>
    <row r="317" ht="15" customHeight="1" s="81">
      <c r="A317" s="80" t="inlineStr">
        <is>
          <t>JB05</t>
        </is>
      </c>
      <c r="B317" s="80" t="inlineStr">
        <is>
          <t>Modern Chase PSA 10</t>
        </is>
      </c>
      <c r="C317" s="80" t="inlineStr">
        <is>
          <t>T5</t>
        </is>
      </c>
      <c r="D317" s="80" t="inlineStr">
        <is>
          <t>VMAX Climax Pack (JP single)</t>
        </is>
      </c>
      <c r="E317" s="80" t="inlineStr">
        <is>
          <t>VMAX Climax JP</t>
        </is>
      </c>
      <c r="F317" s="80" t="inlineStr">
        <is>
          <t>Pack</t>
        </is>
      </c>
      <c r="G317" s="80" t="inlineStr">
        <is>
          <t>Sealed</t>
        </is>
      </c>
      <c r="H317" s="105" t="n">
        <v>14</v>
      </c>
      <c r="P317" s="121" t="n">
        <v>10</v>
      </c>
      <c r="Q317" s="121" t="n">
        <v>28</v>
      </c>
      <c r="R317" s="80" t="inlineStr">
        <is>
          <t>2-3yr</t>
        </is>
      </c>
      <c r="S317" s="80" t="n">
        <v>3</v>
      </c>
      <c r="Y317" s="80">
        <f>U317*0.55+W317*0.20+V317*0.15+X317*0.10+ROW()/1000000</f>
        <v/>
      </c>
      <c r="AA317" s="122" t="inlineStr">
        <is>
          <t>https://www.pricecharting.com/game/pokemon-japanese-vmax-climax/booster-pack</t>
        </is>
      </c>
      <c r="AB317" s="80" t="inlineStr">
        <is>
          <t>Single JP VMAX Climax pack.</t>
        </is>
      </c>
    </row>
    <row r="318" ht="15" customHeight="1" s="81">
      <c r="A318" s="80" t="inlineStr">
        <is>
          <t>JB06</t>
        </is>
      </c>
      <c r="B318" s="80" t="inlineStr">
        <is>
          <t>Modern Chase PSA 10</t>
        </is>
      </c>
      <c r="C318" s="80" t="inlineStr">
        <is>
          <t>T5</t>
        </is>
      </c>
      <c r="D318" s="80" t="inlineStr">
        <is>
          <t>Eevee CHR (JP)</t>
        </is>
      </c>
      <c r="E318" s="80" t="inlineStr">
        <is>
          <t>Pokemon Card 151 JP</t>
        </is>
      </c>
      <c r="F318" s="80" t="inlineStr">
        <is>
          <t>JP</t>
        </is>
      </c>
      <c r="G318" s="80" t="inlineStr">
        <is>
          <t>Raw NM</t>
        </is>
      </c>
      <c r="H318" s="105" t="n">
        <v>8</v>
      </c>
      <c r="P318" s="121" t="n">
        <v>5</v>
      </c>
      <c r="Q318" s="121" t="n">
        <v>18</v>
      </c>
      <c r="R318" s="80" t="inlineStr">
        <is>
          <t>2-3yr</t>
        </is>
      </c>
      <c r="S318" s="80" t="n">
        <v>3</v>
      </c>
      <c r="Y318" s="80">
        <f>U318*0.55+W318*0.20+V318*0.15+X318*0.10+ROW()/1000000</f>
        <v/>
      </c>
      <c r="AA318" s="122" t="inlineStr">
        <is>
          <t>https://www.pricecharting.com/game/pokemon-japanese-151/eevee-chr</t>
        </is>
      </c>
      <c r="AB318" s="80" t="inlineStr">
        <is>
          <t>JP 151 Eevee.</t>
        </is>
      </c>
    </row>
    <row r="319" ht="15" customHeight="1" s="81">
      <c r="A319" s="80" t="inlineStr">
        <is>
          <t>JB07</t>
        </is>
      </c>
      <c r="B319" s="80" t="inlineStr">
        <is>
          <t>Modern Chase PSA 10</t>
        </is>
      </c>
      <c r="C319" s="80" t="inlineStr">
        <is>
          <t>T5</t>
        </is>
      </c>
      <c r="D319" s="80" t="inlineStr">
        <is>
          <t>Lugia VSTAR HR (JP)</t>
        </is>
      </c>
      <c r="E319" s="80" t="inlineStr">
        <is>
          <t>VSTAR Universe</t>
        </is>
      </c>
      <c r="F319" s="80" t="inlineStr">
        <is>
          <t>JP</t>
        </is>
      </c>
      <c r="G319" s="80" t="inlineStr">
        <is>
          <t>Raw NM</t>
        </is>
      </c>
      <c r="H319" s="105" t="n">
        <v>18</v>
      </c>
      <c r="P319" s="121" t="n">
        <v>12</v>
      </c>
      <c r="Q319" s="121" t="n">
        <v>35</v>
      </c>
      <c r="R319" s="80" t="inlineStr">
        <is>
          <t>2-3yr</t>
        </is>
      </c>
      <c r="S319" s="80" t="n">
        <v>3</v>
      </c>
      <c r="Y319" s="80">
        <f>U319*0.55+W319*0.20+V319*0.15+X319*0.10+ROW()/1000000</f>
        <v/>
      </c>
      <c r="AA319" s="122" t="inlineStr">
        <is>
          <t>https://www.pricecharting.com/game/pokemon-japanese-vstar-universe/lugia-vstar-hr</t>
        </is>
      </c>
      <c r="AB319" s="80" t="inlineStr">
        <is>
          <t>JP Lugia VSTAR hyper rare.</t>
        </is>
      </c>
    </row>
    <row r="320" ht="15" customHeight="1" s="81">
      <c r="A320" s="80" t="inlineStr">
        <is>
          <t>JB08</t>
        </is>
      </c>
      <c r="B320" s="80" t="inlineStr">
        <is>
          <t>Modern Chase PSA 10</t>
        </is>
      </c>
      <c r="C320" s="80" t="inlineStr">
        <is>
          <t>T5</t>
        </is>
      </c>
      <c r="D320" s="80" t="inlineStr">
        <is>
          <t>Mewtwo VSTAR HR (JP)</t>
        </is>
      </c>
      <c r="E320" s="80" t="inlineStr">
        <is>
          <t>VSTAR Universe</t>
        </is>
      </c>
      <c r="F320" s="80" t="inlineStr">
        <is>
          <t>JP</t>
        </is>
      </c>
      <c r="G320" s="80" t="inlineStr">
        <is>
          <t>Raw NM</t>
        </is>
      </c>
      <c r="H320" s="105" t="n">
        <v>15</v>
      </c>
      <c r="P320" s="121" t="n">
        <v>10</v>
      </c>
      <c r="Q320" s="121" t="n">
        <v>28</v>
      </c>
      <c r="R320" s="80" t="inlineStr">
        <is>
          <t>2-3yr</t>
        </is>
      </c>
      <c r="S320" s="80" t="n">
        <v>3</v>
      </c>
      <c r="Y320" s="80">
        <f>U320*0.55+W320*0.20+V320*0.15+X320*0.10+ROW()/1000000</f>
        <v/>
      </c>
      <c r="AA320" s="122" t="inlineStr">
        <is>
          <t>https://www.pricecharting.com/game/pokemon-japanese-vstar-universe/mewtwo-vstar-hr</t>
        </is>
      </c>
      <c r="AB320" s="80" t="inlineStr">
        <is>
          <t>JP Mewtwo VSTAR HR.</t>
        </is>
      </c>
    </row>
    <row r="321" ht="15" customHeight="1" s="81">
      <c r="A321" s="80" t="inlineStr">
        <is>
          <t>S201</t>
        </is>
      </c>
      <c r="B321" s="80" t="inlineStr">
        <is>
          <t>Modern Chase PSA 10</t>
        </is>
      </c>
      <c r="C321" s="80" t="inlineStr">
        <is>
          <t>T5</t>
        </is>
      </c>
      <c r="D321" s="80" t="inlineStr">
        <is>
          <t>Ogerpon (Teal/Hearthflame/Wellspring/Cornerstone) Set</t>
        </is>
      </c>
      <c r="E321" s="80" t="inlineStr">
        <is>
          <t>Twilight Masquerade</t>
        </is>
      </c>
      <c r="F321" s="80" t="inlineStr">
        <is>
          <t>Multi</t>
        </is>
      </c>
      <c r="G321" s="80" t="inlineStr">
        <is>
          <t>Raw NM Set of 4</t>
        </is>
      </c>
      <c r="H321" s="105" t="n">
        <v>28</v>
      </c>
      <c r="P321" s="121" t="n">
        <v>20</v>
      </c>
      <c r="Q321" s="121" t="n">
        <v>65</v>
      </c>
      <c r="R321" s="80" t="inlineStr">
        <is>
          <t>2-3yr</t>
        </is>
      </c>
      <c r="S321" s="80" t="n">
        <v>4</v>
      </c>
      <c r="Y321" s="80">
        <f>U321*0.55+W321*0.20+V321*0.15+X321*0.10+ROW()/1000000</f>
        <v/>
      </c>
      <c r="AA321" s="122" t="inlineStr">
        <is>
          <t>https://www.tcgplayer.com/product/567150</t>
        </is>
      </c>
      <c r="AB321" s="80" t="inlineStr">
        <is>
          <t>Four Ogerpon forms. Collector set play.</t>
        </is>
      </c>
    </row>
    <row r="322" ht="15" customHeight="1" s="81">
      <c r="A322" s="80" t="inlineStr">
        <is>
          <t>S202</t>
        </is>
      </c>
      <c r="B322" s="80" t="inlineStr">
        <is>
          <t>Modern Chase PSA 10</t>
        </is>
      </c>
      <c r="C322" s="80" t="inlineStr">
        <is>
          <t>T5</t>
        </is>
      </c>
      <c r="D322" s="80" t="inlineStr">
        <is>
          <t>Necrozma Trainer SIR (raw)</t>
        </is>
      </c>
      <c r="E322" s="80" t="inlineStr">
        <is>
          <t>Stellar Crown</t>
        </is>
      </c>
      <c r="F322" s="80" t="inlineStr">
        <is>
          <t>172/142</t>
        </is>
      </c>
      <c r="G322" s="80" t="inlineStr">
        <is>
          <t>Raw NM</t>
        </is>
      </c>
      <c r="H322" s="105" t="n">
        <v>15</v>
      </c>
      <c r="P322" s="121" t="n">
        <v>10</v>
      </c>
      <c r="Q322" s="121" t="n">
        <v>35</v>
      </c>
      <c r="R322" s="80" t="inlineStr">
        <is>
          <t>1-2yr</t>
        </is>
      </c>
      <c r="S322" s="80" t="n">
        <v>3</v>
      </c>
      <c r="Y322" s="80">
        <f>U322*0.55+W322*0.20+V322*0.15+X322*0.10+ROW()/1000000</f>
        <v/>
      </c>
      <c r="AA322" s="122" t="inlineStr">
        <is>
          <t>https://www.tcgplayer.com/product/598337</t>
        </is>
      </c>
      <c r="AB322" s="80" t="inlineStr">
        <is>
          <t>SC Necrozma SIR.</t>
        </is>
      </c>
    </row>
    <row r="323" ht="15" customHeight="1" s="81">
      <c r="A323" s="80" t="inlineStr">
        <is>
          <t>S203</t>
        </is>
      </c>
      <c r="B323" s="80" t="inlineStr">
        <is>
          <t>Modern Chase PSA 10</t>
        </is>
      </c>
      <c r="C323" s="80" t="inlineStr">
        <is>
          <t>T5</t>
        </is>
      </c>
      <c r="D323" s="80" t="inlineStr">
        <is>
          <t>Hydrapple ex SIR (raw)</t>
        </is>
      </c>
      <c r="E323" s="80" t="inlineStr">
        <is>
          <t>Stellar Crown</t>
        </is>
      </c>
      <c r="F323" s="80" t="inlineStr">
        <is>
          <t>175/142</t>
        </is>
      </c>
      <c r="G323" s="80" t="inlineStr">
        <is>
          <t>Raw NM</t>
        </is>
      </c>
      <c r="H323" s="105" t="n">
        <v>18</v>
      </c>
      <c r="P323" s="121" t="n">
        <v>12</v>
      </c>
      <c r="Q323" s="121" t="n">
        <v>38</v>
      </c>
      <c r="R323" s="80" t="inlineStr">
        <is>
          <t>1-2yr</t>
        </is>
      </c>
      <c r="S323" s="80" t="n">
        <v>3</v>
      </c>
      <c r="Y323" s="80">
        <f>U323*0.55+W323*0.20+V323*0.15+X323*0.10+ROW()/1000000</f>
        <v/>
      </c>
      <c r="AA323" s="122" t="inlineStr">
        <is>
          <t>https://www.tcgplayer.com/product/598340</t>
        </is>
      </c>
      <c r="AB323" s="80" t="inlineStr">
        <is>
          <t>Hydrapple new mascot.</t>
        </is>
      </c>
    </row>
    <row r="324" ht="15" customHeight="1" s="81">
      <c r="A324" s="80" t="inlineStr">
        <is>
          <t>S204</t>
        </is>
      </c>
      <c r="B324" s="80" t="inlineStr">
        <is>
          <t>Modern Chase PSA 10</t>
        </is>
      </c>
      <c r="C324" s="80" t="inlineStr">
        <is>
          <t>T5</t>
        </is>
      </c>
      <c r="D324" s="80" t="inlineStr">
        <is>
          <t>Galvantula ex Special Art</t>
        </is>
      </c>
      <c r="E324" s="80" t="inlineStr">
        <is>
          <t>Stellar Crown</t>
        </is>
      </c>
      <c r="F324" s="80" t="inlineStr">
        <is>
          <t>162/142</t>
        </is>
      </c>
      <c r="G324" s="80" t="inlineStr">
        <is>
          <t>Raw NM</t>
        </is>
      </c>
      <c r="H324" s="105" t="n">
        <v>12</v>
      </c>
      <c r="P324" s="121" t="n">
        <v>8</v>
      </c>
      <c r="Q324" s="121" t="n">
        <v>28</v>
      </c>
      <c r="R324" s="80" t="inlineStr">
        <is>
          <t>1-2yr</t>
        </is>
      </c>
      <c r="S324" s="80" t="n">
        <v>3</v>
      </c>
      <c r="Y324" s="80">
        <f>U324*0.55+W324*0.20+V324*0.15+X324*0.10+ROW()/1000000</f>
        <v/>
      </c>
      <c r="AA324" s="122" t="inlineStr">
        <is>
          <t>https://www.tcgplayer.com/product/598327</t>
        </is>
      </c>
      <c r="AB324" s="80" t="inlineStr">
        <is>
          <t>SC Galvantula sleeper.</t>
        </is>
      </c>
    </row>
    <row r="325" ht="15" customHeight="1" s="81">
      <c r="A325" s="80" t="inlineStr">
        <is>
          <t>S205</t>
        </is>
      </c>
      <c r="B325" s="80" t="inlineStr">
        <is>
          <t>Modern Chase PSA 10</t>
        </is>
      </c>
      <c r="C325" s="80" t="inlineStr">
        <is>
          <t>T5</t>
        </is>
      </c>
      <c r="D325" s="80" t="inlineStr">
        <is>
          <t>Latias / Latios Tag Team Cards</t>
        </is>
      </c>
      <c r="E325" s="80" t="inlineStr">
        <is>
          <t>Surging Sparks</t>
        </is>
      </c>
      <c r="F325" s="80" t="inlineStr">
        <is>
          <t>Various</t>
        </is>
      </c>
      <c r="G325" s="80" t="inlineStr">
        <is>
          <t>Raw NM mixed</t>
        </is>
      </c>
      <c r="H325" s="105" t="n">
        <v>18</v>
      </c>
      <c r="P325" s="121" t="n">
        <v>12</v>
      </c>
      <c r="Q325" s="121" t="n">
        <v>40</v>
      </c>
      <c r="R325" s="80" t="inlineStr">
        <is>
          <t>1-2yr</t>
        </is>
      </c>
      <c r="S325" s="80" t="n">
        <v>3</v>
      </c>
      <c r="Y325" s="80">
        <f>U325*0.55+W325*0.20+V325*0.15+X325*0.10+ROW()/1000000</f>
        <v/>
      </c>
      <c r="AA325" s="122" t="inlineStr">
        <is>
          <t>https://www.tcgplayer.com/product/610490</t>
        </is>
      </c>
      <c r="AB325" s="80" t="inlineStr">
        <is>
          <t>Eon duo cards from SS.</t>
        </is>
      </c>
    </row>
    <row r="326" ht="15" customHeight="1" s="81">
      <c r="A326" s="80" t="inlineStr">
        <is>
          <t>S206</t>
        </is>
      </c>
      <c r="B326" s="80" t="inlineStr">
        <is>
          <t>Modern Chase PSA 10</t>
        </is>
      </c>
      <c r="C326" s="80" t="inlineStr">
        <is>
          <t>T5</t>
        </is>
      </c>
      <c r="D326" s="80" t="inlineStr">
        <is>
          <t>Terapagos ex SIR raw</t>
        </is>
      </c>
      <c r="E326" s="80" t="inlineStr">
        <is>
          <t>Stellar Crown</t>
        </is>
      </c>
      <c r="F326" s="80" t="inlineStr">
        <is>
          <t>176/142</t>
        </is>
      </c>
      <c r="G326" s="80" t="inlineStr">
        <is>
          <t>Raw NM</t>
        </is>
      </c>
      <c r="H326" s="105" t="n">
        <v>80</v>
      </c>
      <c r="P326" s="121" t="n">
        <v>60</v>
      </c>
      <c r="Q326" s="121" t="n">
        <v>140</v>
      </c>
      <c r="R326" s="80" t="inlineStr">
        <is>
          <t>2-3yr</t>
        </is>
      </c>
      <c r="S326" s="80" t="n">
        <v>4</v>
      </c>
      <c r="Y326" s="80">
        <f>U326*0.55+W326*0.20+V326*0.15+X326*0.10+ROW()/1000000</f>
        <v/>
      </c>
      <c r="AA326" s="122" t="inlineStr">
        <is>
          <t>https://www.tcgplayer.com/product/598340</t>
        </is>
      </c>
      <c r="AB326" s="80" t="inlineStr">
        <is>
          <t>SC mascot raw. Submit for grade.</t>
        </is>
      </c>
    </row>
    <row r="327" ht="15" customHeight="1" s="81">
      <c r="A327" s="80" t="inlineStr">
        <is>
          <t>S207</t>
        </is>
      </c>
      <c r="B327" s="80" t="inlineStr">
        <is>
          <t>Modern Chase PSA 10</t>
        </is>
      </c>
      <c r="C327" s="80" t="inlineStr">
        <is>
          <t>T5</t>
        </is>
      </c>
      <c r="D327" s="80" t="inlineStr">
        <is>
          <t>Pecharunt Tin</t>
        </is>
      </c>
      <c r="E327" s="80" t="inlineStr">
        <is>
          <t>Shrouded Fable</t>
        </is>
      </c>
      <c r="F327" s="80" t="inlineStr">
        <is>
          <t>Tin</t>
        </is>
      </c>
      <c r="G327" s="80" t="inlineStr">
        <is>
          <t>Sealed</t>
        </is>
      </c>
      <c r="H327" s="105" t="n">
        <v>22</v>
      </c>
      <c r="P327" s="121" t="n">
        <v>16</v>
      </c>
      <c r="Q327" s="121" t="n">
        <v>45</v>
      </c>
      <c r="R327" s="80" t="inlineStr">
        <is>
          <t>1-2yr</t>
        </is>
      </c>
      <c r="S327" s="80" t="n">
        <v>3</v>
      </c>
      <c r="Y327" s="80">
        <f>U327*0.55+W327*0.20+V327*0.15+X327*0.10+ROW()/1000000</f>
        <v/>
      </c>
      <c r="AA327" s="122" t="inlineStr">
        <is>
          <t>https://www.pricecharting.com/game/pokemon-shrouded-fable/pecharunt-tin</t>
        </is>
      </c>
      <c r="AB327" s="80" t="inlineStr">
        <is>
          <t>Shrouded Fable Pecharunt tin.</t>
        </is>
      </c>
    </row>
    <row r="328" ht="15" customHeight="1" s="81">
      <c r="A328" s="80" t="inlineStr">
        <is>
          <t>S208</t>
        </is>
      </c>
      <c r="B328" s="80" t="inlineStr">
        <is>
          <t>Modern Chase PSA 10</t>
        </is>
      </c>
      <c r="C328" s="80" t="inlineStr">
        <is>
          <t>T5</t>
        </is>
      </c>
      <c r="D328" s="80" t="inlineStr">
        <is>
          <t>Stellar Tera-Charizard Premium</t>
        </is>
      </c>
      <c r="E328" s="80" t="inlineStr">
        <is>
          <t>Stellar Crown</t>
        </is>
      </c>
      <c r="F328" s="80" t="inlineStr">
        <is>
          <t>Premium Box</t>
        </is>
      </c>
      <c r="G328" s="80" t="inlineStr">
        <is>
          <t>Sealed</t>
        </is>
      </c>
      <c r="H328" s="105" t="n">
        <v>45</v>
      </c>
      <c r="P328" s="121" t="n">
        <v>32</v>
      </c>
      <c r="Q328" s="121" t="n">
        <v>80</v>
      </c>
      <c r="R328" s="80" t="inlineStr">
        <is>
          <t>1-2yr</t>
        </is>
      </c>
      <c r="S328" s="80" t="n">
        <v>3</v>
      </c>
      <c r="Y328" s="80">
        <f>U328*0.55+W328*0.20+V328*0.15+X328*0.10+ROW()/1000000</f>
        <v/>
      </c>
      <c r="AA328" s="122" t="inlineStr">
        <is>
          <t>https://www.pricecharting.com/game/pokemon-promo/stellar-charizard-premium</t>
        </is>
      </c>
      <c r="AB328" s="80" t="inlineStr">
        <is>
          <t>SC Charizard tera premium collection box.</t>
        </is>
      </c>
    </row>
    <row r="329" ht="15" customHeight="1" s="81">
      <c r="A329" s="80" t="inlineStr">
        <is>
          <t>S209</t>
        </is>
      </c>
      <c r="B329" s="80" t="inlineStr">
        <is>
          <t>Modern Chase PSA 10</t>
        </is>
      </c>
      <c r="C329" s="80" t="inlineStr">
        <is>
          <t>T5</t>
        </is>
      </c>
      <c r="D329" s="80" t="inlineStr">
        <is>
          <t>Surging Sparks ETB</t>
        </is>
      </c>
      <c r="E329" s="80" t="inlineStr">
        <is>
          <t>Surging Sparks</t>
        </is>
      </c>
      <c r="F329" s="80" t="inlineStr">
        <is>
          <t>ETB</t>
        </is>
      </c>
      <c r="G329" s="80" t="inlineStr">
        <is>
          <t>Sealed</t>
        </is>
      </c>
      <c r="H329" s="105" t="n">
        <v>55</v>
      </c>
      <c r="P329" s="121" t="n">
        <v>42</v>
      </c>
      <c r="Q329" s="121" t="n">
        <v>90</v>
      </c>
      <c r="R329" s="80" t="inlineStr">
        <is>
          <t>2-3yr</t>
        </is>
      </c>
      <c r="S329" s="80" t="n">
        <v>3</v>
      </c>
      <c r="Y329" s="80">
        <f>U329*0.55+W329*0.20+V329*0.15+X329*0.10+ROW()/1000000</f>
        <v/>
      </c>
      <c r="AA329" s="122" t="inlineStr">
        <is>
          <t>https://www.pricecharting.com/game/pokemon-surging-sparks/etb</t>
        </is>
      </c>
      <c r="AB329" s="80" t="inlineStr">
        <is>
          <t>SS ETB.</t>
        </is>
      </c>
    </row>
    <row r="330" ht="15" customHeight="1" s="81">
      <c r="A330" s="80" t="inlineStr">
        <is>
          <t>S210</t>
        </is>
      </c>
      <c r="B330" s="80" t="inlineStr">
        <is>
          <t>Modern Chase PSA 10</t>
        </is>
      </c>
      <c r="C330" s="80" t="inlineStr">
        <is>
          <t>T5</t>
        </is>
      </c>
      <c r="D330" s="80" t="inlineStr">
        <is>
          <t>Shrouded Fable ETB</t>
        </is>
      </c>
      <c r="E330" s="80" t="inlineStr">
        <is>
          <t>Shrouded Fable</t>
        </is>
      </c>
      <c r="F330" s="80" t="inlineStr">
        <is>
          <t>ETB</t>
        </is>
      </c>
      <c r="G330" s="80" t="inlineStr">
        <is>
          <t>Sealed</t>
        </is>
      </c>
      <c r="H330" s="105" t="n">
        <v>50</v>
      </c>
      <c r="P330" s="121" t="n">
        <v>38</v>
      </c>
      <c r="Q330" s="121" t="n">
        <v>85</v>
      </c>
      <c r="R330" s="80" t="inlineStr">
        <is>
          <t>2-3yr</t>
        </is>
      </c>
      <c r="S330" s="80" t="n">
        <v>3</v>
      </c>
      <c r="Y330" s="80">
        <f>U330*0.55+W330*0.20+V330*0.15+X330*0.10+ROW()/1000000</f>
        <v/>
      </c>
      <c r="AA330" s="122" t="inlineStr">
        <is>
          <t>https://www.pricecharting.com/game/pokemon-shrouded-fable/etb</t>
        </is>
      </c>
      <c r="AB330" s="80" t="inlineStr">
        <is>
          <t>Shrouded Fable ETB.</t>
        </is>
      </c>
    </row>
    <row r="331" ht="15" customHeight="1" s="81">
      <c r="A331" s="80" t="inlineStr">
        <is>
          <t>S211</t>
        </is>
      </c>
      <c r="B331" s="80" t="inlineStr">
        <is>
          <t>Modern Chase PSA 10</t>
        </is>
      </c>
      <c r="C331" s="80" t="inlineStr">
        <is>
          <t>T5</t>
        </is>
      </c>
      <c r="D331" s="80" t="inlineStr">
        <is>
          <t>Stellar Crown ETB</t>
        </is>
      </c>
      <c r="E331" s="80" t="inlineStr">
        <is>
          <t>Stellar Crown</t>
        </is>
      </c>
      <c r="F331" s="80" t="inlineStr">
        <is>
          <t>ETB</t>
        </is>
      </c>
      <c r="G331" s="80" t="inlineStr">
        <is>
          <t>Sealed</t>
        </is>
      </c>
      <c r="H331" s="105" t="n">
        <v>60</v>
      </c>
      <c r="P331" s="121" t="n">
        <v>45</v>
      </c>
      <c r="Q331" s="121" t="n">
        <v>100</v>
      </c>
      <c r="R331" s="80" t="inlineStr">
        <is>
          <t>2-3yr</t>
        </is>
      </c>
      <c r="S331" s="80" t="n">
        <v>4</v>
      </c>
      <c r="Y331" s="80">
        <f>U331*0.55+W331*0.20+V331*0.15+X331*0.10+ROW()/1000000</f>
        <v/>
      </c>
      <c r="AA331" s="122" t="inlineStr">
        <is>
          <t>https://www.pricecharting.com/game/pokemon-stellar-crown/etb</t>
        </is>
      </c>
      <c r="AB331" s="80" t="inlineStr">
        <is>
          <t>Stellar Crown ETB.</t>
        </is>
      </c>
    </row>
    <row r="332" ht="15" customHeight="1" s="81">
      <c r="A332" s="80" t="inlineStr">
        <is>
          <t>S212</t>
        </is>
      </c>
      <c r="B332" s="80" t="inlineStr">
        <is>
          <t>Modern Chase PSA 10</t>
        </is>
      </c>
      <c r="C332" s="80" t="inlineStr">
        <is>
          <t>T5</t>
        </is>
      </c>
      <c r="D332" s="80" t="inlineStr">
        <is>
          <t>Mega Evolution ME01 ETB</t>
        </is>
      </c>
      <c r="E332" s="80" t="inlineStr">
        <is>
          <t>Mega Evolution</t>
        </is>
      </c>
      <c r="F332" s="80" t="inlineStr">
        <is>
          <t>ETB</t>
        </is>
      </c>
      <c r="G332" s="80" t="inlineStr">
        <is>
          <t>Sealed</t>
        </is>
      </c>
      <c r="H332" s="105" t="n">
        <v>70</v>
      </c>
      <c r="P332" s="121" t="n">
        <v>52</v>
      </c>
      <c r="Q332" s="121" t="n">
        <v>120</v>
      </c>
      <c r="R332" s="80" t="inlineStr">
        <is>
          <t>2-3yr</t>
        </is>
      </c>
      <c r="S332" s="80" t="n">
        <v>5</v>
      </c>
      <c r="Y332" s="80">
        <f>U332*0.55+W332*0.20+V332*0.15+X332*0.10+ROW()/1000000</f>
        <v/>
      </c>
      <c r="AA332" s="122" t="inlineStr">
        <is>
          <t>https://www.pricecharting.com/game/pokemon-mega-evolution/etb</t>
        </is>
      </c>
      <c r="AB332" s="80" t="inlineStr">
        <is>
          <t>ME01 ETB. Hot.</t>
        </is>
      </c>
    </row>
    <row r="333" ht="15" customHeight="1" s="81">
      <c r="A333" s="80" t="inlineStr">
        <is>
          <t>S213</t>
        </is>
      </c>
      <c r="B333" s="80" t="inlineStr">
        <is>
          <t>Modern Chase PSA 10</t>
        </is>
      </c>
      <c r="C333" s="80" t="inlineStr">
        <is>
          <t>T5</t>
        </is>
      </c>
      <c r="D333" s="80" t="inlineStr">
        <is>
          <t>Ascended Heroes ETB</t>
        </is>
      </c>
      <c r="E333" s="80" t="inlineStr">
        <is>
          <t>Ascended Heroes</t>
        </is>
      </c>
      <c r="F333" s="80" t="inlineStr">
        <is>
          <t>ETB</t>
        </is>
      </c>
      <c r="G333" s="80" t="inlineStr">
        <is>
          <t>Sealed</t>
        </is>
      </c>
      <c r="H333" s="105" t="n">
        <v>75</v>
      </c>
      <c r="P333" s="121" t="n">
        <v>56</v>
      </c>
      <c r="Q333" s="121" t="n">
        <v>130</v>
      </c>
      <c r="R333" s="80" t="inlineStr">
        <is>
          <t>2-3yr</t>
        </is>
      </c>
      <c r="S333" s="80" t="n">
        <v>5</v>
      </c>
      <c r="Y333" s="80">
        <f>U333*0.55+W333*0.20+V333*0.15+X333*0.10+ROW()/1000000</f>
        <v/>
      </c>
      <c r="AA333" s="122" t="inlineStr">
        <is>
          <t>https://www.pricecharting.com/game/pokemon-ascended-heroes/etb</t>
        </is>
      </c>
      <c r="AB333" s="80" t="inlineStr">
        <is>
          <t>AH ETB. Mega Gengar chase.</t>
        </is>
      </c>
    </row>
    <row r="334" ht="15" customHeight="1" s="81">
      <c r="A334" s="80" t="inlineStr">
        <is>
          <t>S214</t>
        </is>
      </c>
      <c r="B334" s="80" t="inlineStr">
        <is>
          <t>Modern Chase PSA 10</t>
        </is>
      </c>
      <c r="C334" s="80" t="inlineStr">
        <is>
          <t>T5</t>
        </is>
      </c>
      <c r="D334" s="80" t="inlineStr">
        <is>
          <t>Twilight Masquerade Booster Box</t>
        </is>
      </c>
      <c r="E334" s="80" t="inlineStr">
        <is>
          <t>Twilight Masquerade</t>
        </is>
      </c>
      <c r="F334" s="80" t="inlineStr">
        <is>
          <t>Box</t>
        </is>
      </c>
      <c r="G334" s="80" t="inlineStr">
        <is>
          <t>Sealed (36 packs)</t>
        </is>
      </c>
      <c r="H334" s="105" t="n">
        <v>135</v>
      </c>
      <c r="P334" s="121" t="n">
        <v>110</v>
      </c>
      <c r="Q334" s="121" t="n">
        <v>220</v>
      </c>
      <c r="R334" s="80" t="inlineStr">
        <is>
          <t>2-3yr</t>
        </is>
      </c>
      <c r="S334" s="80" t="n">
        <v>3</v>
      </c>
      <c r="Y334" s="80">
        <f>U334*0.55+W334*0.20+V334*0.15+X334*0.10+ROW()/1000000</f>
        <v/>
      </c>
      <c r="AA334" s="122" t="inlineStr">
        <is>
          <t>https://www.pricecharting.com/game/pokemon-twilight-masquerade/booster-box</t>
        </is>
      </c>
      <c r="AB334" s="80" t="inlineStr">
        <is>
          <t>TWM BB. Mid-cycle.</t>
        </is>
      </c>
    </row>
    <row r="335" ht="15" customHeight="1" s="81">
      <c r="A335" s="80" t="inlineStr">
        <is>
          <t>S215</t>
        </is>
      </c>
      <c r="B335" s="80" t="inlineStr">
        <is>
          <t>Modern Chase PSA 10</t>
        </is>
      </c>
      <c r="C335" s="80" t="inlineStr">
        <is>
          <t>T5</t>
        </is>
      </c>
      <c r="D335" s="80" t="inlineStr">
        <is>
          <t>Shrouded Fable Booster Bundle</t>
        </is>
      </c>
      <c r="E335" s="80" t="inlineStr">
        <is>
          <t>Shrouded Fable</t>
        </is>
      </c>
      <c r="F335" s="80" t="inlineStr">
        <is>
          <t>Bundle</t>
        </is>
      </c>
      <c r="G335" s="80" t="inlineStr">
        <is>
          <t>Sealed (6 packs)</t>
        </is>
      </c>
      <c r="H335" s="105" t="n">
        <v>40</v>
      </c>
      <c r="P335" s="121" t="n">
        <v>30</v>
      </c>
      <c r="Q335" s="121" t="n">
        <v>70</v>
      </c>
      <c r="R335" s="80" t="inlineStr">
        <is>
          <t>2-3yr</t>
        </is>
      </c>
      <c r="S335" s="80" t="n">
        <v>3</v>
      </c>
      <c r="Y335" s="80">
        <f>U335*0.55+W335*0.20+V335*0.15+X335*0.10+ROW()/1000000</f>
        <v/>
      </c>
      <c r="AA335" s="122" t="inlineStr">
        <is>
          <t>https://www.pricecharting.com/game/pokemon-shrouded-fable/booster-bundle</t>
        </is>
      </c>
      <c r="AB335" s="80" t="inlineStr">
        <is>
          <t>SF mini-set bundle.</t>
        </is>
      </c>
    </row>
    <row r="336" ht="15" customHeight="1" s="81">
      <c r="A336" s="80" t="inlineStr">
        <is>
          <t>D01</t>
        </is>
      </c>
      <c r="B336" s="80" t="inlineStr">
        <is>
          <t>Sealed Modern</t>
        </is>
      </c>
      <c r="C336" s="80" t="inlineStr">
        <is>
          <t>T3</t>
        </is>
      </c>
      <c r="D336" s="80" t="inlineStr">
        <is>
          <t>Stellar Crown Booster Bundle</t>
        </is>
      </c>
      <c r="E336" s="80" t="inlineStr">
        <is>
          <t>Stellar Crown</t>
        </is>
      </c>
      <c r="F336" s="80" t="inlineStr">
        <is>
          <t>Bundle</t>
        </is>
      </c>
      <c r="G336" s="80" t="inlineStr">
        <is>
          <t>Sealed</t>
        </is>
      </c>
      <c r="H336" s="105" t="n">
        <v>40</v>
      </c>
      <c r="P336" s="121" t="n">
        <v>30</v>
      </c>
      <c r="Q336" s="121" t="n">
        <v>75</v>
      </c>
      <c r="R336" s="80" t="inlineStr">
        <is>
          <t>2-3yr</t>
        </is>
      </c>
      <c r="S336" s="80" t="n">
        <v>3</v>
      </c>
      <c r="Y336" s="80">
        <f>U336*0.55+W336*0.20+V336*0.15+X336*0.10+ROW()/1000000</f>
        <v/>
      </c>
      <c r="AA336" s="122" t="inlineStr">
        <is>
          <t>https://www.pricecharting.com/game/pokemon-stellar-crown/booster-bundle</t>
        </is>
      </c>
      <c r="AB336" s="80" t="inlineStr">
        <is>
          <t>SC bundle.</t>
        </is>
      </c>
    </row>
    <row r="337" ht="15" customHeight="1" s="81">
      <c r="A337" s="80" t="inlineStr">
        <is>
          <t>D02</t>
        </is>
      </c>
      <c r="B337" s="80" t="inlineStr">
        <is>
          <t>Sealed Modern</t>
        </is>
      </c>
      <c r="C337" s="80" t="inlineStr">
        <is>
          <t>T3</t>
        </is>
      </c>
      <c r="D337" s="80" t="inlineStr">
        <is>
          <t>Surging Sparks Booster Bundle</t>
        </is>
      </c>
      <c r="E337" s="80" t="inlineStr">
        <is>
          <t>Surging Sparks</t>
        </is>
      </c>
      <c r="F337" s="80" t="inlineStr">
        <is>
          <t>Bundle</t>
        </is>
      </c>
      <c r="G337" s="80" t="inlineStr">
        <is>
          <t>Sealed</t>
        </is>
      </c>
      <c r="H337" s="105" t="n">
        <v>38</v>
      </c>
      <c r="P337" s="121" t="n">
        <v>28</v>
      </c>
      <c r="Q337" s="121" t="n">
        <v>70</v>
      </c>
      <c r="R337" s="80" t="inlineStr">
        <is>
          <t>2-3yr</t>
        </is>
      </c>
      <c r="S337" s="80" t="n">
        <v>3</v>
      </c>
      <c r="Y337" s="80">
        <f>U337*0.55+W337*0.20+V337*0.15+X337*0.10+ROW()/1000000</f>
        <v/>
      </c>
      <c r="AA337" s="122" t="inlineStr">
        <is>
          <t>https://www.pricecharting.com/game/pokemon-surging-sparks/booster-bundle</t>
        </is>
      </c>
      <c r="AB337" s="80" t="inlineStr">
        <is>
          <t>SS bundle.</t>
        </is>
      </c>
    </row>
    <row r="338" ht="15" customHeight="1" s="81">
      <c r="A338" s="80" t="inlineStr">
        <is>
          <t>D03</t>
        </is>
      </c>
      <c r="B338" s="80" t="inlineStr">
        <is>
          <t>Sealed Modern</t>
        </is>
      </c>
      <c r="C338" s="80" t="inlineStr">
        <is>
          <t>T3</t>
        </is>
      </c>
      <c r="D338" s="80" t="inlineStr">
        <is>
          <t>Twilight Masquerade ETB</t>
        </is>
      </c>
      <c r="E338" s="80" t="inlineStr">
        <is>
          <t>Twilight Masquerade</t>
        </is>
      </c>
      <c r="F338" s="80" t="inlineStr">
        <is>
          <t>ETB</t>
        </is>
      </c>
      <c r="G338" s="80" t="inlineStr">
        <is>
          <t>Sealed</t>
        </is>
      </c>
      <c r="H338" s="105" t="n">
        <v>55</v>
      </c>
      <c r="P338" s="121" t="n">
        <v>42</v>
      </c>
      <c r="Q338" s="121" t="n">
        <v>90</v>
      </c>
      <c r="R338" s="80" t="inlineStr">
        <is>
          <t>2-3yr</t>
        </is>
      </c>
      <c r="S338" s="80" t="n">
        <v>3</v>
      </c>
      <c r="Y338" s="80">
        <f>U338*0.55+W338*0.20+V338*0.15+X338*0.10+ROW()/1000000</f>
        <v/>
      </c>
      <c r="AA338" s="122" t="inlineStr">
        <is>
          <t>https://www.pricecharting.com/game/pokemon-twilight-masquerade/etb</t>
        </is>
      </c>
      <c r="AB338" s="80" t="inlineStr">
        <is>
          <t>TWM ETB.</t>
        </is>
      </c>
    </row>
    <row r="339" ht="15" customHeight="1" s="81">
      <c r="A339" s="80" t="inlineStr">
        <is>
          <t>D04</t>
        </is>
      </c>
      <c r="B339" s="80" t="inlineStr">
        <is>
          <t>Sealed Modern</t>
        </is>
      </c>
      <c r="C339" s="80" t="inlineStr">
        <is>
          <t>T3</t>
        </is>
      </c>
      <c r="D339" s="80" t="inlineStr">
        <is>
          <t>Twin Pack 151 Charizard</t>
        </is>
      </c>
      <c r="E339" s="80" t="inlineStr">
        <is>
          <t>151 promo</t>
        </is>
      </c>
      <c r="F339" s="80" t="inlineStr">
        <is>
          <t>Pack</t>
        </is>
      </c>
      <c r="G339" s="80" t="inlineStr">
        <is>
          <t>Sealed</t>
        </is>
      </c>
      <c r="H339" s="105" t="n">
        <v>18</v>
      </c>
      <c r="P339" s="121" t="n">
        <v>14</v>
      </c>
      <c r="Q339" s="121" t="n">
        <v>32</v>
      </c>
      <c r="R339" s="80" t="inlineStr">
        <is>
          <t>2-3yr</t>
        </is>
      </c>
      <c r="S339" s="80" t="n">
        <v>3</v>
      </c>
      <c r="Y339" s="80">
        <f>U339*0.55+W339*0.20+V339*0.15+X339*0.10+ROW()/1000000</f>
        <v/>
      </c>
      <c r="AA339" s="122" t="inlineStr">
        <is>
          <t>https://www.pricecharting.com/game/pokemon-promo/charizard-twin-pack</t>
        </is>
      </c>
      <c r="AB339" s="80" t="inlineStr">
        <is>
          <t>151 Char twin pack promo.</t>
        </is>
      </c>
    </row>
    <row r="340" ht="15" customHeight="1" s="81">
      <c r="A340" s="80" t="inlineStr">
        <is>
          <t>D05</t>
        </is>
      </c>
      <c r="B340" s="80" t="inlineStr">
        <is>
          <t>Sealed Modern</t>
        </is>
      </c>
      <c r="C340" s="80" t="inlineStr">
        <is>
          <t>T3</t>
        </is>
      </c>
      <c r="D340" s="80" t="inlineStr">
        <is>
          <t>Stellar Crown Premium Playmat</t>
        </is>
      </c>
      <c r="E340" s="80" t="inlineStr">
        <is>
          <t>Stellar Crown</t>
        </is>
      </c>
      <c r="F340" s="80" t="inlineStr">
        <is>
          <t>Premium</t>
        </is>
      </c>
      <c r="G340" s="80" t="inlineStr">
        <is>
          <t>Sealed</t>
        </is>
      </c>
      <c r="H340" s="105" t="n">
        <v>90</v>
      </c>
      <c r="P340" s="121" t="n">
        <v>70</v>
      </c>
      <c r="Q340" s="121" t="n">
        <v>160</v>
      </c>
      <c r="R340" s="80" t="inlineStr">
        <is>
          <t>2-3yr</t>
        </is>
      </c>
      <c r="S340" s="80" t="n">
        <v>3</v>
      </c>
      <c r="Y340" s="80">
        <f>U340*0.55+W340*0.20+V340*0.15+X340*0.10+ROW()/1000000</f>
        <v/>
      </c>
      <c r="AA340" s="122" t="inlineStr">
        <is>
          <t>https://www.pricecharting.com/game/pokemon-stellar-crown/premium-playmat</t>
        </is>
      </c>
      <c r="AB340" s="80" t="inlineStr">
        <is>
          <t>SC PPC.</t>
        </is>
      </c>
    </row>
    <row r="341" ht="15" customHeight="1" s="81">
      <c r="A341" s="80" t="inlineStr">
        <is>
          <t>D06</t>
        </is>
      </c>
      <c r="B341" s="80" t="inlineStr">
        <is>
          <t>Sealed Modern</t>
        </is>
      </c>
      <c r="C341" s="80" t="inlineStr">
        <is>
          <t>T3</t>
        </is>
      </c>
      <c r="D341" s="80" t="inlineStr">
        <is>
          <t>Mega Evolution Booster Bundle</t>
        </is>
      </c>
      <c r="E341" s="80" t="inlineStr">
        <is>
          <t>Mega Evolution</t>
        </is>
      </c>
      <c r="F341" s="80" t="inlineStr">
        <is>
          <t>Bundle</t>
        </is>
      </c>
      <c r="G341" s="80" t="inlineStr">
        <is>
          <t>Sealed</t>
        </is>
      </c>
      <c r="H341" s="105" t="n">
        <v>55</v>
      </c>
      <c r="P341" s="121" t="n">
        <v>42</v>
      </c>
      <c r="Q341" s="121" t="n">
        <v>100</v>
      </c>
      <c r="R341" s="80" t="inlineStr">
        <is>
          <t>2-3yr</t>
        </is>
      </c>
      <c r="S341" s="80" t="n">
        <v>4</v>
      </c>
      <c r="Y341" s="80">
        <f>U341*0.55+W341*0.20+V341*0.15+X341*0.10+ROW()/1000000</f>
        <v/>
      </c>
      <c r="AA341" s="122" t="inlineStr">
        <is>
          <t>https://www.pricecharting.com/game/pokemon-mega-evolution/booster-bundle</t>
        </is>
      </c>
      <c r="AB341" s="80" t="inlineStr">
        <is>
          <t>ME01 bundle. Hot.</t>
        </is>
      </c>
    </row>
    <row r="342" ht="15" customHeight="1" s="81">
      <c r="A342" s="80" t="inlineStr">
        <is>
          <t>D07</t>
        </is>
      </c>
      <c r="B342" s="80" t="inlineStr">
        <is>
          <t>Sealed Modern</t>
        </is>
      </c>
      <c r="C342" s="80" t="inlineStr">
        <is>
          <t>T3</t>
        </is>
      </c>
      <c r="D342" s="80" t="inlineStr">
        <is>
          <t>Ascended Heroes Bundle</t>
        </is>
      </c>
      <c r="E342" s="80" t="inlineStr">
        <is>
          <t>Ascended Heroes</t>
        </is>
      </c>
      <c r="F342" s="80" t="inlineStr">
        <is>
          <t>Bundle</t>
        </is>
      </c>
      <c r="G342" s="80" t="inlineStr">
        <is>
          <t>Sealed</t>
        </is>
      </c>
      <c r="H342" s="105" t="n">
        <v>65</v>
      </c>
      <c r="P342" s="121" t="n">
        <v>48</v>
      </c>
      <c r="Q342" s="121" t="n">
        <v>120</v>
      </c>
      <c r="R342" s="80" t="inlineStr">
        <is>
          <t>2-3yr</t>
        </is>
      </c>
      <c r="S342" s="80" t="n">
        <v>4</v>
      </c>
      <c r="Y342" s="80">
        <f>U342*0.55+W342*0.20+V342*0.15+X342*0.10+ROW()/1000000</f>
        <v/>
      </c>
      <c r="AA342" s="122" t="inlineStr">
        <is>
          <t>https://www.pricecharting.com/game/pokemon-ascended-heroes/booster-bundle</t>
        </is>
      </c>
      <c r="AB342" s="80" t="inlineStr">
        <is>
          <t>AH bundle.</t>
        </is>
      </c>
    </row>
    <row r="343" ht="15" customHeight="1" s="81">
      <c r="A343" s="80" t="inlineStr">
        <is>
          <t>D08</t>
        </is>
      </c>
      <c r="B343" s="80" t="inlineStr">
        <is>
          <t>Sealed Modern</t>
        </is>
      </c>
      <c r="C343" s="80" t="inlineStr">
        <is>
          <t>T3</t>
        </is>
      </c>
      <c r="D343" s="80" t="inlineStr">
        <is>
          <t>Pokemon Day 2026 Premium Collection</t>
        </is>
      </c>
      <c r="E343" s="80" t="inlineStr">
        <is>
          <t>30th Anniversary Promo</t>
        </is>
      </c>
      <c r="F343" s="80" t="inlineStr">
        <is>
          <t>Premium</t>
        </is>
      </c>
      <c r="G343" s="80" t="inlineStr">
        <is>
          <t>Sealed</t>
        </is>
      </c>
      <c r="H343" s="105" t="n">
        <v>50</v>
      </c>
      <c r="P343" s="121" t="n">
        <v>38</v>
      </c>
      <c r="Q343" s="121" t="n">
        <v>90</v>
      </c>
      <c r="R343" s="80" t="inlineStr">
        <is>
          <t>1-2yr</t>
        </is>
      </c>
      <c r="S343" s="80" t="n">
        <v>3</v>
      </c>
      <c r="Y343" s="80">
        <f>U343*0.55+W343*0.20+V343*0.15+X343*0.10+ROW()/1000000</f>
        <v/>
      </c>
      <c r="AA343" s="122" t="inlineStr">
        <is>
          <t>https://www.pricecharting.com/game/pokemon-promo/pokemon-day-2026-premium</t>
        </is>
      </c>
      <c r="AB343" s="80" t="inlineStr">
        <is>
          <t>30th Anniv premium. Limited.</t>
        </is>
      </c>
    </row>
    <row r="344">
      <c r="A344" s="80" t="inlineStr">
        <is>
          <t>X101</t>
        </is>
      </c>
      <c r="B344" s="80" t="inlineStr">
        <is>
          <t>Modern Chase PSA 10</t>
        </is>
      </c>
      <c r="C344" s="80" t="inlineStr">
        <is>
          <t>T5</t>
        </is>
      </c>
      <c r="D344" s="80" t="inlineStr">
        <is>
          <t>Iono's Bellibolt ex IR</t>
        </is>
      </c>
      <c r="E344" s="80" t="inlineStr">
        <is>
          <t>Journey Together</t>
        </is>
      </c>
      <c r="F344" s="80" t="inlineStr">
        <is>
          <t>168/159</t>
        </is>
      </c>
      <c r="G344" s="80" t="inlineStr">
        <is>
          <t>Raw NM</t>
        </is>
      </c>
      <c r="H344" s="80" t="n">
        <v>9</v>
      </c>
      <c r="I344" s="123" t="n">
        <v>46154</v>
      </c>
      <c r="J344" s="80" t="n">
        <v>8.77</v>
      </c>
      <c r="K344" s="80" t="n">
        <v>8.039999999999999</v>
      </c>
      <c r="L344" s="80" t="n">
        <v>7.86</v>
      </c>
      <c r="M344" s="80">
        <f>IFERROR((H344-J344)/J344,0)</f>
        <v/>
      </c>
      <c r="N344" s="80">
        <f>IFERROR((H344-K344)/K344,0)</f>
        <v/>
      </c>
      <c r="O344" s="80">
        <f>IFERROR((H344-L344)/L344,0)</f>
        <v/>
      </c>
      <c r="P344" s="80" t="n">
        <v>6</v>
      </c>
      <c r="Q344" s="80" t="n">
        <v>25</v>
      </c>
      <c r="R344" s="80" t="inlineStr">
        <is>
          <t>1-2yr</t>
        </is>
      </c>
      <c r="S344" s="80" t="n">
        <v>3</v>
      </c>
      <c r="U344" s="80">
        <f>MAX(0,MIN(100,50+((M344*0.6)+(N344*0.4))*200))</f>
        <v/>
      </c>
      <c r="V344" s="80">
        <f>MAX(20,MIN(100,50+(P344-H344)/P344*100))</f>
        <v/>
      </c>
      <c r="W344" s="80">
        <f>IFERROR(MAX(0,MIN(100,100-LOG10(T344)*16)),60)</f>
        <v/>
      </c>
      <c r="X344" s="80">
        <f>IF(C344="T2",85,IF(C344="T4",70,IF(C344="T1",65,IF(C344="T3",55,45))))</f>
        <v/>
      </c>
      <c r="Y344" s="80">
        <f>U344*0.55+W344*0.20+V344*0.15+X344*0.10+ROW()/1000000</f>
        <v/>
      </c>
      <c r="Z344" s="80">
        <f>IF(Y344&gt;=75,"STRONG BUY",IF(Y344&gt;=60,"BUY",IF(Y344&gt;=40,"HOLD",IF(Y344&gt;=25,"TRIM","SELL"))))</f>
        <v/>
      </c>
      <c r="AA344" s="80" t="inlineStr">
        <is>
          <t>https://www.tcgplayer.com/product/645309</t>
        </is>
      </c>
      <c r="AB344" s="80" t="inlineStr">
        <is>
          <t>Iono partner card. Trainer fan crossover.</t>
        </is>
      </c>
    </row>
    <row r="345">
      <c r="A345" s="80" t="inlineStr">
        <is>
          <t>X102</t>
        </is>
      </c>
      <c r="B345" s="80" t="inlineStr">
        <is>
          <t>Modern Chase PSA 10</t>
        </is>
      </c>
      <c r="C345" s="80" t="inlineStr">
        <is>
          <t>T5</t>
        </is>
      </c>
      <c r="D345" s="80" t="inlineStr">
        <is>
          <t>N's Zorua IR</t>
        </is>
      </c>
      <c r="E345" s="80" t="inlineStr">
        <is>
          <t>Journey Together</t>
        </is>
      </c>
      <c r="F345" s="80" t="inlineStr">
        <is>
          <t>171/159</t>
        </is>
      </c>
      <c r="G345" s="80" t="inlineStr">
        <is>
          <t>Raw NM</t>
        </is>
      </c>
      <c r="H345" s="80" t="n">
        <v>6</v>
      </c>
      <c r="I345" s="123" t="n">
        <v>46154</v>
      </c>
      <c r="J345" s="80" t="n">
        <v>5.81</v>
      </c>
      <c r="K345" s="80" t="n">
        <v>5.45</v>
      </c>
      <c r="L345" s="80" t="n">
        <v>5.25</v>
      </c>
      <c r="M345" s="80">
        <f>IFERROR((H345-J345)/J345,0)</f>
        <v/>
      </c>
      <c r="N345" s="80">
        <f>IFERROR((H345-K345)/K345,0)</f>
        <v/>
      </c>
      <c r="O345" s="80">
        <f>IFERROR((H345-L345)/L345,0)</f>
        <v/>
      </c>
      <c r="P345" s="80" t="n">
        <v>4</v>
      </c>
      <c r="Q345" s="80" t="n">
        <v>15</v>
      </c>
      <c r="R345" s="80" t="inlineStr">
        <is>
          <t>1-2yr</t>
        </is>
      </c>
      <c r="S345" s="80" t="n">
        <v>3</v>
      </c>
      <c r="U345" s="80">
        <f>MAX(0,MIN(100,50+((M345*0.6)+(N345*0.4))*200))</f>
        <v/>
      </c>
      <c r="V345" s="80">
        <f>MAX(20,MIN(100,50+(P345-H345)/P345*100))</f>
        <v/>
      </c>
      <c r="W345" s="80">
        <f>IFERROR(MAX(0,MIN(100,100-LOG10(T345)*16)),60)</f>
        <v/>
      </c>
      <c r="X345" s="80">
        <f>IF(C345="T2",85,IF(C345="T4",70,IF(C345="T1",65,IF(C345="T3",55,45))))</f>
        <v/>
      </c>
      <c r="Y345" s="80">
        <f>U345*0.55+W345*0.20+V345*0.15+X345*0.10+ROW()/1000000</f>
        <v/>
      </c>
      <c r="Z345" s="80">
        <f>IF(Y345&gt;=75,"STRONG BUY",IF(Y345&gt;=60,"BUY",IF(Y345&gt;=40,"HOLD",IF(Y345&gt;=25,"TRIM","SELL"))))</f>
        <v/>
      </c>
      <c r="AA345" s="80" t="inlineStr">
        <is>
          <t>https://www.tcgplayer.com/product/645312</t>
        </is>
      </c>
      <c r="AB345" s="80" t="inlineStr">
        <is>
          <t>N's evolution line cheap entry.</t>
        </is>
      </c>
    </row>
    <row r="346">
      <c r="A346" s="80" t="inlineStr">
        <is>
          <t>X103</t>
        </is>
      </c>
      <c r="B346" s="80" t="inlineStr">
        <is>
          <t>Modern Chase PSA 10</t>
        </is>
      </c>
      <c r="C346" s="80" t="inlineStr">
        <is>
          <t>T5</t>
        </is>
      </c>
      <c r="D346" s="80" t="inlineStr">
        <is>
          <t>N's Reshiram Full Art</t>
        </is>
      </c>
      <c r="E346" s="80" t="inlineStr">
        <is>
          <t>Journey Together</t>
        </is>
      </c>
      <c r="F346" s="80" t="inlineStr">
        <is>
          <t>178/159</t>
        </is>
      </c>
      <c r="G346" s="80" t="inlineStr">
        <is>
          <t>Raw NM</t>
        </is>
      </c>
      <c r="H346" s="80" t="n">
        <v>12</v>
      </c>
      <c r="I346" s="123" t="n">
        <v>46154</v>
      </c>
      <c r="J346" s="80" t="n">
        <v>11.67</v>
      </c>
      <c r="K346" s="80" t="n">
        <v>10.53</v>
      </c>
      <c r="L346" s="80" t="n">
        <v>9.75</v>
      </c>
      <c r="M346" s="80">
        <f>IFERROR((H346-J346)/J346,0)</f>
        <v/>
      </c>
      <c r="N346" s="80">
        <f>IFERROR((H346-K346)/K346,0)</f>
        <v/>
      </c>
      <c r="O346" s="80">
        <f>IFERROR((H346-L346)/L346,0)</f>
        <v/>
      </c>
      <c r="P346" s="80" t="n">
        <v>8</v>
      </c>
      <c r="Q346" s="80" t="n">
        <v>30</v>
      </c>
      <c r="R346" s="80" t="inlineStr">
        <is>
          <t>1-2yr</t>
        </is>
      </c>
      <c r="S346" s="80" t="n">
        <v>3</v>
      </c>
      <c r="U346" s="80">
        <f>MAX(0,MIN(100,50+((M346*0.6)+(N346*0.4))*200))</f>
        <v/>
      </c>
      <c r="V346" s="80">
        <f>MAX(20,MIN(100,50+(P346-H346)/P346*100))</f>
        <v/>
      </c>
      <c r="W346" s="80">
        <f>IFERROR(MAX(0,MIN(100,100-LOG10(T346)*16)),60)</f>
        <v/>
      </c>
      <c r="X346" s="80">
        <f>IF(C346="T2",85,IF(C346="T4",70,IF(C346="T1",65,IF(C346="T3",55,45))))</f>
        <v/>
      </c>
      <c r="Y346" s="80">
        <f>U346*0.55+W346*0.20+V346*0.15+X346*0.10+ROW()/1000000</f>
        <v/>
      </c>
      <c r="Z346" s="80">
        <f>IF(Y346&gt;=75,"STRONG BUY",IF(Y346&gt;=60,"BUY",IF(Y346&gt;=40,"HOLD",IF(Y346&gt;=25,"TRIM","SELL"))))</f>
        <v/>
      </c>
      <c r="AA346" s="80" t="inlineStr">
        <is>
          <t>https://www.tcgplayer.com/product/645319</t>
        </is>
      </c>
      <c r="AB346" s="80" t="inlineStr">
        <is>
          <t>N's Reshiram - lore tie-in.</t>
        </is>
      </c>
    </row>
    <row r="347">
      <c r="A347" s="80" t="inlineStr">
        <is>
          <t>X104</t>
        </is>
      </c>
      <c r="B347" s="80" t="inlineStr">
        <is>
          <t>Modern Chase PSA 10</t>
        </is>
      </c>
      <c r="C347" s="80" t="inlineStr">
        <is>
          <t>T5</t>
        </is>
      </c>
      <c r="D347" s="80" t="inlineStr">
        <is>
          <t>N's Zekrom Full Art</t>
        </is>
      </c>
      <c r="E347" s="80" t="inlineStr">
        <is>
          <t>Journey Together</t>
        </is>
      </c>
      <c r="F347" s="80" t="inlineStr">
        <is>
          <t>179/159</t>
        </is>
      </c>
      <c r="G347" s="80" t="inlineStr">
        <is>
          <t>Raw NM</t>
        </is>
      </c>
      <c r="H347" s="80" t="n">
        <v>12</v>
      </c>
      <c r="I347" s="123" t="n">
        <v>46154</v>
      </c>
      <c r="J347" s="80" t="n">
        <v>11.72</v>
      </c>
      <c r="K347" s="80" t="n">
        <v>10.53</v>
      </c>
      <c r="L347" s="80" t="n">
        <v>10.24</v>
      </c>
      <c r="M347" s="80">
        <f>IFERROR((H347-J347)/J347,0)</f>
        <v/>
      </c>
      <c r="N347" s="80">
        <f>IFERROR((H347-K347)/K347,0)</f>
        <v/>
      </c>
      <c r="O347" s="80">
        <f>IFERROR((H347-L347)/L347,0)</f>
        <v/>
      </c>
      <c r="P347" s="80" t="n">
        <v>8</v>
      </c>
      <c r="Q347" s="80" t="n">
        <v>30</v>
      </c>
      <c r="R347" s="80" t="inlineStr">
        <is>
          <t>1-2yr</t>
        </is>
      </c>
      <c r="S347" s="80" t="n">
        <v>3</v>
      </c>
      <c r="U347" s="80">
        <f>MAX(0,MIN(100,50+((M347*0.6)+(N347*0.4))*200))</f>
        <v/>
      </c>
      <c r="V347" s="80">
        <f>MAX(20,MIN(100,50+(P347-H347)/P347*100))</f>
        <v/>
      </c>
      <c r="W347" s="80">
        <f>IFERROR(MAX(0,MIN(100,100-LOG10(T347)*16)),60)</f>
        <v/>
      </c>
      <c r="X347" s="80">
        <f>IF(C347="T2",85,IF(C347="T4",70,IF(C347="T1",65,IF(C347="T3",55,45))))</f>
        <v/>
      </c>
      <c r="Y347" s="80">
        <f>U347*0.55+W347*0.20+V347*0.15+X347*0.10+ROW()/1000000</f>
        <v/>
      </c>
      <c r="Z347" s="80">
        <f>IF(Y347&gt;=75,"STRONG BUY",IF(Y347&gt;=60,"BUY",IF(Y347&gt;=40,"HOLD",IF(Y347&gt;=25,"TRIM","SELL"))))</f>
        <v/>
      </c>
      <c r="AA347" s="80" t="inlineStr">
        <is>
          <t>https://www.tcgplayer.com/product/645320</t>
        </is>
      </c>
      <c r="AB347" s="80" t="inlineStr">
        <is>
          <t>N's Zekrom companion.</t>
        </is>
      </c>
    </row>
    <row r="348">
      <c r="A348" s="80" t="inlineStr">
        <is>
          <t>X105</t>
        </is>
      </c>
      <c r="B348" s="80" t="inlineStr">
        <is>
          <t>Modern Chase PSA 10</t>
        </is>
      </c>
      <c r="C348" s="80" t="inlineStr">
        <is>
          <t>T5</t>
        </is>
      </c>
      <c r="D348" s="80" t="inlineStr">
        <is>
          <t>Bianca's Devotion Full Art</t>
        </is>
      </c>
      <c r="E348" s="80" t="inlineStr">
        <is>
          <t>Journey Together</t>
        </is>
      </c>
      <c r="F348" s="80" t="inlineStr">
        <is>
          <t>182/159</t>
        </is>
      </c>
      <c r="G348" s="80" t="inlineStr">
        <is>
          <t>Raw NM</t>
        </is>
      </c>
      <c r="H348" s="80" t="n">
        <v>9</v>
      </c>
      <c r="I348" s="123" t="n">
        <v>46154</v>
      </c>
      <c r="J348" s="80" t="n">
        <v>8.75</v>
      </c>
      <c r="K348" s="80" t="n">
        <v>8.18</v>
      </c>
      <c r="L348" s="80" t="n">
        <v>8</v>
      </c>
      <c r="M348" s="80">
        <f>IFERROR((H348-J348)/J348,0)</f>
        <v/>
      </c>
      <c r="N348" s="80">
        <f>IFERROR((H348-K348)/K348,0)</f>
        <v/>
      </c>
      <c r="O348" s="80">
        <f>IFERROR((H348-L348)/L348,0)</f>
        <v/>
      </c>
      <c r="P348" s="80" t="n">
        <v>6</v>
      </c>
      <c r="Q348" s="80" t="n">
        <v>22</v>
      </c>
      <c r="R348" s="80" t="inlineStr">
        <is>
          <t>1-2yr</t>
        </is>
      </c>
      <c r="S348" s="80" t="n">
        <v>3</v>
      </c>
      <c r="U348" s="80">
        <f>MAX(0,MIN(100,50+((M348*0.6)+(N348*0.4))*200))</f>
        <v/>
      </c>
      <c r="V348" s="80">
        <f>MAX(20,MIN(100,50+(P348-H348)/P348*100))</f>
        <v/>
      </c>
      <c r="W348" s="80">
        <f>IFERROR(MAX(0,MIN(100,100-LOG10(T348)*16)),60)</f>
        <v/>
      </c>
      <c r="X348" s="80">
        <f>IF(C348="T2",85,IF(C348="T4",70,IF(C348="T1",65,IF(C348="T3",55,45))))</f>
        <v/>
      </c>
      <c r="Y348" s="80">
        <f>U348*0.55+W348*0.20+V348*0.15+X348*0.10+ROW()/1000000</f>
        <v/>
      </c>
      <c r="Z348" s="80">
        <f>IF(Y348&gt;=75,"STRONG BUY",IF(Y348&gt;=60,"BUY",IF(Y348&gt;=40,"HOLD",IF(Y348&gt;=25,"TRIM","SELL"))))</f>
        <v/>
      </c>
      <c r="AA348" s="80" t="inlineStr">
        <is>
          <t>https://www.tcgplayer.com/product/645323</t>
        </is>
      </c>
      <c r="AB348" s="80" t="inlineStr">
        <is>
          <t>Trainer FA. Sleeper.</t>
        </is>
      </c>
    </row>
    <row r="349">
      <c r="A349" s="80" t="inlineStr">
        <is>
          <t>X106</t>
        </is>
      </c>
      <c r="B349" s="80" t="inlineStr">
        <is>
          <t>Modern Chase PSA 10</t>
        </is>
      </c>
      <c r="C349" s="80" t="inlineStr">
        <is>
          <t>T5</t>
        </is>
      </c>
      <c r="D349" s="80" t="inlineStr">
        <is>
          <t>Cilan &amp; Chili &amp; Cress IR</t>
        </is>
      </c>
      <c r="E349" s="80" t="inlineStr">
        <is>
          <t>Journey Together</t>
        </is>
      </c>
      <c r="F349" s="80" t="inlineStr">
        <is>
          <t>183/159</t>
        </is>
      </c>
      <c r="G349" s="80" t="inlineStr">
        <is>
          <t>Raw NM</t>
        </is>
      </c>
      <c r="H349" s="80" t="n">
        <v>7</v>
      </c>
      <c r="I349" s="123" t="n">
        <v>46154</v>
      </c>
      <c r="J349" s="80" t="n">
        <v>6.8</v>
      </c>
      <c r="K349" s="80" t="n">
        <v>6.48</v>
      </c>
      <c r="L349" s="80" t="n">
        <v>6.09</v>
      </c>
      <c r="M349" s="80">
        <f>IFERROR((H349-J349)/J349,0)</f>
        <v/>
      </c>
      <c r="N349" s="80">
        <f>IFERROR((H349-K349)/K349,0)</f>
        <v/>
      </c>
      <c r="O349" s="80">
        <f>IFERROR((H349-L349)/L349,0)</f>
        <v/>
      </c>
      <c r="P349" s="80" t="n">
        <v>4</v>
      </c>
      <c r="Q349" s="80" t="n">
        <v>17</v>
      </c>
      <c r="R349" s="80" t="inlineStr">
        <is>
          <t>1-2yr</t>
        </is>
      </c>
      <c r="S349" s="80" t="n">
        <v>3</v>
      </c>
      <c r="U349" s="80">
        <f>MAX(0,MIN(100,50+((M349*0.6)+(N349*0.4))*200))</f>
        <v/>
      </c>
      <c r="V349" s="80">
        <f>MAX(20,MIN(100,50+(P349-H349)/P349*100))</f>
        <v/>
      </c>
      <c r="W349" s="80">
        <f>IFERROR(MAX(0,MIN(100,100-LOG10(T349)*16)),60)</f>
        <v/>
      </c>
      <c r="X349" s="80">
        <f>IF(C349="T2",85,IF(C349="T4",70,IF(C349="T1",65,IF(C349="T3",55,45))))</f>
        <v/>
      </c>
      <c r="Y349" s="80">
        <f>U349*0.55+W349*0.20+V349*0.15+X349*0.10+ROW()/1000000</f>
        <v/>
      </c>
      <c r="Z349" s="80">
        <f>IF(Y349&gt;=75,"STRONG BUY",IF(Y349&gt;=60,"BUY",IF(Y349&gt;=40,"HOLD",IF(Y349&gt;=25,"TRIM","SELL"))))</f>
        <v/>
      </c>
      <c r="AA349" s="80" t="inlineStr">
        <is>
          <t>https://www.tcgplayer.com/product/645324</t>
        </is>
      </c>
      <c r="AB349" s="80" t="inlineStr">
        <is>
          <t>Triple trainer IR. Niche.</t>
        </is>
      </c>
    </row>
    <row r="350">
      <c r="A350" s="80" t="inlineStr">
        <is>
          <t>X107</t>
        </is>
      </c>
      <c r="B350" s="80" t="inlineStr">
        <is>
          <t>Modern Chase PSA 10</t>
        </is>
      </c>
      <c r="C350" s="80" t="inlineStr">
        <is>
          <t>T5</t>
        </is>
      </c>
      <c r="D350" s="80" t="inlineStr">
        <is>
          <t>Hilbert FA Trainer</t>
        </is>
      </c>
      <c r="E350" s="80" t="inlineStr">
        <is>
          <t>Journey Together</t>
        </is>
      </c>
      <c r="F350" s="80" t="inlineStr">
        <is>
          <t>185/159</t>
        </is>
      </c>
      <c r="G350" s="80" t="inlineStr">
        <is>
          <t>Raw NM</t>
        </is>
      </c>
      <c r="H350" s="80" t="n">
        <v>8</v>
      </c>
      <c r="I350" s="123" t="n">
        <v>46154</v>
      </c>
      <c r="J350" s="80" t="n">
        <v>7.69</v>
      </c>
      <c r="K350" s="80" t="n">
        <v>7.27</v>
      </c>
      <c r="L350" s="80" t="n">
        <v>7.01</v>
      </c>
      <c r="M350" s="80">
        <f>IFERROR((H350-J350)/J350,0)</f>
        <v/>
      </c>
      <c r="N350" s="80">
        <f>IFERROR((H350-K350)/K350,0)</f>
        <v/>
      </c>
      <c r="O350" s="80">
        <f>IFERROR((H350-L350)/L350,0)</f>
        <v/>
      </c>
      <c r="P350" s="80" t="n">
        <v>5</v>
      </c>
      <c r="Q350" s="80" t="n">
        <v>20</v>
      </c>
      <c r="R350" s="80" t="inlineStr">
        <is>
          <t>1-2yr</t>
        </is>
      </c>
      <c r="S350" s="80" t="n">
        <v>3</v>
      </c>
      <c r="U350" s="80">
        <f>MAX(0,MIN(100,50+((M350*0.6)+(N350*0.4))*200))</f>
        <v/>
      </c>
      <c r="V350" s="80">
        <f>MAX(20,MIN(100,50+(P350-H350)/P350*100))</f>
        <v/>
      </c>
      <c r="W350" s="80">
        <f>IFERROR(MAX(0,MIN(100,100-LOG10(T350)*16)),60)</f>
        <v/>
      </c>
      <c r="X350" s="80">
        <f>IF(C350="T2",85,IF(C350="T4",70,IF(C350="T1",65,IF(C350="T3",55,45))))</f>
        <v/>
      </c>
      <c r="Y350" s="80">
        <f>U350*0.55+W350*0.20+V350*0.15+X350*0.10+ROW()/1000000</f>
        <v/>
      </c>
      <c r="Z350" s="80">
        <f>IF(Y350&gt;=75,"STRONG BUY",IF(Y350&gt;=60,"BUY",IF(Y350&gt;=40,"HOLD",IF(Y350&gt;=25,"TRIM","SELL"))))</f>
        <v/>
      </c>
      <c r="AA350" s="80" t="inlineStr">
        <is>
          <t>https://www.tcgplayer.com/product/645326</t>
        </is>
      </c>
      <c r="AB350" s="80" t="inlineStr">
        <is>
          <t>Hilbert from B&amp;W. Nostalgia play.</t>
        </is>
      </c>
    </row>
    <row r="351">
      <c r="A351" s="80" t="inlineStr">
        <is>
          <t>X108</t>
        </is>
      </c>
      <c r="B351" s="80" t="inlineStr">
        <is>
          <t>Modern Chase PSA 10</t>
        </is>
      </c>
      <c r="C351" s="80" t="inlineStr">
        <is>
          <t>T5</t>
        </is>
      </c>
      <c r="D351" s="80" t="inlineStr">
        <is>
          <t>Iris's Haxorus IR</t>
        </is>
      </c>
      <c r="E351" s="80" t="inlineStr">
        <is>
          <t>Journey Together</t>
        </is>
      </c>
      <c r="F351" s="80" t="inlineStr">
        <is>
          <t>191/159</t>
        </is>
      </c>
      <c r="G351" s="80" t="inlineStr">
        <is>
          <t>Raw NM</t>
        </is>
      </c>
      <c r="H351" s="80" t="n">
        <v>10</v>
      </c>
      <c r="I351" s="123" t="n">
        <v>46154</v>
      </c>
      <c r="J351" s="80" t="n">
        <v>9.74</v>
      </c>
      <c r="K351" s="80" t="n">
        <v>8.93</v>
      </c>
      <c r="L351" s="80" t="n">
        <v>8.359999999999999</v>
      </c>
      <c r="M351" s="80">
        <f>IFERROR((H351-J351)/J351,0)</f>
        <v/>
      </c>
      <c r="N351" s="80">
        <f>IFERROR((H351-K351)/K351,0)</f>
        <v/>
      </c>
      <c r="O351" s="80">
        <f>IFERROR((H351-L351)/L351,0)</f>
        <v/>
      </c>
      <c r="P351" s="80" t="n">
        <v>7</v>
      </c>
      <c r="Q351" s="80" t="n">
        <v>25</v>
      </c>
      <c r="R351" s="80" t="inlineStr">
        <is>
          <t>1-2yr</t>
        </is>
      </c>
      <c r="S351" s="80" t="n">
        <v>3</v>
      </c>
      <c r="U351" s="80">
        <f>MAX(0,MIN(100,50+((M351*0.6)+(N351*0.4))*200))</f>
        <v/>
      </c>
      <c r="V351" s="80">
        <f>MAX(20,MIN(100,50+(P351-H351)/P351*100))</f>
        <v/>
      </c>
      <c r="W351" s="80">
        <f>IFERROR(MAX(0,MIN(100,100-LOG10(T351)*16)),60)</f>
        <v/>
      </c>
      <c r="X351" s="80">
        <f>IF(C351="T2",85,IF(C351="T4",70,IF(C351="T1",65,IF(C351="T3",55,45))))</f>
        <v/>
      </c>
      <c r="Y351" s="80">
        <f>U351*0.55+W351*0.20+V351*0.15+X351*0.10+ROW()/1000000</f>
        <v/>
      </c>
      <c r="Z351" s="80">
        <f>IF(Y351&gt;=75,"STRONG BUY",IF(Y351&gt;=60,"BUY",IF(Y351&gt;=40,"HOLD",IF(Y351&gt;=25,"TRIM","SELL"))))</f>
        <v/>
      </c>
      <c r="AA351" s="80" t="inlineStr">
        <is>
          <t>https://www.tcgplayer.com/product/645332</t>
        </is>
      </c>
      <c r="AB351" s="80" t="inlineStr">
        <is>
          <t>Iris's Haxorus. Champion line.</t>
        </is>
      </c>
    </row>
    <row r="352">
      <c r="A352" s="80" t="inlineStr">
        <is>
          <t>X109</t>
        </is>
      </c>
      <c r="B352" s="80" t="inlineStr">
        <is>
          <t>Modern Chase PSA 10</t>
        </is>
      </c>
      <c r="C352" s="80" t="inlineStr">
        <is>
          <t>T5</t>
        </is>
      </c>
      <c r="D352" s="80" t="inlineStr">
        <is>
          <t>Bianca's Roserade IR</t>
        </is>
      </c>
      <c r="E352" s="80" t="inlineStr">
        <is>
          <t>Journey Together</t>
        </is>
      </c>
      <c r="F352" s="80" t="inlineStr">
        <is>
          <t>194/159</t>
        </is>
      </c>
      <c r="G352" s="80" t="inlineStr">
        <is>
          <t>Raw NM</t>
        </is>
      </c>
      <c r="H352" s="80" t="n">
        <v>6</v>
      </c>
      <c r="I352" s="123" t="n">
        <v>46154</v>
      </c>
      <c r="J352" s="80" t="n">
        <v>5.83</v>
      </c>
      <c r="K352" s="80" t="n">
        <v>5.56</v>
      </c>
      <c r="L352" s="80" t="n">
        <v>5.18</v>
      </c>
      <c r="M352" s="80">
        <f>IFERROR((H352-J352)/J352,0)</f>
        <v/>
      </c>
      <c r="N352" s="80">
        <f>IFERROR((H352-K352)/K352,0)</f>
        <v/>
      </c>
      <c r="O352" s="80">
        <f>IFERROR((H352-L352)/L352,0)</f>
        <v/>
      </c>
      <c r="P352" s="80" t="n">
        <v>4</v>
      </c>
      <c r="Q352" s="80" t="n">
        <v>14</v>
      </c>
      <c r="R352" s="80" t="inlineStr">
        <is>
          <t>1-2yr</t>
        </is>
      </c>
      <c r="S352" s="80" t="n">
        <v>3</v>
      </c>
      <c r="U352" s="80">
        <f>MAX(0,MIN(100,50+((M352*0.6)+(N352*0.4))*200))</f>
        <v/>
      </c>
      <c r="V352" s="80">
        <f>MAX(20,MIN(100,50+(P352-H352)/P352*100))</f>
        <v/>
      </c>
      <c r="W352" s="80">
        <f>IFERROR(MAX(0,MIN(100,100-LOG10(T352)*16)),60)</f>
        <v/>
      </c>
      <c r="X352" s="80">
        <f>IF(C352="T2",85,IF(C352="T4",70,IF(C352="T1",65,IF(C352="T3",55,45))))</f>
        <v/>
      </c>
      <c r="Y352" s="80">
        <f>U352*0.55+W352*0.20+V352*0.15+X352*0.10+ROW()/1000000</f>
        <v/>
      </c>
      <c r="Z352" s="80">
        <f>IF(Y352&gt;=75,"STRONG BUY",IF(Y352&gt;=60,"BUY",IF(Y352&gt;=40,"HOLD",IF(Y352&gt;=25,"TRIM","SELL"))))</f>
        <v/>
      </c>
      <c r="AA352" s="80" t="inlineStr">
        <is>
          <t>https://www.tcgplayer.com/product/645335</t>
        </is>
      </c>
      <c r="AB352" s="80" t="inlineStr">
        <is>
          <t>Cheap trainer attribute card.</t>
        </is>
      </c>
    </row>
    <row r="353">
      <c r="A353" s="80" t="inlineStr">
        <is>
          <t>X110</t>
        </is>
      </c>
      <c r="B353" s="80" t="inlineStr">
        <is>
          <t>Modern Chase PSA 10</t>
        </is>
      </c>
      <c r="C353" s="80" t="inlineStr">
        <is>
          <t>T5</t>
        </is>
      </c>
      <c r="D353" s="80" t="inlineStr">
        <is>
          <t>Cheren's Stoutland IR</t>
        </is>
      </c>
      <c r="E353" s="80" t="inlineStr">
        <is>
          <t>Journey Together</t>
        </is>
      </c>
      <c r="F353" s="80" t="inlineStr">
        <is>
          <t>197/159</t>
        </is>
      </c>
      <c r="G353" s="80" t="inlineStr">
        <is>
          <t>Raw NM</t>
        </is>
      </c>
      <c r="H353" s="80" t="n">
        <v>5</v>
      </c>
      <c r="I353" s="123" t="n">
        <v>46154</v>
      </c>
      <c r="J353" s="80" t="n">
        <v>4.97</v>
      </c>
      <c r="K353" s="80" t="n">
        <v>4.72</v>
      </c>
      <c r="L353" s="80" t="n">
        <v>4.62</v>
      </c>
      <c r="M353" s="80">
        <f>IFERROR((H353-J353)/J353,0)</f>
        <v/>
      </c>
      <c r="N353" s="80">
        <f>IFERROR((H353-K353)/K353,0)</f>
        <v/>
      </c>
      <c r="O353" s="80">
        <f>IFERROR((H353-L353)/L353,0)</f>
        <v/>
      </c>
      <c r="P353" s="80" t="n">
        <v>3</v>
      </c>
      <c r="Q353" s="80" t="n">
        <v>12</v>
      </c>
      <c r="R353" s="80" t="inlineStr">
        <is>
          <t>1-2yr</t>
        </is>
      </c>
      <c r="S353" s="80" t="n">
        <v>3</v>
      </c>
      <c r="U353" s="80">
        <f>MAX(0,MIN(100,50+((M353*0.6)+(N353*0.4))*200))</f>
        <v/>
      </c>
      <c r="V353" s="80">
        <f>MAX(20,MIN(100,50+(P353-H353)/P353*100))</f>
        <v/>
      </c>
      <c r="W353" s="80">
        <f>IFERROR(MAX(0,MIN(100,100-LOG10(T353)*16)),60)</f>
        <v/>
      </c>
      <c r="X353" s="80">
        <f>IF(C353="T2",85,IF(C353="T4",70,IF(C353="T1",65,IF(C353="T3",55,45))))</f>
        <v/>
      </c>
      <c r="Y353" s="80">
        <f>U353*0.55+W353*0.20+V353*0.15+X353*0.10+ROW()/1000000</f>
        <v/>
      </c>
      <c r="Z353" s="80">
        <f>IF(Y353&gt;=75,"STRONG BUY",IF(Y353&gt;=60,"BUY",IF(Y353&gt;=40,"HOLD",IF(Y353&gt;=25,"TRIM","SELL"))))</f>
        <v/>
      </c>
      <c r="AA353" s="80" t="inlineStr">
        <is>
          <t>https://www.tcgplayer.com/product/645338</t>
        </is>
      </c>
      <c r="AB353" s="80" t="inlineStr">
        <is>
          <t>Volume play.</t>
        </is>
      </c>
    </row>
    <row r="354">
      <c r="A354" s="80" t="inlineStr">
        <is>
          <t>X111</t>
        </is>
      </c>
      <c r="B354" s="80" t="inlineStr">
        <is>
          <t>Modern Chase PSA 10</t>
        </is>
      </c>
      <c r="C354" s="80" t="inlineStr">
        <is>
          <t>T5</t>
        </is>
      </c>
      <c r="D354" s="80" t="inlineStr">
        <is>
          <t>Pikachu ex SIR (raw)</t>
        </is>
      </c>
      <c r="E354" s="80" t="inlineStr">
        <is>
          <t>Surging Sparks</t>
        </is>
      </c>
      <c r="F354" s="80" t="inlineStr">
        <is>
          <t>238/191</t>
        </is>
      </c>
      <c r="G354" s="80" t="inlineStr">
        <is>
          <t>Raw NM</t>
        </is>
      </c>
      <c r="H354" s="80" t="n">
        <v>14</v>
      </c>
      <c r="I354" s="123" t="n">
        <v>46154</v>
      </c>
      <c r="J354" s="80" t="n">
        <v>13.5</v>
      </c>
      <c r="K354" s="80" t="n">
        <v>11.86</v>
      </c>
      <c r="L354" s="80" t="n">
        <v>10.96</v>
      </c>
      <c r="M354" s="80">
        <f>IFERROR((H354-J354)/J354,0)</f>
        <v/>
      </c>
      <c r="N354" s="80">
        <f>IFERROR((H354-K354)/K354,0)</f>
        <v/>
      </c>
      <c r="O354" s="80">
        <f>IFERROR((H354-L354)/L354,0)</f>
        <v/>
      </c>
      <c r="P354" s="80" t="n">
        <v>10</v>
      </c>
      <c r="Q354" s="80" t="n">
        <v>35</v>
      </c>
      <c r="R354" s="80" t="inlineStr">
        <is>
          <t>1-2yr</t>
        </is>
      </c>
      <c r="S354" s="80" t="n">
        <v>3</v>
      </c>
      <c r="U354" s="80">
        <f>MAX(0,MIN(100,50+((M354*0.6)+(N354*0.4))*200))</f>
        <v/>
      </c>
      <c r="V354" s="80">
        <f>MAX(20,MIN(100,50+(P354-H354)/P354*100))</f>
        <v/>
      </c>
      <c r="W354" s="80">
        <f>IFERROR(MAX(0,MIN(100,100-LOG10(T354)*16)),60)</f>
        <v/>
      </c>
      <c r="X354" s="80">
        <f>IF(C354="T2",85,IF(C354="T4",70,IF(C354="T1",65,IF(C354="T3",55,45))))</f>
        <v/>
      </c>
      <c r="Y354" s="80">
        <f>U354*0.55+W354*0.20+V354*0.15+X354*0.10+ROW()/1000000</f>
        <v/>
      </c>
      <c r="Z354" s="80">
        <f>IF(Y354&gt;=75,"STRONG BUY",IF(Y354&gt;=60,"BUY",IF(Y354&gt;=40,"HOLD",IF(Y354&gt;=25,"TRIM","SELL"))))</f>
        <v/>
      </c>
      <c r="AA354" s="80" t="inlineStr">
        <is>
          <t>https://www.tcgplayer.com/product/610489</t>
        </is>
      </c>
      <c r="AB354" s="80" t="inlineStr">
        <is>
          <t>Pikachu ex SIR raw — high-volume grade play.</t>
        </is>
      </c>
    </row>
    <row r="355">
      <c r="A355" s="80" t="inlineStr">
        <is>
          <t>X112</t>
        </is>
      </c>
      <c r="B355" s="80" t="inlineStr">
        <is>
          <t>Modern Chase PSA 10</t>
        </is>
      </c>
      <c r="C355" s="80" t="inlineStr">
        <is>
          <t>T5</t>
        </is>
      </c>
      <c r="D355" s="80" t="inlineStr">
        <is>
          <t>Latias ex SIR (raw)</t>
        </is>
      </c>
      <c r="E355" s="80" t="inlineStr">
        <is>
          <t>Surging Sparks</t>
        </is>
      </c>
      <c r="F355" s="80" t="inlineStr">
        <is>
          <t>239/191</t>
        </is>
      </c>
      <c r="G355" s="80" t="inlineStr">
        <is>
          <t>Raw NM</t>
        </is>
      </c>
      <c r="H355" s="80" t="n">
        <v>10</v>
      </c>
      <c r="I355" s="123" t="n">
        <v>46154</v>
      </c>
      <c r="J355" s="80" t="n">
        <v>9.6</v>
      </c>
      <c r="K355" s="80" t="n">
        <v>8.77</v>
      </c>
      <c r="L355" s="80" t="n">
        <v>8.49</v>
      </c>
      <c r="M355" s="80">
        <f>IFERROR((H355-J355)/J355,0)</f>
        <v/>
      </c>
      <c r="N355" s="80">
        <f>IFERROR((H355-K355)/K355,0)</f>
        <v/>
      </c>
      <c r="O355" s="80">
        <f>IFERROR((H355-L355)/L355,0)</f>
        <v/>
      </c>
      <c r="P355" s="80" t="n">
        <v>7</v>
      </c>
      <c r="Q355" s="80" t="n">
        <v>25</v>
      </c>
      <c r="R355" s="80" t="inlineStr">
        <is>
          <t>1-2yr</t>
        </is>
      </c>
      <c r="S355" s="80" t="n">
        <v>3</v>
      </c>
      <c r="U355" s="80">
        <f>MAX(0,MIN(100,50+((M355*0.6)+(N355*0.4))*200))</f>
        <v/>
      </c>
      <c r="V355" s="80">
        <f>MAX(20,MIN(100,50+(P355-H355)/P355*100))</f>
        <v/>
      </c>
      <c r="W355" s="80">
        <f>IFERROR(MAX(0,MIN(100,100-LOG10(T355)*16)),60)</f>
        <v/>
      </c>
      <c r="X355" s="80">
        <f>IF(C355="T2",85,IF(C355="T4",70,IF(C355="T1",65,IF(C355="T3",55,45))))</f>
        <v/>
      </c>
      <c r="Y355" s="80">
        <f>U355*0.55+W355*0.20+V355*0.15+X355*0.10+ROW()/1000000</f>
        <v/>
      </c>
      <c r="Z355" s="80">
        <f>IF(Y355&gt;=75,"STRONG BUY",IF(Y355&gt;=60,"BUY",IF(Y355&gt;=40,"HOLD",IF(Y355&gt;=25,"TRIM","SELL"))))</f>
        <v/>
      </c>
      <c r="AA355" s="80" t="inlineStr">
        <is>
          <t>https://www.tcgplayer.com/product/610490</t>
        </is>
      </c>
      <c r="AB355" s="80" t="inlineStr">
        <is>
          <t>Eon duo speculation.</t>
        </is>
      </c>
    </row>
    <row r="356">
      <c r="A356" s="80" t="inlineStr">
        <is>
          <t>X113</t>
        </is>
      </c>
      <c r="B356" s="80" t="inlineStr">
        <is>
          <t>Modern Chase PSA 10</t>
        </is>
      </c>
      <c r="C356" s="80" t="inlineStr">
        <is>
          <t>T5</t>
        </is>
      </c>
      <c r="D356" s="80" t="inlineStr">
        <is>
          <t>Hydreigon ex SIR (raw)</t>
        </is>
      </c>
      <c r="E356" s="80" t="inlineStr">
        <is>
          <t>Surging Sparks</t>
        </is>
      </c>
      <c r="F356" s="80" t="inlineStr">
        <is>
          <t>240/191</t>
        </is>
      </c>
      <c r="G356" s="80" t="inlineStr">
        <is>
          <t>Raw NM</t>
        </is>
      </c>
      <c r="H356" s="80" t="n">
        <v>8</v>
      </c>
      <c r="I356" s="123" t="n">
        <v>46154</v>
      </c>
      <c r="J356" s="80" t="n">
        <v>7.91</v>
      </c>
      <c r="K356" s="80" t="n">
        <v>7.27</v>
      </c>
      <c r="L356" s="80" t="n">
        <v>6.93</v>
      </c>
      <c r="M356" s="80">
        <f>IFERROR((H356-J356)/J356,0)</f>
        <v/>
      </c>
      <c r="N356" s="80">
        <f>IFERROR((H356-K356)/K356,0)</f>
        <v/>
      </c>
      <c r="O356" s="80">
        <f>IFERROR((H356-L356)/L356,0)</f>
        <v/>
      </c>
      <c r="P356" s="80" t="n">
        <v>5</v>
      </c>
      <c r="Q356" s="80" t="n">
        <v>20</v>
      </c>
      <c r="R356" s="80" t="inlineStr">
        <is>
          <t>1-2yr</t>
        </is>
      </c>
      <c r="S356" s="80" t="n">
        <v>3</v>
      </c>
      <c r="U356" s="80">
        <f>MAX(0,MIN(100,50+((M356*0.6)+(N356*0.4))*200))</f>
        <v/>
      </c>
      <c r="V356" s="80">
        <f>MAX(20,MIN(100,50+(P356-H356)/P356*100))</f>
        <v/>
      </c>
      <c r="W356" s="80">
        <f>IFERROR(MAX(0,MIN(100,100-LOG10(T356)*16)),60)</f>
        <v/>
      </c>
      <c r="X356" s="80">
        <f>IF(C356="T2",85,IF(C356="T4",70,IF(C356="T1",65,IF(C356="T3",55,45))))</f>
        <v/>
      </c>
      <c r="Y356" s="80">
        <f>U356*0.55+W356*0.20+V356*0.15+X356*0.10+ROW()/1000000</f>
        <v/>
      </c>
      <c r="Z356" s="80">
        <f>IF(Y356&gt;=75,"STRONG BUY",IF(Y356&gt;=60,"BUY",IF(Y356&gt;=40,"HOLD",IF(Y356&gt;=25,"TRIM","SELL"))))</f>
        <v/>
      </c>
      <c r="AA356" s="80" t="inlineStr">
        <is>
          <t>https://www.tcgplayer.com/product/610491</t>
        </is>
      </c>
      <c r="AB356" s="80" t="inlineStr">
        <is>
          <t>Pseudo legendary SIR raw.</t>
        </is>
      </c>
    </row>
    <row r="357">
      <c r="A357" s="80" t="inlineStr">
        <is>
          <t>X114</t>
        </is>
      </c>
      <c r="B357" s="80" t="inlineStr">
        <is>
          <t>Modern Chase PSA 10</t>
        </is>
      </c>
      <c r="C357" s="80" t="inlineStr">
        <is>
          <t>T5</t>
        </is>
      </c>
      <c r="D357" s="80" t="inlineStr">
        <is>
          <t>Greedent Trainer SIR (raw)</t>
        </is>
      </c>
      <c r="E357" s="80" t="inlineStr">
        <is>
          <t>Surging Sparks</t>
        </is>
      </c>
      <c r="F357" s="80" t="inlineStr">
        <is>
          <t>265/191</t>
        </is>
      </c>
      <c r="G357" s="80" t="inlineStr">
        <is>
          <t>Raw NM</t>
        </is>
      </c>
      <c r="H357" s="80" t="n">
        <v>9</v>
      </c>
      <c r="I357" s="123" t="n">
        <v>46154</v>
      </c>
      <c r="J357" s="80" t="n">
        <v>8.619999999999999</v>
      </c>
      <c r="K357" s="80" t="n">
        <v>8.039999999999999</v>
      </c>
      <c r="L357" s="80" t="n">
        <v>7.81</v>
      </c>
      <c r="M357" s="80">
        <f>IFERROR((H357-J357)/J357,0)</f>
        <v/>
      </c>
      <c r="N357" s="80">
        <f>IFERROR((H357-K357)/K357,0)</f>
        <v/>
      </c>
      <c r="O357" s="80">
        <f>IFERROR((H357-L357)/L357,0)</f>
        <v/>
      </c>
      <c r="P357" s="80" t="n">
        <v>6</v>
      </c>
      <c r="Q357" s="80" t="n">
        <v>22</v>
      </c>
      <c r="R357" s="80" t="inlineStr">
        <is>
          <t>1-2yr</t>
        </is>
      </c>
      <c r="S357" s="80" t="n">
        <v>3</v>
      </c>
      <c r="U357" s="80">
        <f>MAX(0,MIN(100,50+((M357*0.6)+(N357*0.4))*200))</f>
        <v/>
      </c>
      <c r="V357" s="80">
        <f>MAX(20,MIN(100,50+(P357-H357)/P357*100))</f>
        <v/>
      </c>
      <c r="W357" s="80">
        <f>IFERROR(MAX(0,MIN(100,100-LOG10(T357)*16)),60)</f>
        <v/>
      </c>
      <c r="X357" s="80">
        <f>IF(C357="T2",85,IF(C357="T4",70,IF(C357="T1",65,IF(C357="T3",55,45))))</f>
        <v/>
      </c>
      <c r="Y357" s="80">
        <f>U357*0.55+W357*0.20+V357*0.15+X357*0.10+ROW()/1000000</f>
        <v/>
      </c>
      <c r="Z357" s="80">
        <f>IF(Y357&gt;=75,"STRONG BUY",IF(Y357&gt;=60,"BUY",IF(Y357&gt;=40,"HOLD",IF(Y357&gt;=25,"TRIM","SELL"))))</f>
        <v/>
      </c>
      <c r="AA357" s="80" t="inlineStr">
        <is>
          <t>https://www.tcgplayer.com/product/610516</t>
        </is>
      </c>
      <c r="AB357" s="80" t="inlineStr">
        <is>
          <t>Greedent SIR raw.</t>
        </is>
      </c>
    </row>
    <row r="358">
      <c r="A358" s="80" t="inlineStr">
        <is>
          <t>X115</t>
        </is>
      </c>
      <c r="B358" s="80" t="inlineStr">
        <is>
          <t>Modern Chase PSA 10</t>
        </is>
      </c>
      <c r="C358" s="80" t="inlineStr">
        <is>
          <t>T5</t>
        </is>
      </c>
      <c r="D358" s="80" t="inlineStr">
        <is>
          <t>Bouffalant Holo</t>
        </is>
      </c>
      <c r="E358" s="80" t="inlineStr">
        <is>
          <t>Surging Sparks</t>
        </is>
      </c>
      <c r="F358" s="80" t="inlineStr">
        <is>
          <t>121/191</t>
        </is>
      </c>
      <c r="G358" s="80" t="inlineStr">
        <is>
          <t>Raw NM</t>
        </is>
      </c>
      <c r="H358" s="80" t="n">
        <v>3</v>
      </c>
      <c r="I358" s="123" t="n">
        <v>46154</v>
      </c>
      <c r="J358" s="80" t="n">
        <v>2.97</v>
      </c>
      <c r="K358" s="80" t="n">
        <v>2.78</v>
      </c>
      <c r="L358" s="80" t="n">
        <v>2.59</v>
      </c>
      <c r="M358" s="80">
        <f>IFERROR((H358-J358)/J358,0)</f>
        <v/>
      </c>
      <c r="N358" s="80">
        <f>IFERROR((H358-K358)/K358,0)</f>
        <v/>
      </c>
      <c r="O358" s="80">
        <f>IFERROR((H358-L358)/L358,0)</f>
        <v/>
      </c>
      <c r="P358" s="80" t="n">
        <v>2</v>
      </c>
      <c r="Q358" s="80" t="n">
        <v>8</v>
      </c>
      <c r="R358" s="80" t="inlineStr">
        <is>
          <t>1-2yr</t>
        </is>
      </c>
      <c r="S358" s="80" t="n">
        <v>3</v>
      </c>
      <c r="U358" s="80">
        <f>MAX(0,MIN(100,50+((M358*0.6)+(N358*0.4))*200))</f>
        <v/>
      </c>
      <c r="V358" s="80">
        <f>MAX(20,MIN(100,50+(P358-H358)/P358*100))</f>
        <v/>
      </c>
      <c r="W358" s="80">
        <f>IFERROR(MAX(0,MIN(100,100-LOG10(T358)*16)),60)</f>
        <v/>
      </c>
      <c r="X358" s="80">
        <f>IF(C358="T2",85,IF(C358="T4",70,IF(C358="T1",65,IF(C358="T3",55,45))))</f>
        <v/>
      </c>
      <c r="Y358" s="80">
        <f>U358*0.55+W358*0.20+V358*0.15+X358*0.10+ROW()/1000000</f>
        <v/>
      </c>
      <c r="Z358" s="80">
        <f>IF(Y358&gt;=75,"STRONG BUY",IF(Y358&gt;=60,"BUY",IF(Y358&gt;=40,"HOLD",IF(Y358&gt;=25,"TRIM","SELL"))))</f>
        <v/>
      </c>
      <c r="AA358" s="80" t="inlineStr">
        <is>
          <t>https://www.tcgplayer.com/product/610372</t>
        </is>
      </c>
      <c r="AB358" s="80" t="inlineStr">
        <is>
          <t>Cheap SS Holo. Bulk grade.</t>
        </is>
      </c>
    </row>
    <row r="359">
      <c r="A359" s="80" t="inlineStr">
        <is>
          <t>X116</t>
        </is>
      </c>
      <c r="B359" s="80" t="inlineStr">
        <is>
          <t>Modern Chase PSA 10</t>
        </is>
      </c>
      <c r="C359" s="80" t="inlineStr">
        <is>
          <t>T5</t>
        </is>
      </c>
      <c r="D359" s="80" t="inlineStr">
        <is>
          <t>Pikachu Holo (SS)</t>
        </is>
      </c>
      <c r="E359" s="80" t="inlineStr">
        <is>
          <t>Surging Sparks</t>
        </is>
      </c>
      <c r="F359" s="80" t="inlineStr">
        <is>
          <t>169/191</t>
        </is>
      </c>
      <c r="G359" s="80" t="inlineStr">
        <is>
          <t>Raw NM</t>
        </is>
      </c>
      <c r="H359" s="80" t="n">
        <v>5</v>
      </c>
      <c r="I359" s="123" t="n">
        <v>46154</v>
      </c>
      <c r="J359" s="80" t="n">
        <v>4.92</v>
      </c>
      <c r="K359" s="80" t="n">
        <v>4.55</v>
      </c>
      <c r="L359" s="80" t="n">
        <v>4.19</v>
      </c>
      <c r="M359" s="80">
        <f>IFERROR((H359-J359)/J359,0)</f>
        <v/>
      </c>
      <c r="N359" s="80">
        <f>IFERROR((H359-K359)/K359,0)</f>
        <v/>
      </c>
      <c r="O359" s="80">
        <f>IFERROR((H359-L359)/L359,0)</f>
        <v/>
      </c>
      <c r="P359" s="80" t="n">
        <v>3</v>
      </c>
      <c r="Q359" s="80" t="n">
        <v>12</v>
      </c>
      <c r="R359" s="80" t="inlineStr">
        <is>
          <t>1-2yr</t>
        </is>
      </c>
      <c r="S359" s="80" t="n">
        <v>3</v>
      </c>
      <c r="U359" s="80">
        <f>MAX(0,MIN(100,50+((M359*0.6)+(N359*0.4))*200))</f>
        <v/>
      </c>
      <c r="V359" s="80">
        <f>MAX(20,MIN(100,50+(P359-H359)/P359*100))</f>
        <v/>
      </c>
      <c r="W359" s="80">
        <f>IFERROR(MAX(0,MIN(100,100-LOG10(T359)*16)),60)</f>
        <v/>
      </c>
      <c r="X359" s="80">
        <f>IF(C359="T2",85,IF(C359="T4",70,IF(C359="T1",65,IF(C359="T3",55,45))))</f>
        <v/>
      </c>
      <c r="Y359" s="80">
        <f>U359*0.55+W359*0.20+V359*0.15+X359*0.10+ROW()/1000000</f>
        <v/>
      </c>
      <c r="Z359" s="80">
        <f>IF(Y359&gt;=75,"STRONG BUY",IF(Y359&gt;=60,"BUY",IF(Y359&gt;=40,"HOLD",IF(Y359&gt;=25,"TRIM","SELL"))))</f>
        <v/>
      </c>
      <c r="AA359" s="80" t="inlineStr">
        <is>
          <t>https://www.tcgplayer.com/product/610420</t>
        </is>
      </c>
      <c r="AB359" s="80" t="inlineStr">
        <is>
          <t>SS Pikachu holo.</t>
        </is>
      </c>
    </row>
    <row r="360">
      <c r="A360" s="80" t="inlineStr">
        <is>
          <t>X117</t>
        </is>
      </c>
      <c r="B360" s="80" t="inlineStr">
        <is>
          <t>Modern Chase PSA 10</t>
        </is>
      </c>
      <c r="C360" s="80" t="inlineStr">
        <is>
          <t>T5</t>
        </is>
      </c>
      <c r="D360" s="80" t="inlineStr">
        <is>
          <t>Eevee Special Art (PE)</t>
        </is>
      </c>
      <c r="E360" s="80" t="inlineStr">
        <is>
          <t>Prismatic Evolutions</t>
        </is>
      </c>
      <c r="F360" s="80" t="inlineStr">
        <is>
          <t>167/131</t>
        </is>
      </c>
      <c r="G360" s="80" t="inlineStr">
        <is>
          <t>Raw NM</t>
        </is>
      </c>
      <c r="H360" s="80" t="n">
        <v>22</v>
      </c>
      <c r="I360" s="123" t="n">
        <v>46154</v>
      </c>
      <c r="J360" s="80" t="n">
        <v>21.03</v>
      </c>
      <c r="K360" s="80" t="n">
        <v>18.64</v>
      </c>
      <c r="L360" s="80" t="n">
        <v>16.82</v>
      </c>
      <c r="M360" s="80">
        <f>IFERROR((H360-J360)/J360,0)</f>
        <v/>
      </c>
      <c r="N360" s="80">
        <f>IFERROR((H360-K360)/K360,0)</f>
        <v/>
      </c>
      <c r="O360" s="80">
        <f>IFERROR((H360-L360)/L360,0)</f>
        <v/>
      </c>
      <c r="P360" s="80" t="n">
        <v>16</v>
      </c>
      <c r="Q360" s="80" t="n">
        <v>50</v>
      </c>
      <c r="R360" s="80" t="inlineStr">
        <is>
          <t>1-2yr</t>
        </is>
      </c>
      <c r="S360" s="80" t="n">
        <v>4</v>
      </c>
      <c r="U360" s="80">
        <f>MAX(0,MIN(100,50+((M360*0.6)+(N360*0.4))*200))</f>
        <v/>
      </c>
      <c r="V360" s="80">
        <f>MAX(20,MIN(100,50+(P360-H360)/P360*100))</f>
        <v/>
      </c>
      <c r="W360" s="80">
        <f>IFERROR(MAX(0,MIN(100,100-LOG10(T360)*16)),60)</f>
        <v/>
      </c>
      <c r="X360" s="80">
        <f>IF(C360="T2",85,IF(C360="T4",70,IF(C360="T1",65,IF(C360="T3",55,45))))</f>
        <v/>
      </c>
      <c r="Y360" s="80">
        <f>U360*0.55+W360*0.20+V360*0.15+X360*0.10+ROW()/1000000</f>
        <v/>
      </c>
      <c r="Z360" s="80">
        <f>IF(Y360&gt;=75,"STRONG BUY",IF(Y360&gt;=60,"BUY",IF(Y360&gt;=40,"HOLD",IF(Y360&gt;=25,"TRIM","SELL"))))</f>
        <v/>
      </c>
      <c r="AA360" s="80" t="inlineStr">
        <is>
          <t>https://www.tcgplayer.com/product/610522</t>
        </is>
      </c>
      <c r="AB360" s="80" t="inlineStr">
        <is>
          <t>PE Eevee SA. Eeveelution premium.</t>
        </is>
      </c>
    </row>
    <row r="361">
      <c r="A361" s="80" t="inlineStr">
        <is>
          <t>X118</t>
        </is>
      </c>
      <c r="B361" s="80" t="inlineStr">
        <is>
          <t>Modern Chase PSA 10</t>
        </is>
      </c>
      <c r="C361" s="80" t="inlineStr">
        <is>
          <t>T5</t>
        </is>
      </c>
      <c r="D361" s="80" t="inlineStr">
        <is>
          <t>Pikachu Special Art (PE)</t>
        </is>
      </c>
      <c r="E361" s="80" t="inlineStr">
        <is>
          <t>Prismatic Evolutions</t>
        </is>
      </c>
      <c r="F361" s="80" t="inlineStr">
        <is>
          <t>165/131</t>
        </is>
      </c>
      <c r="G361" s="80" t="inlineStr">
        <is>
          <t>Raw NM</t>
        </is>
      </c>
      <c r="H361" s="80" t="n">
        <v>20</v>
      </c>
      <c r="I361" s="123" t="n">
        <v>46154</v>
      </c>
      <c r="J361" s="80" t="n">
        <v>19.18</v>
      </c>
      <c r="K361" s="80" t="n">
        <v>17.39</v>
      </c>
      <c r="L361" s="80" t="n">
        <v>16.28</v>
      </c>
      <c r="M361" s="80">
        <f>IFERROR((H361-J361)/J361,0)</f>
        <v/>
      </c>
      <c r="N361" s="80">
        <f>IFERROR((H361-K361)/K361,0)</f>
        <v/>
      </c>
      <c r="O361" s="80">
        <f>IFERROR((H361-L361)/L361,0)</f>
        <v/>
      </c>
      <c r="P361" s="80" t="n">
        <v>14</v>
      </c>
      <c r="Q361" s="80" t="n">
        <v>45</v>
      </c>
      <c r="R361" s="80" t="inlineStr">
        <is>
          <t>1-2yr</t>
        </is>
      </c>
      <c r="S361" s="80" t="n">
        <v>3</v>
      </c>
      <c r="U361" s="80">
        <f>MAX(0,MIN(100,50+((M361*0.6)+(N361*0.4))*200))</f>
        <v/>
      </c>
      <c r="V361" s="80">
        <f>MAX(20,MIN(100,50+(P361-H361)/P361*100))</f>
        <v/>
      </c>
      <c r="W361" s="80">
        <f>IFERROR(MAX(0,MIN(100,100-LOG10(T361)*16)),60)</f>
        <v/>
      </c>
      <c r="X361" s="80">
        <f>IF(C361="T2",85,IF(C361="T4",70,IF(C361="T1",65,IF(C361="T3",55,45))))</f>
        <v/>
      </c>
      <c r="Y361" s="80">
        <f>U361*0.55+W361*0.20+V361*0.15+X361*0.10+ROW()/1000000</f>
        <v/>
      </c>
      <c r="Z361" s="80">
        <f>IF(Y361&gt;=75,"STRONG BUY",IF(Y361&gt;=60,"BUY",IF(Y361&gt;=40,"HOLD",IF(Y361&gt;=25,"TRIM","SELL"))))</f>
        <v/>
      </c>
      <c r="AA361" s="80" t="inlineStr">
        <is>
          <t>https://www.tcgplayer.com/product/610520</t>
        </is>
      </c>
      <c r="AB361" s="80" t="inlineStr">
        <is>
          <t>PE Pikachu SA.</t>
        </is>
      </c>
    </row>
    <row r="362">
      <c r="A362" s="80" t="inlineStr">
        <is>
          <t>X119</t>
        </is>
      </c>
      <c r="B362" s="80" t="inlineStr">
        <is>
          <t>Modern Chase PSA 10</t>
        </is>
      </c>
      <c r="C362" s="80" t="inlineStr">
        <is>
          <t>T5</t>
        </is>
      </c>
      <c r="D362" s="80" t="inlineStr">
        <is>
          <t>Mewtwo Special Art (PE)</t>
        </is>
      </c>
      <c r="E362" s="80" t="inlineStr">
        <is>
          <t>Prismatic Evolutions</t>
        </is>
      </c>
      <c r="F362" s="80" t="inlineStr">
        <is>
          <t>166/131</t>
        </is>
      </c>
      <c r="G362" s="80" t="inlineStr">
        <is>
          <t>Raw NM</t>
        </is>
      </c>
      <c r="H362" s="80" t="n">
        <v>25</v>
      </c>
      <c r="I362" s="123" t="n">
        <v>46154</v>
      </c>
      <c r="J362" s="80" t="n">
        <v>24</v>
      </c>
      <c r="K362" s="80" t="n">
        <v>20.83</v>
      </c>
      <c r="L362" s="80" t="n">
        <v>19.39</v>
      </c>
      <c r="M362" s="80">
        <f>IFERROR((H362-J362)/J362,0)</f>
        <v/>
      </c>
      <c r="N362" s="80">
        <f>IFERROR((H362-K362)/K362,0)</f>
        <v/>
      </c>
      <c r="O362" s="80">
        <f>IFERROR((H362-L362)/L362,0)</f>
        <v/>
      </c>
      <c r="P362" s="80" t="n">
        <v>18</v>
      </c>
      <c r="Q362" s="80" t="n">
        <v>55</v>
      </c>
      <c r="R362" s="80" t="inlineStr">
        <is>
          <t>1-2yr</t>
        </is>
      </c>
      <c r="S362" s="80" t="n">
        <v>4</v>
      </c>
      <c r="U362" s="80">
        <f>MAX(0,MIN(100,50+((M362*0.6)+(N362*0.4))*200))</f>
        <v/>
      </c>
      <c r="V362" s="80">
        <f>MAX(20,MIN(100,50+(P362-H362)/P362*100))</f>
        <v/>
      </c>
      <c r="W362" s="80">
        <f>IFERROR(MAX(0,MIN(100,100-LOG10(T362)*16)),60)</f>
        <v/>
      </c>
      <c r="X362" s="80">
        <f>IF(C362="T2",85,IF(C362="T4",70,IF(C362="T1",65,IF(C362="T3",55,45))))</f>
        <v/>
      </c>
      <c r="Y362" s="80">
        <f>U362*0.55+W362*0.20+V362*0.15+X362*0.10+ROW()/1000000</f>
        <v/>
      </c>
      <c r="Z362" s="80">
        <f>IF(Y362&gt;=75,"STRONG BUY",IF(Y362&gt;=60,"BUY",IF(Y362&gt;=40,"HOLD",IF(Y362&gt;=25,"TRIM","SELL"))))</f>
        <v/>
      </c>
      <c r="AA362" s="80" t="inlineStr">
        <is>
          <t>https://www.tcgplayer.com/product/610521</t>
        </is>
      </c>
      <c r="AB362" s="80" t="inlineStr">
        <is>
          <t>PE Mewtwo SA.</t>
        </is>
      </c>
    </row>
    <row r="363">
      <c r="A363" s="80" t="inlineStr">
        <is>
          <t>X120</t>
        </is>
      </c>
      <c r="B363" s="80" t="inlineStr">
        <is>
          <t>Modern Chase PSA 10</t>
        </is>
      </c>
      <c r="C363" s="80" t="inlineStr">
        <is>
          <t>T5</t>
        </is>
      </c>
      <c r="D363" s="80" t="inlineStr">
        <is>
          <t>Ditto Special Art (PE)</t>
        </is>
      </c>
      <c r="E363" s="80" t="inlineStr">
        <is>
          <t>Prismatic Evolutions</t>
        </is>
      </c>
      <c r="F363" s="80" t="inlineStr">
        <is>
          <t>163/131</t>
        </is>
      </c>
      <c r="G363" s="80" t="inlineStr">
        <is>
          <t>Raw NM</t>
        </is>
      </c>
      <c r="H363" s="80" t="n">
        <v>18</v>
      </c>
      <c r="I363" s="123" t="n">
        <v>46154</v>
      </c>
      <c r="J363" s="80" t="n">
        <v>17.66</v>
      </c>
      <c r="K363" s="80" t="n">
        <v>16.07</v>
      </c>
      <c r="L363" s="80" t="n">
        <v>15.01</v>
      </c>
      <c r="M363" s="80">
        <f>IFERROR((H363-J363)/J363,0)</f>
        <v/>
      </c>
      <c r="N363" s="80">
        <f>IFERROR((H363-K363)/K363,0)</f>
        <v/>
      </c>
      <c r="O363" s="80">
        <f>IFERROR((H363-L363)/L363,0)</f>
        <v/>
      </c>
      <c r="P363" s="80" t="n">
        <v>12</v>
      </c>
      <c r="Q363" s="80" t="n">
        <v>40</v>
      </c>
      <c r="R363" s="80" t="inlineStr">
        <is>
          <t>1-2yr</t>
        </is>
      </c>
      <c r="S363" s="80" t="n">
        <v>3</v>
      </c>
      <c r="U363" s="80">
        <f>MAX(0,MIN(100,50+((M363*0.6)+(N363*0.4))*200))</f>
        <v/>
      </c>
      <c r="V363" s="80">
        <f>MAX(20,MIN(100,50+(P363-H363)/P363*100))</f>
        <v/>
      </c>
      <c r="W363" s="80">
        <f>IFERROR(MAX(0,MIN(100,100-LOG10(T363)*16)),60)</f>
        <v/>
      </c>
      <c r="X363" s="80">
        <f>IF(C363="T2",85,IF(C363="T4",70,IF(C363="T1",65,IF(C363="T3",55,45))))</f>
        <v/>
      </c>
      <c r="Y363" s="80">
        <f>U363*0.55+W363*0.20+V363*0.15+X363*0.10+ROW()/1000000</f>
        <v/>
      </c>
      <c r="Z363" s="80">
        <f>IF(Y363&gt;=75,"STRONG BUY",IF(Y363&gt;=60,"BUY",IF(Y363&gt;=40,"HOLD",IF(Y363&gt;=25,"TRIM","SELL"))))</f>
        <v/>
      </c>
      <c r="AA363" s="80" t="inlineStr">
        <is>
          <t>https://www.tcgplayer.com/product/610518</t>
        </is>
      </c>
      <c r="AB363" s="80" t="inlineStr">
        <is>
          <t>PE Ditto SA.</t>
        </is>
      </c>
    </row>
    <row r="364">
      <c r="A364" s="80" t="inlineStr">
        <is>
          <t>X121</t>
        </is>
      </c>
      <c r="B364" s="80" t="inlineStr">
        <is>
          <t>Modern Chase PSA 10</t>
        </is>
      </c>
      <c r="C364" s="80" t="inlineStr">
        <is>
          <t>T5</t>
        </is>
      </c>
      <c r="D364" s="80" t="inlineStr">
        <is>
          <t>Munkidori ex SIR (raw)</t>
        </is>
      </c>
      <c r="E364" s="80" t="inlineStr">
        <is>
          <t>Shrouded Fable</t>
        </is>
      </c>
      <c r="F364" s="80" t="inlineStr">
        <is>
          <t>087/064</t>
        </is>
      </c>
      <c r="G364" s="80" t="inlineStr">
        <is>
          <t>Raw NM</t>
        </is>
      </c>
      <c r="H364" s="80" t="n">
        <v>18</v>
      </c>
      <c r="I364" s="123" t="n">
        <v>46154</v>
      </c>
      <c r="J364" s="80" t="n">
        <v>17.44</v>
      </c>
      <c r="K364" s="80" t="n">
        <v>15.65</v>
      </c>
      <c r="L364" s="80" t="n">
        <v>15.28</v>
      </c>
      <c r="M364" s="80">
        <f>IFERROR((H364-J364)/J364,0)</f>
        <v/>
      </c>
      <c r="N364" s="80">
        <f>IFERROR((H364-K364)/K364,0)</f>
        <v/>
      </c>
      <c r="O364" s="80">
        <f>IFERROR((H364-L364)/L364,0)</f>
        <v/>
      </c>
      <c r="P364" s="80" t="n">
        <v>12</v>
      </c>
      <c r="Q364" s="80" t="n">
        <v>40</v>
      </c>
      <c r="R364" s="80" t="inlineStr">
        <is>
          <t>1-2yr</t>
        </is>
      </c>
      <c r="S364" s="80" t="n">
        <v>3</v>
      </c>
      <c r="U364" s="80">
        <f>MAX(0,MIN(100,50+((M364*0.6)+(N364*0.4))*200))</f>
        <v/>
      </c>
      <c r="V364" s="80">
        <f>MAX(20,MIN(100,50+(P364-H364)/P364*100))</f>
        <v/>
      </c>
      <c r="W364" s="80">
        <f>IFERROR(MAX(0,MIN(100,100-LOG10(T364)*16)),60)</f>
        <v/>
      </c>
      <c r="X364" s="80">
        <f>IF(C364="T2",85,IF(C364="T4",70,IF(C364="T1",65,IF(C364="T3",55,45))))</f>
        <v/>
      </c>
      <c r="Y364" s="80">
        <f>U364*0.55+W364*0.20+V364*0.15+X364*0.10+ROW()/1000000</f>
        <v/>
      </c>
      <c r="Z364" s="80">
        <f>IF(Y364&gt;=75,"STRONG BUY",IF(Y364&gt;=60,"BUY",IF(Y364&gt;=40,"HOLD",IF(Y364&gt;=25,"TRIM","SELL"))))</f>
        <v/>
      </c>
      <c r="AA364" s="80" t="inlineStr">
        <is>
          <t>https://www.tcgplayer.com/product/586421</t>
        </is>
      </c>
      <c r="AB364" s="80" t="inlineStr">
        <is>
          <t>Loyal Three SIR raw.</t>
        </is>
      </c>
    </row>
    <row r="365">
      <c r="A365" s="80" t="inlineStr">
        <is>
          <t>X122</t>
        </is>
      </c>
      <c r="B365" s="80" t="inlineStr">
        <is>
          <t>Modern Chase PSA 10</t>
        </is>
      </c>
      <c r="C365" s="80" t="inlineStr">
        <is>
          <t>T5</t>
        </is>
      </c>
      <c r="D365" s="80" t="inlineStr">
        <is>
          <t>Fezandipiti ex SIR (raw)</t>
        </is>
      </c>
      <c r="E365" s="80" t="inlineStr">
        <is>
          <t>Shrouded Fable</t>
        </is>
      </c>
      <c r="F365" s="80" t="inlineStr">
        <is>
          <t>088/064</t>
        </is>
      </c>
      <c r="G365" s="80" t="inlineStr">
        <is>
          <t>Raw NM</t>
        </is>
      </c>
      <c r="H365" s="80" t="n">
        <v>16</v>
      </c>
      <c r="I365" s="123" t="n">
        <v>46154</v>
      </c>
      <c r="J365" s="80" t="n">
        <v>15.35</v>
      </c>
      <c r="K365" s="80" t="n">
        <v>14.16</v>
      </c>
      <c r="L365" s="80" t="n">
        <v>13.55</v>
      </c>
      <c r="M365" s="80">
        <f>IFERROR((H365-J365)/J365,0)</f>
        <v/>
      </c>
      <c r="N365" s="80">
        <f>IFERROR((H365-K365)/K365,0)</f>
        <v/>
      </c>
      <c r="O365" s="80">
        <f>IFERROR((H365-L365)/L365,0)</f>
        <v/>
      </c>
      <c r="P365" s="80" t="n">
        <v>11</v>
      </c>
      <c r="Q365" s="80" t="n">
        <v>36</v>
      </c>
      <c r="R365" s="80" t="inlineStr">
        <is>
          <t>1-2yr</t>
        </is>
      </c>
      <c r="S365" s="80" t="n">
        <v>3</v>
      </c>
      <c r="U365" s="80">
        <f>MAX(0,MIN(100,50+((M365*0.6)+(N365*0.4))*200))</f>
        <v/>
      </c>
      <c r="V365" s="80">
        <f>MAX(20,MIN(100,50+(P365-H365)/P365*100))</f>
        <v/>
      </c>
      <c r="W365" s="80">
        <f>IFERROR(MAX(0,MIN(100,100-LOG10(T365)*16)),60)</f>
        <v/>
      </c>
      <c r="X365" s="80">
        <f>IF(C365="T2",85,IF(C365="T4",70,IF(C365="T1",65,IF(C365="T3",55,45))))</f>
        <v/>
      </c>
      <c r="Y365" s="80">
        <f>U365*0.55+W365*0.20+V365*0.15+X365*0.10+ROW()/1000000</f>
        <v/>
      </c>
      <c r="Z365" s="80">
        <f>IF(Y365&gt;=75,"STRONG BUY",IF(Y365&gt;=60,"BUY",IF(Y365&gt;=40,"HOLD",IF(Y365&gt;=25,"TRIM","SELL"))))</f>
        <v/>
      </c>
      <c r="AA365" s="80" t="inlineStr">
        <is>
          <t>https://www.tcgplayer.com/product/586422</t>
        </is>
      </c>
      <c r="AB365" s="80" t="inlineStr">
        <is>
          <t>Loyal Three Fezandipiti SIR raw.</t>
        </is>
      </c>
    </row>
    <row r="366">
      <c r="A366" s="80" t="inlineStr">
        <is>
          <t>X123</t>
        </is>
      </c>
      <c r="B366" s="80" t="inlineStr">
        <is>
          <t>Modern Chase PSA 10</t>
        </is>
      </c>
      <c r="C366" s="80" t="inlineStr">
        <is>
          <t>T5</t>
        </is>
      </c>
      <c r="D366" s="80" t="inlineStr">
        <is>
          <t>Okidogi ex SIR (raw)</t>
        </is>
      </c>
      <c r="E366" s="80" t="inlineStr">
        <is>
          <t>Shrouded Fable</t>
        </is>
      </c>
      <c r="F366" s="80" t="inlineStr">
        <is>
          <t>089/064</t>
        </is>
      </c>
      <c r="G366" s="80" t="inlineStr">
        <is>
          <t>Raw NM</t>
        </is>
      </c>
      <c r="H366" s="80" t="n">
        <v>14</v>
      </c>
      <c r="I366" s="123" t="n">
        <v>46154</v>
      </c>
      <c r="J366" s="80" t="n">
        <v>13.47</v>
      </c>
      <c r="K366" s="80" t="n">
        <v>12.73</v>
      </c>
      <c r="L366" s="80" t="n">
        <v>12.24</v>
      </c>
      <c r="M366" s="80">
        <f>IFERROR((H366-J366)/J366,0)</f>
        <v/>
      </c>
      <c r="N366" s="80">
        <f>IFERROR((H366-K366)/K366,0)</f>
        <v/>
      </c>
      <c r="O366" s="80">
        <f>IFERROR((H366-L366)/L366,0)</f>
        <v/>
      </c>
      <c r="P366" s="80" t="n">
        <v>9</v>
      </c>
      <c r="Q366" s="80" t="n">
        <v>30</v>
      </c>
      <c r="R366" s="80" t="inlineStr">
        <is>
          <t>1-2yr</t>
        </is>
      </c>
      <c r="S366" s="80" t="n">
        <v>3</v>
      </c>
      <c r="U366" s="80">
        <f>MAX(0,MIN(100,50+((M366*0.6)+(N366*0.4))*200))</f>
        <v/>
      </c>
      <c r="V366" s="80">
        <f>MAX(20,MIN(100,50+(P366-H366)/P366*100))</f>
        <v/>
      </c>
      <c r="W366" s="80">
        <f>IFERROR(MAX(0,MIN(100,100-LOG10(T366)*16)),60)</f>
        <v/>
      </c>
      <c r="X366" s="80">
        <f>IF(C366="T2",85,IF(C366="T4",70,IF(C366="T1",65,IF(C366="T3",55,45))))</f>
        <v/>
      </c>
      <c r="Y366" s="80">
        <f>U366*0.55+W366*0.20+V366*0.15+X366*0.10+ROW()/1000000</f>
        <v/>
      </c>
      <c r="Z366" s="80">
        <f>IF(Y366&gt;=75,"STRONG BUY",IF(Y366&gt;=60,"BUY",IF(Y366&gt;=40,"HOLD",IF(Y366&gt;=25,"TRIM","SELL"))))</f>
        <v/>
      </c>
      <c r="AA366" s="80" t="inlineStr">
        <is>
          <t>https://www.tcgplayer.com/product/586423</t>
        </is>
      </c>
      <c r="AB366" s="80" t="inlineStr">
        <is>
          <t>Loyal Three Okidogi SIR raw.</t>
        </is>
      </c>
    </row>
    <row r="367">
      <c r="A367" s="80" t="inlineStr">
        <is>
          <t>X124</t>
        </is>
      </c>
      <c r="B367" s="80" t="inlineStr">
        <is>
          <t>Modern Chase PSA 10</t>
        </is>
      </c>
      <c r="C367" s="80" t="inlineStr">
        <is>
          <t>T5</t>
        </is>
      </c>
      <c r="D367" s="80" t="inlineStr">
        <is>
          <t>Lacey SIR (raw)</t>
        </is>
      </c>
      <c r="E367" s="80" t="inlineStr">
        <is>
          <t>Stellar Crown</t>
        </is>
      </c>
      <c r="F367" s="80" t="inlineStr">
        <is>
          <t>171/142</t>
        </is>
      </c>
      <c r="G367" s="80" t="inlineStr">
        <is>
          <t>Raw NM</t>
        </is>
      </c>
      <c r="H367" s="80" t="n">
        <v>15</v>
      </c>
      <c r="I367" s="123" t="n">
        <v>46154</v>
      </c>
      <c r="J367" s="80" t="n">
        <v>14.3</v>
      </c>
      <c r="K367" s="80" t="n">
        <v>13.16</v>
      </c>
      <c r="L367" s="80" t="n">
        <v>12.6</v>
      </c>
      <c r="M367" s="80">
        <f>IFERROR((H367-J367)/J367,0)</f>
        <v/>
      </c>
      <c r="N367" s="80">
        <f>IFERROR((H367-K367)/K367,0)</f>
        <v/>
      </c>
      <c r="O367" s="80">
        <f>IFERROR((H367-L367)/L367,0)</f>
        <v/>
      </c>
      <c r="P367" s="80" t="n">
        <v>10</v>
      </c>
      <c r="Q367" s="80" t="n">
        <v>35</v>
      </c>
      <c r="R367" s="80" t="inlineStr">
        <is>
          <t>1-2yr</t>
        </is>
      </c>
      <c r="S367" s="80" t="n">
        <v>3</v>
      </c>
      <c r="U367" s="80">
        <f>MAX(0,MIN(100,50+((M367*0.6)+(N367*0.4))*200))</f>
        <v/>
      </c>
      <c r="V367" s="80">
        <f>MAX(20,MIN(100,50+(P367-H367)/P367*100))</f>
        <v/>
      </c>
      <c r="W367" s="80">
        <f>IFERROR(MAX(0,MIN(100,100-LOG10(T367)*16)),60)</f>
        <v/>
      </c>
      <c r="X367" s="80">
        <f>IF(C367="T2",85,IF(C367="T4",70,IF(C367="T1",65,IF(C367="T3",55,45))))</f>
        <v/>
      </c>
      <c r="Y367" s="80">
        <f>U367*0.55+W367*0.20+V367*0.15+X367*0.10+ROW()/1000000</f>
        <v/>
      </c>
      <c r="Z367" s="80">
        <f>IF(Y367&gt;=75,"STRONG BUY",IF(Y367&gt;=60,"BUY",IF(Y367&gt;=40,"HOLD",IF(Y367&gt;=25,"TRIM","SELL"))))</f>
        <v/>
      </c>
      <c r="AA367" s="80" t="inlineStr">
        <is>
          <t>https://www.tcgplayer.com/product/598335</t>
        </is>
      </c>
      <c r="AB367" s="80" t="inlineStr">
        <is>
          <t>Lacey waifu trainer SIR raw.</t>
        </is>
      </c>
    </row>
    <row r="368">
      <c r="A368" s="80" t="inlineStr">
        <is>
          <t>X125</t>
        </is>
      </c>
      <c r="B368" s="80" t="inlineStr">
        <is>
          <t>Modern Chase PSA 10</t>
        </is>
      </c>
      <c r="C368" s="80" t="inlineStr">
        <is>
          <t>T5</t>
        </is>
      </c>
      <c r="D368" s="80" t="inlineStr">
        <is>
          <t>Terapagos ex SIR (raw)</t>
        </is>
      </c>
      <c r="E368" s="80" t="inlineStr">
        <is>
          <t>Stellar Crown</t>
        </is>
      </c>
      <c r="F368" s="80" t="inlineStr">
        <is>
          <t>176/142</t>
        </is>
      </c>
      <c r="G368" s="80" t="inlineStr">
        <is>
          <t>Raw NM</t>
        </is>
      </c>
      <c r="H368" s="80" t="n">
        <v>22</v>
      </c>
      <c r="I368" s="123" t="n">
        <v>46154</v>
      </c>
      <c r="J368" s="80" t="n">
        <v>21.21</v>
      </c>
      <c r="K368" s="80" t="n">
        <v>18.97</v>
      </c>
      <c r="L368" s="80" t="n">
        <v>18.03</v>
      </c>
      <c r="M368" s="80">
        <f>IFERROR((H368-J368)/J368,0)</f>
        <v/>
      </c>
      <c r="N368" s="80">
        <f>IFERROR((H368-K368)/K368,0)</f>
        <v/>
      </c>
      <c r="O368" s="80">
        <f>IFERROR((H368-L368)/L368,0)</f>
        <v/>
      </c>
      <c r="P368" s="80" t="n">
        <v>15</v>
      </c>
      <c r="Q368" s="80" t="n">
        <v>50</v>
      </c>
      <c r="R368" s="80" t="inlineStr">
        <is>
          <t>1-2yr</t>
        </is>
      </c>
      <c r="S368" s="80" t="n">
        <v>4</v>
      </c>
      <c r="U368" s="80">
        <f>MAX(0,MIN(100,50+((M368*0.6)+(N368*0.4))*200))</f>
        <v/>
      </c>
      <c r="V368" s="80">
        <f>MAX(20,MIN(100,50+(P368-H368)/P368*100))</f>
        <v/>
      </c>
      <c r="W368" s="80">
        <f>IFERROR(MAX(0,MIN(100,100-LOG10(T368)*16)),60)</f>
        <v/>
      </c>
      <c r="X368" s="80">
        <f>IF(C368="T2",85,IF(C368="T4",70,IF(C368="T1",65,IF(C368="T3",55,45))))</f>
        <v/>
      </c>
      <c r="Y368" s="80">
        <f>U368*0.55+W368*0.20+V368*0.15+X368*0.10+ROW()/1000000</f>
        <v/>
      </c>
      <c r="Z368" s="80">
        <f>IF(Y368&gt;=75,"STRONG BUY",IF(Y368&gt;=60,"BUY",IF(Y368&gt;=40,"HOLD",IF(Y368&gt;=25,"TRIM","SELL"))))</f>
        <v/>
      </c>
      <c r="AA368" s="80" t="inlineStr">
        <is>
          <t>https://www.tcgplayer.com/product/598340</t>
        </is>
      </c>
      <c r="AB368" s="80" t="inlineStr">
        <is>
          <t>SC mascot SIR raw.</t>
        </is>
      </c>
    </row>
    <row r="369">
      <c r="A369" s="80" t="inlineStr">
        <is>
          <t>X126</t>
        </is>
      </c>
      <c r="B369" s="80" t="inlineStr">
        <is>
          <t>Modern Chase PSA 10</t>
        </is>
      </c>
      <c r="C369" s="80" t="inlineStr">
        <is>
          <t>T5</t>
        </is>
      </c>
      <c r="D369" s="80" t="inlineStr">
        <is>
          <t>Briar SIR (raw)</t>
        </is>
      </c>
      <c r="E369" s="80" t="inlineStr">
        <is>
          <t>Stellar Crown</t>
        </is>
      </c>
      <c r="F369" s="80" t="inlineStr">
        <is>
          <t>169/142</t>
        </is>
      </c>
      <c r="G369" s="80" t="inlineStr">
        <is>
          <t>Raw NM</t>
        </is>
      </c>
      <c r="H369" s="80" t="n">
        <v>12</v>
      </c>
      <c r="I369" s="123" t="n">
        <v>46154</v>
      </c>
      <c r="J369" s="80" t="n">
        <v>11.59</v>
      </c>
      <c r="K369" s="80" t="n">
        <v>10.71</v>
      </c>
      <c r="L369" s="80" t="n">
        <v>10.32</v>
      </c>
      <c r="M369" s="80">
        <f>IFERROR((H369-J369)/J369,0)</f>
        <v/>
      </c>
      <c r="N369" s="80">
        <f>IFERROR((H369-K369)/K369,0)</f>
        <v/>
      </c>
      <c r="O369" s="80">
        <f>IFERROR((H369-L369)/L369,0)</f>
        <v/>
      </c>
      <c r="P369" s="80" t="n">
        <v>8</v>
      </c>
      <c r="Q369" s="80" t="n">
        <v>28</v>
      </c>
      <c r="R369" s="80" t="inlineStr">
        <is>
          <t>1-2yr</t>
        </is>
      </c>
      <c r="S369" s="80" t="n">
        <v>3</v>
      </c>
      <c r="U369" s="80">
        <f>MAX(0,MIN(100,50+((M369*0.6)+(N369*0.4))*200))</f>
        <v/>
      </c>
      <c r="V369" s="80">
        <f>MAX(20,MIN(100,50+(P369-H369)/P369*100))</f>
        <v/>
      </c>
      <c r="W369" s="80">
        <f>IFERROR(MAX(0,MIN(100,100-LOG10(T369)*16)),60)</f>
        <v/>
      </c>
      <c r="X369" s="80">
        <f>IF(C369="T2",85,IF(C369="T4",70,IF(C369="T1",65,IF(C369="T3",55,45))))</f>
        <v/>
      </c>
      <c r="Y369" s="80">
        <f>U369*0.55+W369*0.20+V369*0.15+X369*0.10+ROW()/1000000</f>
        <v/>
      </c>
      <c r="Z369" s="80">
        <f>IF(Y369&gt;=75,"STRONG BUY",IF(Y369&gt;=60,"BUY",IF(Y369&gt;=40,"HOLD",IF(Y369&gt;=25,"TRIM","SELL"))))</f>
        <v/>
      </c>
      <c r="AA369" s="80" t="inlineStr">
        <is>
          <t>https://www.tcgplayer.com/product/598334</t>
        </is>
      </c>
      <c r="AB369" s="80" t="inlineStr">
        <is>
          <t>Briar trainer raw.</t>
        </is>
      </c>
    </row>
    <row r="370">
      <c r="A370" s="80" t="inlineStr">
        <is>
          <t>X127</t>
        </is>
      </c>
      <c r="B370" s="80" t="inlineStr">
        <is>
          <t>Modern Chase PSA 10</t>
        </is>
      </c>
      <c r="C370" s="80" t="inlineStr">
        <is>
          <t>T5</t>
        </is>
      </c>
      <c r="D370" s="80" t="inlineStr">
        <is>
          <t>Hydrapple ex SIR (raw)</t>
        </is>
      </c>
      <c r="E370" s="80" t="inlineStr">
        <is>
          <t>Stellar Crown</t>
        </is>
      </c>
      <c r="F370" s="80" t="inlineStr">
        <is>
          <t>175/142</t>
        </is>
      </c>
      <c r="G370" s="80" t="inlineStr">
        <is>
          <t>Raw NM</t>
        </is>
      </c>
      <c r="H370" s="80" t="n">
        <v>16</v>
      </c>
      <c r="I370" s="123" t="n">
        <v>46154</v>
      </c>
      <c r="J370" s="80" t="n">
        <v>15.37</v>
      </c>
      <c r="K370" s="80" t="n">
        <v>14.16</v>
      </c>
      <c r="L370" s="80" t="n">
        <v>12.82</v>
      </c>
      <c r="M370" s="80">
        <f>IFERROR((H370-J370)/J370,0)</f>
        <v/>
      </c>
      <c r="N370" s="80">
        <f>IFERROR((H370-K370)/K370,0)</f>
        <v/>
      </c>
      <c r="O370" s="80">
        <f>IFERROR((H370-L370)/L370,0)</f>
        <v/>
      </c>
      <c r="P370" s="80" t="n">
        <v>11</v>
      </c>
      <c r="Q370" s="80" t="n">
        <v>36</v>
      </c>
      <c r="R370" s="80" t="inlineStr">
        <is>
          <t>1-2yr</t>
        </is>
      </c>
      <c r="S370" s="80" t="n">
        <v>3</v>
      </c>
      <c r="U370" s="80">
        <f>MAX(0,MIN(100,50+((M370*0.6)+(N370*0.4))*200))</f>
        <v/>
      </c>
      <c r="V370" s="80">
        <f>MAX(20,MIN(100,50+(P370-H370)/P370*100))</f>
        <v/>
      </c>
      <c r="W370" s="80">
        <f>IFERROR(MAX(0,MIN(100,100-LOG10(T370)*16)),60)</f>
        <v/>
      </c>
      <c r="X370" s="80">
        <f>IF(C370="T2",85,IF(C370="T4",70,IF(C370="T1",65,IF(C370="T3",55,45))))</f>
        <v/>
      </c>
      <c r="Y370" s="80">
        <f>U370*0.55+W370*0.20+V370*0.15+X370*0.10+ROW()/1000000</f>
        <v/>
      </c>
      <c r="Z370" s="80">
        <f>IF(Y370&gt;=75,"STRONG BUY",IF(Y370&gt;=60,"BUY",IF(Y370&gt;=40,"HOLD",IF(Y370&gt;=25,"TRIM","SELL"))))</f>
        <v/>
      </c>
      <c r="AA370" s="80" t="inlineStr">
        <is>
          <t>https://www.tcgplayer.com/product/598340</t>
        </is>
      </c>
      <c r="AB370" s="80" t="inlineStr">
        <is>
          <t>New mascot Hydrapple.</t>
        </is>
      </c>
    </row>
    <row r="371">
      <c r="A371" s="80" t="inlineStr">
        <is>
          <t>X128</t>
        </is>
      </c>
      <c r="B371" s="80" t="inlineStr">
        <is>
          <t>Modern Chase PSA 10</t>
        </is>
      </c>
      <c r="C371" s="80" t="inlineStr">
        <is>
          <t>T5</t>
        </is>
      </c>
      <c r="D371" s="80" t="inlineStr">
        <is>
          <t>Mega Charizard Y Common (raw)</t>
        </is>
      </c>
      <c r="E371" s="80" t="inlineStr">
        <is>
          <t>ME01</t>
        </is>
      </c>
      <c r="F371" s="80" t="inlineStr">
        <is>
          <t>012/132</t>
        </is>
      </c>
      <c r="G371" s="80" t="inlineStr">
        <is>
          <t>Raw NM</t>
        </is>
      </c>
      <c r="H371" s="80" t="n">
        <v>5</v>
      </c>
      <c r="I371" s="123" t="n">
        <v>46154</v>
      </c>
      <c r="J371" s="80" t="n">
        <v>4.87</v>
      </c>
      <c r="K371" s="80" t="n">
        <v>4.46</v>
      </c>
      <c r="L371" s="80" t="n">
        <v>4.16</v>
      </c>
      <c r="M371" s="80">
        <f>IFERROR((H371-J371)/J371,0)</f>
        <v/>
      </c>
      <c r="N371" s="80">
        <f>IFERROR((H371-K371)/K371,0)</f>
        <v/>
      </c>
      <c r="O371" s="80">
        <f>IFERROR((H371-L371)/L371,0)</f>
        <v/>
      </c>
      <c r="P371" s="80" t="n">
        <v>3</v>
      </c>
      <c r="Q371" s="80" t="n">
        <v>14</v>
      </c>
      <c r="R371" s="80" t="inlineStr">
        <is>
          <t>1-2yr</t>
        </is>
      </c>
      <c r="S371" s="80" t="n">
        <v>3</v>
      </c>
      <c r="U371" s="80">
        <f>MAX(0,MIN(100,50+((M371*0.6)+(N371*0.4))*200))</f>
        <v/>
      </c>
      <c r="V371" s="80">
        <f>MAX(20,MIN(100,50+(P371-H371)/P371*100))</f>
        <v/>
      </c>
      <c r="W371" s="80">
        <f>IFERROR(MAX(0,MIN(100,100-LOG10(T371)*16)),60)</f>
        <v/>
      </c>
      <c r="X371" s="80">
        <f>IF(C371="T2",85,IF(C371="T4",70,IF(C371="T1",65,IF(C371="T3",55,45))))</f>
        <v/>
      </c>
      <c r="Y371" s="80">
        <f>U371*0.55+W371*0.20+V371*0.15+X371*0.10+ROW()/1000000</f>
        <v/>
      </c>
      <c r="Z371" s="80">
        <f>IF(Y371&gt;=75,"STRONG BUY",IF(Y371&gt;=60,"BUY",IF(Y371&gt;=40,"HOLD",IF(Y371&gt;=25,"TRIM","SELL"))))</f>
        <v/>
      </c>
      <c r="AA371" s="80" t="inlineStr">
        <is>
          <t>https://www.tcgplayer.com/product/654375</t>
        </is>
      </c>
      <c r="AB371" s="80" t="inlineStr">
        <is>
          <t>M Char Y base art volume play.</t>
        </is>
      </c>
    </row>
    <row r="372">
      <c r="A372" s="80" t="inlineStr">
        <is>
          <t>X129</t>
        </is>
      </c>
      <c r="B372" s="80" t="inlineStr">
        <is>
          <t>Modern Chase PSA 10</t>
        </is>
      </c>
      <c r="C372" s="80" t="inlineStr">
        <is>
          <t>T5</t>
        </is>
      </c>
      <c r="D372" s="80" t="inlineStr">
        <is>
          <t>Mega Charizard X Common (raw)</t>
        </is>
      </c>
      <c r="E372" s="80" t="inlineStr">
        <is>
          <t>ME01</t>
        </is>
      </c>
      <c r="F372" s="80" t="inlineStr">
        <is>
          <t>011/132</t>
        </is>
      </c>
      <c r="G372" s="80" t="inlineStr">
        <is>
          <t>Raw NM</t>
        </is>
      </c>
      <c r="H372" s="80" t="n">
        <v>5</v>
      </c>
      <c r="I372" s="123" t="n">
        <v>46154</v>
      </c>
      <c r="J372" s="80" t="n">
        <v>4.8</v>
      </c>
      <c r="K372" s="80" t="n">
        <v>4.46</v>
      </c>
      <c r="L372" s="80" t="n">
        <v>4.11</v>
      </c>
      <c r="M372" s="80">
        <f>IFERROR((H372-J372)/J372,0)</f>
        <v/>
      </c>
      <c r="N372" s="80">
        <f>IFERROR((H372-K372)/K372,0)</f>
        <v/>
      </c>
      <c r="O372" s="80">
        <f>IFERROR((H372-L372)/L372,0)</f>
        <v/>
      </c>
      <c r="P372" s="80" t="n">
        <v>3</v>
      </c>
      <c r="Q372" s="80" t="n">
        <v>14</v>
      </c>
      <c r="R372" s="80" t="inlineStr">
        <is>
          <t>1-2yr</t>
        </is>
      </c>
      <c r="S372" s="80" t="n">
        <v>3</v>
      </c>
      <c r="U372" s="80">
        <f>MAX(0,MIN(100,50+((M372*0.6)+(N372*0.4))*200))</f>
        <v/>
      </c>
      <c r="V372" s="80">
        <f>MAX(20,MIN(100,50+(P372-H372)/P372*100))</f>
        <v/>
      </c>
      <c r="W372" s="80">
        <f>IFERROR(MAX(0,MIN(100,100-LOG10(T372)*16)),60)</f>
        <v/>
      </c>
      <c r="X372" s="80">
        <f>IF(C372="T2",85,IF(C372="T4",70,IF(C372="T1",65,IF(C372="T3",55,45))))</f>
        <v/>
      </c>
      <c r="Y372" s="80">
        <f>U372*0.55+W372*0.20+V372*0.15+X372*0.10+ROW()/1000000</f>
        <v/>
      </c>
      <c r="Z372" s="80">
        <f>IF(Y372&gt;=75,"STRONG BUY",IF(Y372&gt;=60,"BUY",IF(Y372&gt;=40,"HOLD",IF(Y372&gt;=25,"TRIM","SELL"))))</f>
        <v/>
      </c>
      <c r="AA372" s="80" t="inlineStr">
        <is>
          <t>https://www.tcgplayer.com/product/654374</t>
        </is>
      </c>
      <c r="AB372" s="80" t="inlineStr">
        <is>
          <t>M Char X base art.</t>
        </is>
      </c>
    </row>
    <row r="373">
      <c r="A373" s="80" t="inlineStr">
        <is>
          <t>X130</t>
        </is>
      </c>
      <c r="B373" s="80" t="inlineStr">
        <is>
          <t>Modern Chase PSA 10</t>
        </is>
      </c>
      <c r="C373" s="80" t="inlineStr">
        <is>
          <t>T5</t>
        </is>
      </c>
      <c r="D373" s="80" t="inlineStr">
        <is>
          <t>Mega Gengar ex MAR (Ascended)</t>
        </is>
      </c>
      <c r="E373" s="80" t="inlineStr">
        <is>
          <t>Ascended Heroes</t>
        </is>
      </c>
      <c r="F373" s="80" t="inlineStr">
        <is>
          <t>269/217</t>
        </is>
      </c>
      <c r="G373" s="80" t="inlineStr">
        <is>
          <t>Raw NM</t>
        </is>
      </c>
      <c r="H373" s="80" t="n">
        <v>25</v>
      </c>
      <c r="I373" s="123" t="n">
        <v>46154</v>
      </c>
      <c r="J373" s="80" t="n">
        <v>23.5</v>
      </c>
      <c r="K373" s="80" t="n">
        <v>20.83</v>
      </c>
      <c r="L373" s="80" t="n">
        <v>19.78</v>
      </c>
      <c r="M373" s="80">
        <f>IFERROR((H373-J373)/J373,0)</f>
        <v/>
      </c>
      <c r="N373" s="80">
        <f>IFERROR((H373-K373)/K373,0)</f>
        <v/>
      </c>
      <c r="O373" s="80">
        <f>IFERROR((H373-L373)/L373,0)</f>
        <v/>
      </c>
      <c r="P373" s="80" t="n">
        <v>18</v>
      </c>
      <c r="Q373" s="80" t="n">
        <v>55</v>
      </c>
      <c r="R373" s="80" t="inlineStr">
        <is>
          <t>1-2yr</t>
        </is>
      </c>
      <c r="S373" s="80" t="n">
        <v>4</v>
      </c>
      <c r="U373" s="80">
        <f>MAX(0,MIN(100,50+((M373*0.6)+(N373*0.4))*200))</f>
        <v/>
      </c>
      <c r="V373" s="80">
        <f>MAX(20,MIN(100,50+(P373-H373)/P373*100))</f>
        <v/>
      </c>
      <c r="W373" s="80">
        <f>IFERROR(MAX(0,MIN(100,100-LOG10(T373)*16)),60)</f>
        <v/>
      </c>
      <c r="X373" s="80">
        <f>IF(C373="T2",85,IF(C373="T4",70,IF(C373="T1",65,IF(C373="T3",55,45))))</f>
        <v/>
      </c>
      <c r="Y373" s="80">
        <f>U373*0.55+W373*0.20+V373*0.15+X373*0.10+ROW()/1000000</f>
        <v/>
      </c>
      <c r="Z373" s="80">
        <f>IF(Y373&gt;=75,"STRONG BUY",IF(Y373&gt;=60,"BUY",IF(Y373&gt;=40,"HOLD",IF(Y373&gt;=25,"TRIM","SELL"))))</f>
        <v/>
      </c>
      <c r="AA373" s="80" t="inlineStr">
        <is>
          <t>https://www.tcgplayer.com/product/676081</t>
        </is>
      </c>
      <c r="AB373" s="80" t="inlineStr">
        <is>
          <t>Mega Gengar Master Art Rare raw — buy and grade.</t>
        </is>
      </c>
    </row>
    <row r="374">
      <c r="A374" s="80" t="inlineStr">
        <is>
          <t>X131</t>
        </is>
      </c>
      <c r="B374" s="80" t="inlineStr">
        <is>
          <t>Modern Chase PSA 10</t>
        </is>
      </c>
      <c r="C374" s="80" t="inlineStr">
        <is>
          <t>T5</t>
        </is>
      </c>
      <c r="D374" s="80" t="inlineStr">
        <is>
          <t>Mega Rayquaza ex SIR (raw)</t>
        </is>
      </c>
      <c r="E374" s="80" t="inlineStr">
        <is>
          <t>Ascended Heroes</t>
        </is>
      </c>
      <c r="F374" s="80" t="inlineStr">
        <is>
          <t>286/217</t>
        </is>
      </c>
      <c r="G374" s="80" t="inlineStr">
        <is>
          <t>Raw NM</t>
        </is>
      </c>
      <c r="H374" s="80" t="n">
        <v>22</v>
      </c>
      <c r="I374" s="123" t="n">
        <v>46154</v>
      </c>
      <c r="J374" s="80" t="n">
        <v>21.33</v>
      </c>
      <c r="K374" s="80" t="n">
        <v>18.64</v>
      </c>
      <c r="L374" s="80" t="n">
        <v>17.32</v>
      </c>
      <c r="M374" s="80">
        <f>IFERROR((H374-J374)/J374,0)</f>
        <v/>
      </c>
      <c r="N374" s="80">
        <f>IFERROR((H374-K374)/K374,0)</f>
        <v/>
      </c>
      <c r="O374" s="80">
        <f>IFERROR((H374-L374)/L374,0)</f>
        <v/>
      </c>
      <c r="P374" s="80" t="n">
        <v>15</v>
      </c>
      <c r="Q374" s="80" t="n">
        <v>48</v>
      </c>
      <c r="R374" s="80" t="inlineStr">
        <is>
          <t>1-2yr</t>
        </is>
      </c>
      <c r="S374" s="80" t="n">
        <v>4</v>
      </c>
      <c r="U374" s="80">
        <f>MAX(0,MIN(100,50+((M374*0.6)+(N374*0.4))*200))</f>
        <v/>
      </c>
      <c r="V374" s="80">
        <f>MAX(20,MIN(100,50+(P374-H374)/P374*100))</f>
        <v/>
      </c>
      <c r="W374" s="80">
        <f>IFERROR(MAX(0,MIN(100,100-LOG10(T374)*16)),60)</f>
        <v/>
      </c>
      <c r="X374" s="80">
        <f>IF(C374="T2",85,IF(C374="T4",70,IF(C374="T1",65,IF(C374="T3",55,45))))</f>
        <v/>
      </c>
      <c r="Y374" s="80">
        <f>U374*0.55+W374*0.20+V374*0.15+X374*0.10+ROW()/1000000</f>
        <v/>
      </c>
      <c r="Z374" s="80">
        <f>IF(Y374&gt;=75,"STRONG BUY",IF(Y374&gt;=60,"BUY",IF(Y374&gt;=40,"HOLD",IF(Y374&gt;=25,"TRIM","SELL"))))</f>
        <v/>
      </c>
      <c r="AA374" s="80" t="inlineStr">
        <is>
          <t>https://www.tcgplayer.com/product/676098</t>
        </is>
      </c>
      <c r="AB374" s="80" t="inlineStr">
        <is>
          <t>M Ray raw — submit for grade.</t>
        </is>
      </c>
    </row>
    <row r="375">
      <c r="A375" s="80" t="inlineStr">
        <is>
          <t>X132</t>
        </is>
      </c>
      <c r="B375" s="80" t="inlineStr">
        <is>
          <t>Modern Chase PSA 10</t>
        </is>
      </c>
      <c r="C375" s="80" t="inlineStr">
        <is>
          <t>T5</t>
        </is>
      </c>
      <c r="D375" s="80" t="inlineStr">
        <is>
          <t>Mega Lucario ex SIR (raw)</t>
        </is>
      </c>
      <c r="E375" s="80" t="inlineStr">
        <is>
          <t>Ascended Heroes</t>
        </is>
      </c>
      <c r="F375" s="80" t="inlineStr">
        <is>
          <t>285/217</t>
        </is>
      </c>
      <c r="G375" s="80" t="inlineStr">
        <is>
          <t>Raw NM</t>
        </is>
      </c>
      <c r="H375" s="80" t="n">
        <v>14</v>
      </c>
      <c r="I375" s="123" t="n">
        <v>46154</v>
      </c>
      <c r="J375" s="80" t="n">
        <v>13.5</v>
      </c>
      <c r="K375" s="80" t="n">
        <v>12.17</v>
      </c>
      <c r="L375" s="80" t="n">
        <v>11.26</v>
      </c>
      <c r="M375" s="80">
        <f>IFERROR((H375-J375)/J375,0)</f>
        <v/>
      </c>
      <c r="N375" s="80">
        <f>IFERROR((H375-K375)/K375,0)</f>
        <v/>
      </c>
      <c r="O375" s="80">
        <f>IFERROR((H375-L375)/L375,0)</f>
        <v/>
      </c>
      <c r="P375" s="80" t="n">
        <v>10</v>
      </c>
      <c r="Q375" s="80" t="n">
        <v>30</v>
      </c>
      <c r="R375" s="80" t="inlineStr">
        <is>
          <t>1-2yr</t>
        </is>
      </c>
      <c r="S375" s="80" t="n">
        <v>3</v>
      </c>
      <c r="U375" s="80">
        <f>MAX(0,MIN(100,50+((M375*0.6)+(N375*0.4))*200))</f>
        <v/>
      </c>
      <c r="V375" s="80">
        <f>MAX(20,MIN(100,50+(P375-H375)/P375*100))</f>
        <v/>
      </c>
      <c r="W375" s="80">
        <f>IFERROR(MAX(0,MIN(100,100-LOG10(T375)*16)),60)</f>
        <v/>
      </c>
      <c r="X375" s="80">
        <f>IF(C375="T2",85,IF(C375="T4",70,IF(C375="T1",65,IF(C375="T3",55,45))))</f>
        <v/>
      </c>
      <c r="Y375" s="80">
        <f>U375*0.55+W375*0.20+V375*0.15+X375*0.10+ROW()/1000000</f>
        <v/>
      </c>
      <c r="Z375" s="80">
        <f>IF(Y375&gt;=75,"STRONG BUY",IF(Y375&gt;=60,"BUY",IF(Y375&gt;=40,"HOLD",IF(Y375&gt;=25,"TRIM","SELL"))))</f>
        <v/>
      </c>
      <c r="AA375" s="80" t="inlineStr">
        <is>
          <t>https://www.tcgplayer.com/product/676097</t>
        </is>
      </c>
      <c r="AB375" s="80" t="inlineStr">
        <is>
          <t>M Lucario raw.</t>
        </is>
      </c>
    </row>
    <row r="376">
      <c r="A376" s="80" t="inlineStr">
        <is>
          <t>X133</t>
        </is>
      </c>
      <c r="B376" s="80" t="inlineStr">
        <is>
          <t>Modern Chase PSA 10</t>
        </is>
      </c>
      <c r="C376" s="80" t="inlineStr">
        <is>
          <t>T5</t>
        </is>
      </c>
      <c r="D376" s="80" t="inlineStr">
        <is>
          <t>Mega Lopunny ex SIR (raw)</t>
        </is>
      </c>
      <c r="E376" s="80" t="inlineStr">
        <is>
          <t>Ascended Heroes</t>
        </is>
      </c>
      <c r="F376" s="80" t="inlineStr">
        <is>
          <t>283/217</t>
        </is>
      </c>
      <c r="G376" s="80" t="inlineStr">
        <is>
          <t>Raw NM</t>
        </is>
      </c>
      <c r="H376" s="80" t="n">
        <v>9</v>
      </c>
      <c r="I376" s="123" t="n">
        <v>46154</v>
      </c>
      <c r="J376" s="80" t="n">
        <v>8.82</v>
      </c>
      <c r="K376" s="80" t="n">
        <v>8.039999999999999</v>
      </c>
      <c r="L376" s="80" t="n">
        <v>7.38</v>
      </c>
      <c r="M376" s="80">
        <f>IFERROR((H376-J376)/J376,0)</f>
        <v/>
      </c>
      <c r="N376" s="80">
        <f>IFERROR((H376-K376)/K376,0)</f>
        <v/>
      </c>
      <c r="O376" s="80">
        <f>IFERROR((H376-L376)/L376,0)</f>
        <v/>
      </c>
      <c r="P376" s="80" t="n">
        <v>6</v>
      </c>
      <c r="Q376" s="80" t="n">
        <v>22</v>
      </c>
      <c r="R376" s="80" t="inlineStr">
        <is>
          <t>1-2yr</t>
        </is>
      </c>
      <c r="S376" s="80" t="n">
        <v>3</v>
      </c>
      <c r="U376" s="80">
        <f>MAX(0,MIN(100,50+((M376*0.6)+(N376*0.4))*200))</f>
        <v/>
      </c>
      <c r="V376" s="80">
        <f>MAX(20,MIN(100,50+(P376-H376)/P376*100))</f>
        <v/>
      </c>
      <c r="W376" s="80">
        <f>IFERROR(MAX(0,MIN(100,100-LOG10(T376)*16)),60)</f>
        <v/>
      </c>
      <c r="X376" s="80">
        <f>IF(C376="T2",85,IF(C376="T4",70,IF(C376="T1",65,IF(C376="T3",55,45))))</f>
        <v/>
      </c>
      <c r="Y376" s="80">
        <f>U376*0.55+W376*0.20+V376*0.15+X376*0.10+ROW()/1000000</f>
        <v/>
      </c>
      <c r="Z376" s="80">
        <f>IF(Y376&gt;=75,"STRONG BUY",IF(Y376&gt;=60,"BUY",IF(Y376&gt;=40,"HOLD",IF(Y376&gt;=25,"TRIM","SELL"))))</f>
        <v/>
      </c>
      <c r="AA376" s="80" t="inlineStr">
        <is>
          <t>https://www.tcgplayer.com/product/676095</t>
        </is>
      </c>
      <c r="AB376" s="80" t="inlineStr">
        <is>
          <t>M Lopunny raw.</t>
        </is>
      </c>
    </row>
    <row r="377">
      <c r="A377" s="80" t="inlineStr">
        <is>
          <t>X134</t>
        </is>
      </c>
      <c r="B377" s="80" t="inlineStr">
        <is>
          <t>Modern Chase PSA 10</t>
        </is>
      </c>
      <c r="C377" s="80" t="inlineStr">
        <is>
          <t>T5</t>
        </is>
      </c>
      <c r="D377" s="80" t="inlineStr">
        <is>
          <t>Charizard ex SIR raw (OF)</t>
        </is>
      </c>
      <c r="E377" s="80" t="inlineStr">
        <is>
          <t>Obsidian Flames</t>
        </is>
      </c>
      <c r="F377" s="80" t="inlineStr">
        <is>
          <t>228/197</t>
        </is>
      </c>
      <c r="G377" s="80" t="inlineStr">
        <is>
          <t>Raw NM</t>
        </is>
      </c>
      <c r="H377" s="80" t="n">
        <v>45</v>
      </c>
      <c r="I377" s="123" t="n">
        <v>46154</v>
      </c>
      <c r="J377" s="80" t="n">
        <v>42.38</v>
      </c>
      <c r="K377" s="80" t="n">
        <v>37.5</v>
      </c>
      <c r="L377" s="80" t="n">
        <v>36.65</v>
      </c>
      <c r="M377" s="80">
        <f>IFERROR((H377-J377)/J377,0)</f>
        <v/>
      </c>
      <c r="N377" s="80">
        <f>IFERROR((H377-K377)/K377,0)</f>
        <v/>
      </c>
      <c r="O377" s="80">
        <f>IFERROR((H377-L377)/L377,0)</f>
        <v/>
      </c>
      <c r="P377" s="80" t="n">
        <v>32</v>
      </c>
      <c r="Q377" s="80" t="n">
        <v>95</v>
      </c>
      <c r="R377" s="80" t="inlineStr">
        <is>
          <t>1-2yr</t>
        </is>
      </c>
      <c r="S377" s="80" t="n">
        <v>4</v>
      </c>
      <c r="U377" s="80">
        <f>MAX(0,MIN(100,50+((M377*0.6)+(N377*0.4))*200))</f>
        <v/>
      </c>
      <c r="V377" s="80">
        <f>MAX(20,MIN(100,50+(P377-H377)/P377*100))</f>
        <v/>
      </c>
      <c r="W377" s="80">
        <f>IFERROR(MAX(0,MIN(100,100-LOG10(T377)*16)),60)</f>
        <v/>
      </c>
      <c r="X377" s="80">
        <f>IF(C377="T2",85,IF(C377="T4",70,IF(C377="T1",65,IF(C377="T3",55,45))))</f>
        <v/>
      </c>
      <c r="Y377" s="80">
        <f>U377*0.55+W377*0.20+V377*0.15+X377*0.10+ROW()/1000000</f>
        <v/>
      </c>
      <c r="Z377" s="80">
        <f>IF(Y377&gt;=75,"STRONG BUY",IF(Y377&gt;=60,"BUY",IF(Y377&gt;=40,"HOLD",IF(Y377&gt;=25,"TRIM","SELL"))))</f>
        <v/>
      </c>
      <c r="AA377" s="80" t="inlineStr">
        <is>
          <t>https://www.tcgplayer.com/product/521988</t>
        </is>
      </c>
      <c r="AB377" s="80" t="inlineStr">
        <is>
          <t>OF Char ex SIR raw. Top grade target.</t>
        </is>
      </c>
    </row>
    <row r="378">
      <c r="A378" s="80" t="inlineStr">
        <is>
          <t>X135</t>
        </is>
      </c>
      <c r="B378" s="80" t="inlineStr">
        <is>
          <t>Modern Chase PSA 10</t>
        </is>
      </c>
      <c r="C378" s="80" t="inlineStr">
        <is>
          <t>T5</t>
        </is>
      </c>
      <c r="D378" s="80" t="inlineStr">
        <is>
          <t>Tyranitar ex SIR raw (OF)</t>
        </is>
      </c>
      <c r="E378" s="80" t="inlineStr">
        <is>
          <t>Obsidian Flames</t>
        </is>
      </c>
      <c r="F378" s="80" t="inlineStr">
        <is>
          <t>230/197</t>
        </is>
      </c>
      <c r="G378" s="80" t="inlineStr">
        <is>
          <t>Raw NM</t>
        </is>
      </c>
      <c r="H378" s="80" t="n">
        <v>22</v>
      </c>
      <c r="I378" s="123" t="n">
        <v>46154</v>
      </c>
      <c r="J378" s="80" t="n">
        <v>21.22</v>
      </c>
      <c r="K378" s="80" t="n">
        <v>19.64</v>
      </c>
      <c r="L378" s="80" t="n">
        <v>18.83</v>
      </c>
      <c r="M378" s="80">
        <f>IFERROR((H378-J378)/J378,0)</f>
        <v/>
      </c>
      <c r="N378" s="80">
        <f>IFERROR((H378-K378)/K378,0)</f>
        <v/>
      </c>
      <c r="O378" s="80">
        <f>IFERROR((H378-L378)/L378,0)</f>
        <v/>
      </c>
      <c r="P378" s="80" t="n">
        <v>15</v>
      </c>
      <c r="Q378" s="80" t="n">
        <v>48</v>
      </c>
      <c r="R378" s="80" t="inlineStr">
        <is>
          <t>1-2yr</t>
        </is>
      </c>
      <c r="S378" s="80" t="n">
        <v>3</v>
      </c>
      <c r="U378" s="80">
        <f>MAX(0,MIN(100,50+((M378*0.6)+(N378*0.4))*200))</f>
        <v/>
      </c>
      <c r="V378" s="80">
        <f>MAX(20,MIN(100,50+(P378-H378)/P378*100))</f>
        <v/>
      </c>
      <c r="W378" s="80">
        <f>IFERROR(MAX(0,MIN(100,100-LOG10(T378)*16)),60)</f>
        <v/>
      </c>
      <c r="X378" s="80">
        <f>IF(C378="T2",85,IF(C378="T4",70,IF(C378="T1",65,IF(C378="T3",55,45))))</f>
        <v/>
      </c>
      <c r="Y378" s="80">
        <f>U378*0.55+W378*0.20+V378*0.15+X378*0.10+ROW()/1000000</f>
        <v/>
      </c>
      <c r="Z378" s="80">
        <f>IF(Y378&gt;=75,"STRONG BUY",IF(Y378&gt;=60,"BUY",IF(Y378&gt;=40,"HOLD",IF(Y378&gt;=25,"TRIM","SELL"))))</f>
        <v/>
      </c>
      <c r="AA378" s="80" t="inlineStr">
        <is>
          <t>https://www.tcgplayer.com/product/521990</t>
        </is>
      </c>
      <c r="AB378" s="80" t="inlineStr">
        <is>
          <t>Tyranitar SIR raw.</t>
        </is>
      </c>
    </row>
    <row r="379">
      <c r="A379" s="80" t="inlineStr">
        <is>
          <t>X136</t>
        </is>
      </c>
      <c r="B379" s="80" t="inlineStr">
        <is>
          <t>Modern Chase PSA 10</t>
        </is>
      </c>
      <c r="C379" s="80" t="inlineStr">
        <is>
          <t>T5</t>
        </is>
      </c>
      <c r="D379" s="80" t="inlineStr">
        <is>
          <t>Iono SIR raw (PE)</t>
        </is>
      </c>
      <c r="E379" s="80" t="inlineStr">
        <is>
          <t>Paldea Evolved</t>
        </is>
      </c>
      <c r="F379" s="80" t="inlineStr">
        <is>
          <t>269/193</t>
        </is>
      </c>
      <c r="G379" s="80" t="inlineStr">
        <is>
          <t>Raw NM</t>
        </is>
      </c>
      <c r="H379" s="80" t="n">
        <v>90</v>
      </c>
      <c r="I379" s="123" t="n">
        <v>46154</v>
      </c>
      <c r="J379" s="80" t="n">
        <v>86.97</v>
      </c>
      <c r="K379" s="80" t="n">
        <v>81.81999999999999</v>
      </c>
      <c r="L379" s="80" t="n">
        <v>74.01000000000001</v>
      </c>
      <c r="M379" s="80">
        <f>IFERROR((H379-J379)/J379,0)</f>
        <v/>
      </c>
      <c r="N379" s="80">
        <f>IFERROR((H379-K379)/K379,0)</f>
        <v/>
      </c>
      <c r="O379" s="80">
        <f>IFERROR((H379-L379)/L379,0)</f>
        <v/>
      </c>
      <c r="P379" s="80" t="n">
        <v>65</v>
      </c>
      <c r="Q379" s="80" t="n">
        <v>180</v>
      </c>
      <c r="R379" s="80" t="inlineStr">
        <is>
          <t>1-2yr</t>
        </is>
      </c>
      <c r="S379" s="80" t="n">
        <v>4</v>
      </c>
      <c r="U379" s="80">
        <f>MAX(0,MIN(100,50+((M379*0.6)+(N379*0.4))*200))</f>
        <v/>
      </c>
      <c r="V379" s="80">
        <f>MAX(20,MIN(100,50+(P379-H379)/P379*100))</f>
        <v/>
      </c>
      <c r="W379" s="80">
        <f>IFERROR(MAX(0,MIN(100,100-LOG10(T379)*16)),60)</f>
        <v/>
      </c>
      <c r="X379" s="80">
        <f>IF(C379="T2",85,IF(C379="T4",70,IF(C379="T1",65,IF(C379="T3",55,45))))</f>
        <v/>
      </c>
      <c r="Y379" s="80">
        <f>U379*0.55+W379*0.20+V379*0.15+X379*0.10+ROW()/1000000</f>
        <v/>
      </c>
      <c r="Z379" s="80">
        <f>IF(Y379&gt;=75,"STRONG BUY",IF(Y379&gt;=60,"BUY",IF(Y379&gt;=40,"HOLD",IF(Y379&gt;=25,"TRIM","SELL"))))</f>
        <v/>
      </c>
      <c r="AA379" s="80" t="inlineStr">
        <is>
          <t>https://www.pricecharting.com/game/pokemon-paldea-evolved/iono-237</t>
        </is>
      </c>
      <c r="AB379" s="80" t="inlineStr">
        <is>
          <t>Iono SIR raw. Submit centered.</t>
        </is>
      </c>
    </row>
    <row r="380">
      <c r="A380" s="80" t="inlineStr">
        <is>
          <t>X137</t>
        </is>
      </c>
      <c r="B380" s="80" t="inlineStr">
        <is>
          <t>Modern Chase PSA 10</t>
        </is>
      </c>
      <c r="C380" s="80" t="inlineStr">
        <is>
          <t>T5</t>
        </is>
      </c>
      <c r="D380" s="80" t="inlineStr">
        <is>
          <t>Marnie SIR raw (JT)</t>
        </is>
      </c>
      <c r="E380" s="80" t="inlineStr">
        <is>
          <t>Journey Together</t>
        </is>
      </c>
      <c r="F380" s="80" t="inlineStr">
        <is>
          <t>180/159</t>
        </is>
      </c>
      <c r="G380" s="80" t="inlineStr">
        <is>
          <t>Raw NM</t>
        </is>
      </c>
      <c r="H380" s="80" t="n">
        <v>35</v>
      </c>
      <c r="I380" s="123" t="n">
        <v>46154</v>
      </c>
      <c r="J380" s="80" t="n">
        <v>34.08</v>
      </c>
      <c r="K380" s="80" t="n">
        <v>30.43</v>
      </c>
      <c r="L380" s="80" t="n">
        <v>29.06</v>
      </c>
      <c r="M380" s="80">
        <f>IFERROR((H380-J380)/J380,0)</f>
        <v/>
      </c>
      <c r="N380" s="80">
        <f>IFERROR((H380-K380)/K380,0)</f>
        <v/>
      </c>
      <c r="O380" s="80">
        <f>IFERROR((H380-L380)/L380,0)</f>
        <v/>
      </c>
      <c r="P380" s="80" t="n">
        <v>25</v>
      </c>
      <c r="Q380" s="80" t="n">
        <v>75</v>
      </c>
      <c r="R380" s="80" t="inlineStr">
        <is>
          <t>1-2yr</t>
        </is>
      </c>
      <c r="S380" s="80" t="n">
        <v>3</v>
      </c>
      <c r="U380" s="80">
        <f>MAX(0,MIN(100,50+((M380*0.6)+(N380*0.4))*200))</f>
        <v/>
      </c>
      <c r="V380" s="80">
        <f>MAX(20,MIN(100,50+(P380-H380)/P380*100))</f>
        <v/>
      </c>
      <c r="W380" s="80">
        <f>IFERROR(MAX(0,MIN(100,100-LOG10(T380)*16)),60)</f>
        <v/>
      </c>
      <c r="X380" s="80">
        <f>IF(C380="T2",85,IF(C380="T4",70,IF(C380="T1",65,IF(C380="T3",55,45))))</f>
        <v/>
      </c>
      <c r="Y380" s="80">
        <f>U380*0.55+W380*0.20+V380*0.15+X380*0.10+ROW()/1000000</f>
        <v/>
      </c>
      <c r="Z380" s="80">
        <f>IF(Y380&gt;=75,"STRONG BUY",IF(Y380&gt;=60,"BUY",IF(Y380&gt;=40,"HOLD",IF(Y380&gt;=25,"TRIM","SELL"))))</f>
        <v/>
      </c>
      <c r="AA380" s="80" t="inlineStr">
        <is>
          <t>https://www.tcgplayer.com/product/645321</t>
        </is>
      </c>
      <c r="AB380" s="80" t="inlineStr">
        <is>
          <t>Marnie SIR raw.</t>
        </is>
      </c>
    </row>
    <row r="381">
      <c r="A381" s="80" t="inlineStr">
        <is>
          <t>X138</t>
        </is>
      </c>
      <c r="B381" s="80" t="inlineStr">
        <is>
          <t>Modern Chase PSA 10</t>
        </is>
      </c>
      <c r="C381" s="80" t="inlineStr">
        <is>
          <t>T5</t>
        </is>
      </c>
      <c r="D381" s="80" t="inlineStr">
        <is>
          <t>Pikachu Master Ball raw (151)</t>
        </is>
      </c>
      <c r="E381" s="80" t="inlineStr">
        <is>
          <t>151</t>
        </is>
      </c>
      <c r="F381" s="80" t="inlineStr">
        <is>
          <t>025/165</t>
        </is>
      </c>
      <c r="G381" s="80" t="inlineStr">
        <is>
          <t>Raw NM</t>
        </is>
      </c>
      <c r="H381" s="80" t="n">
        <v>35</v>
      </c>
      <c r="I381" s="123" t="n">
        <v>46154</v>
      </c>
      <c r="J381" s="80" t="n">
        <v>33.85</v>
      </c>
      <c r="K381" s="80" t="n">
        <v>30.43</v>
      </c>
      <c r="L381" s="80" t="n">
        <v>28.86</v>
      </c>
      <c r="M381" s="80">
        <f>IFERROR((H381-J381)/J381,0)</f>
        <v/>
      </c>
      <c r="N381" s="80">
        <f>IFERROR((H381-K381)/K381,0)</f>
        <v/>
      </c>
      <c r="O381" s="80">
        <f>IFERROR((H381-L381)/L381,0)</f>
        <v/>
      </c>
      <c r="P381" s="80" t="n">
        <v>25</v>
      </c>
      <c r="Q381" s="80" t="n">
        <v>75</v>
      </c>
      <c r="R381" s="80" t="inlineStr">
        <is>
          <t>1-2yr</t>
        </is>
      </c>
      <c r="S381" s="80" t="n">
        <v>4</v>
      </c>
      <c r="U381" s="80">
        <f>MAX(0,MIN(100,50+((M381*0.6)+(N381*0.4))*200))</f>
        <v/>
      </c>
      <c r="V381" s="80">
        <f>MAX(20,MIN(100,50+(P381-H381)/P381*100))</f>
        <v/>
      </c>
      <c r="W381" s="80">
        <f>IFERROR(MAX(0,MIN(100,100-LOG10(T381)*16)),60)</f>
        <v/>
      </c>
      <c r="X381" s="80">
        <f>IF(C381="T2",85,IF(C381="T4",70,IF(C381="T1",65,IF(C381="T3",55,45))))</f>
        <v/>
      </c>
      <c r="Y381" s="80">
        <f>U381*0.55+W381*0.20+V381*0.15+X381*0.10+ROW()/1000000</f>
        <v/>
      </c>
      <c r="Z381" s="80">
        <f>IF(Y381&gt;=75,"STRONG BUY",IF(Y381&gt;=60,"BUY",IF(Y381&gt;=40,"HOLD",IF(Y381&gt;=25,"TRIM","SELL"))))</f>
        <v/>
      </c>
      <c r="AA381" s="80" t="inlineStr">
        <is>
          <t>https://www.tcgplayer.com/product/498075</t>
        </is>
      </c>
      <c r="AB381" s="80" t="inlineStr">
        <is>
          <t>Master Ball Pika raw — rarest pattern.</t>
        </is>
      </c>
    </row>
    <row r="382">
      <c r="A382" s="80" t="inlineStr">
        <is>
          <t>X139</t>
        </is>
      </c>
      <c r="B382" s="80" t="inlineStr">
        <is>
          <t>Modern Chase PSA 10</t>
        </is>
      </c>
      <c r="C382" s="80" t="inlineStr">
        <is>
          <t>T5</t>
        </is>
      </c>
      <c r="D382" s="80" t="inlineStr">
        <is>
          <t>Charmander Master Ball raw (151)</t>
        </is>
      </c>
      <c r="E382" s="80" t="inlineStr">
        <is>
          <t>151</t>
        </is>
      </c>
      <c r="F382" s="80" t="inlineStr">
        <is>
          <t>004/165</t>
        </is>
      </c>
      <c r="G382" s="80" t="inlineStr">
        <is>
          <t>Raw NM</t>
        </is>
      </c>
      <c r="H382" s="80" t="n">
        <v>28</v>
      </c>
      <c r="I382" s="123" t="n">
        <v>46154</v>
      </c>
      <c r="J382" s="80" t="n">
        <v>27.51</v>
      </c>
      <c r="K382" s="80" t="n">
        <v>25</v>
      </c>
      <c r="L382" s="80" t="n">
        <v>23.58</v>
      </c>
      <c r="M382" s="80">
        <f>IFERROR((H382-J382)/J382,0)</f>
        <v/>
      </c>
      <c r="N382" s="80">
        <f>IFERROR((H382-K382)/K382,0)</f>
        <v/>
      </c>
      <c r="O382" s="80">
        <f>IFERROR((H382-L382)/L382,0)</f>
        <v/>
      </c>
      <c r="P382" s="80" t="n">
        <v>20</v>
      </c>
      <c r="Q382" s="80" t="n">
        <v>60</v>
      </c>
      <c r="R382" s="80" t="inlineStr">
        <is>
          <t>1-2yr</t>
        </is>
      </c>
      <c r="S382" s="80" t="n">
        <v>3</v>
      </c>
      <c r="U382" s="80">
        <f>MAX(0,MIN(100,50+((M382*0.6)+(N382*0.4))*200))</f>
        <v/>
      </c>
      <c r="V382" s="80">
        <f>MAX(20,MIN(100,50+(P382-H382)/P382*100))</f>
        <v/>
      </c>
      <c r="W382" s="80">
        <f>IFERROR(MAX(0,MIN(100,100-LOG10(T382)*16)),60)</f>
        <v/>
      </c>
      <c r="X382" s="80">
        <f>IF(C382="T2",85,IF(C382="T4",70,IF(C382="T1",65,IF(C382="T3",55,45))))</f>
        <v/>
      </c>
      <c r="Y382" s="80">
        <f>U382*0.55+W382*0.20+V382*0.15+X382*0.10+ROW()/1000000</f>
        <v/>
      </c>
      <c r="Z382" s="80">
        <f>IF(Y382&gt;=75,"STRONG BUY",IF(Y382&gt;=60,"BUY",IF(Y382&gt;=40,"HOLD",IF(Y382&gt;=25,"TRIM","SELL"))))</f>
        <v/>
      </c>
      <c r="AA382" s="80" t="inlineStr">
        <is>
          <t>https://www.tcgplayer.com/product/498076</t>
        </is>
      </c>
      <c r="AB382" s="80" t="inlineStr">
        <is>
          <t>Master Ball Charmander.</t>
        </is>
      </c>
    </row>
    <row r="383">
      <c r="A383" s="80" t="inlineStr">
        <is>
          <t>X140</t>
        </is>
      </c>
      <c r="B383" s="80" t="inlineStr">
        <is>
          <t>Modern Chase PSA 10</t>
        </is>
      </c>
      <c r="C383" s="80" t="inlineStr">
        <is>
          <t>T5</t>
        </is>
      </c>
      <c r="D383" s="80" t="inlineStr">
        <is>
          <t>Mew Master Ball raw (151)</t>
        </is>
      </c>
      <c r="E383" s="80" t="inlineStr">
        <is>
          <t>151</t>
        </is>
      </c>
      <c r="F383" s="80" t="inlineStr">
        <is>
          <t>151/165</t>
        </is>
      </c>
      <c r="G383" s="80" t="inlineStr">
        <is>
          <t>Raw NM</t>
        </is>
      </c>
      <c r="H383" s="80" t="n">
        <v>32</v>
      </c>
      <c r="I383" s="123" t="n">
        <v>46154</v>
      </c>
      <c r="J383" s="80" t="n">
        <v>30.73</v>
      </c>
      <c r="K383" s="80" t="n">
        <v>28.32</v>
      </c>
      <c r="L383" s="80" t="n">
        <v>27.19</v>
      </c>
      <c r="M383" s="80">
        <f>IFERROR((H383-J383)/J383,0)</f>
        <v/>
      </c>
      <c r="N383" s="80">
        <f>IFERROR((H383-K383)/K383,0)</f>
        <v/>
      </c>
      <c r="O383" s="80">
        <f>IFERROR((H383-L383)/L383,0)</f>
        <v/>
      </c>
      <c r="P383" s="80" t="n">
        <v>22</v>
      </c>
      <c r="Q383" s="80" t="n">
        <v>65</v>
      </c>
      <c r="R383" s="80" t="inlineStr">
        <is>
          <t>1-2yr</t>
        </is>
      </c>
      <c r="S383" s="80" t="n">
        <v>3</v>
      </c>
      <c r="U383" s="80">
        <f>MAX(0,MIN(100,50+((M383*0.6)+(N383*0.4))*200))</f>
        <v/>
      </c>
      <c r="V383" s="80">
        <f>MAX(20,MIN(100,50+(P383-H383)/P383*100))</f>
        <v/>
      </c>
      <c r="W383" s="80">
        <f>IFERROR(MAX(0,MIN(100,100-LOG10(T383)*16)),60)</f>
        <v/>
      </c>
      <c r="X383" s="80">
        <f>IF(C383="T2",85,IF(C383="T4",70,IF(C383="T1",65,IF(C383="T3",55,45))))</f>
        <v/>
      </c>
      <c r="Y383" s="80">
        <f>U383*0.55+W383*0.20+V383*0.15+X383*0.10+ROW()/1000000</f>
        <v/>
      </c>
      <c r="Z383" s="80">
        <f>IF(Y383&gt;=75,"STRONG BUY",IF(Y383&gt;=60,"BUY",IF(Y383&gt;=40,"HOLD",IF(Y383&gt;=25,"TRIM","SELL"))))</f>
        <v/>
      </c>
      <c r="AA383" s="80" t="inlineStr">
        <is>
          <t>https://www.tcgplayer.com/product/498093</t>
        </is>
      </c>
      <c r="AB383" s="80" t="inlineStr">
        <is>
          <t>Master Ball Mew.</t>
        </is>
      </c>
    </row>
    <row r="384">
      <c r="A384" s="80" t="inlineStr">
        <is>
          <t>X141</t>
        </is>
      </c>
      <c r="B384" s="80" t="inlineStr">
        <is>
          <t>Sealed Modern</t>
        </is>
      </c>
      <c r="C384" s="80" t="inlineStr">
        <is>
          <t>T3</t>
        </is>
      </c>
      <c r="D384" s="80" t="inlineStr">
        <is>
          <t>Journey Together ETB</t>
        </is>
      </c>
      <c r="E384" s="80" t="inlineStr">
        <is>
          <t>Journey Together</t>
        </is>
      </c>
      <c r="F384" s="80" t="inlineStr">
        <is>
          <t>ETB</t>
        </is>
      </c>
      <c r="G384" s="80" t="inlineStr">
        <is>
          <t>Sealed</t>
        </is>
      </c>
      <c r="H384" s="80" t="n">
        <v>55</v>
      </c>
      <c r="I384" s="123" t="n">
        <v>46154</v>
      </c>
      <c r="J384" s="80" t="n">
        <v>53.73</v>
      </c>
      <c r="K384" s="80" t="n">
        <v>50</v>
      </c>
      <c r="L384" s="80" t="n">
        <v>47.95</v>
      </c>
      <c r="M384" s="80">
        <f>IFERROR((H384-J384)/J384,0)</f>
        <v/>
      </c>
      <c r="N384" s="80">
        <f>IFERROR((H384-K384)/K384,0)</f>
        <v/>
      </c>
      <c r="O384" s="80">
        <f>IFERROR((H384-L384)/L384,0)</f>
        <v/>
      </c>
      <c r="P384" s="80" t="n">
        <v>42</v>
      </c>
      <c r="Q384" s="80" t="n">
        <v>90</v>
      </c>
      <c r="R384" s="80" t="inlineStr">
        <is>
          <t>2-3yr</t>
        </is>
      </c>
      <c r="S384" s="80" t="n">
        <v>3</v>
      </c>
      <c r="U384" s="80">
        <f>MAX(0,MIN(100,50+((M384*0.6)+(N384*0.4))*200))</f>
        <v/>
      </c>
      <c r="V384" s="80">
        <f>MAX(20,MIN(100,50+(P384-H384)/P384*100))</f>
        <v/>
      </c>
      <c r="W384" s="80">
        <f>IFERROR(MAX(0,MIN(100,100-LOG10(T384)*16)),60)</f>
        <v/>
      </c>
      <c r="X384" s="80">
        <f>IF(C384="T2",85,IF(C384="T4",70,IF(C384="T1",65,IF(C384="T3",55,45))))</f>
        <v/>
      </c>
      <c r="Y384" s="80">
        <f>U384*0.55+W384*0.20+V384*0.15+X384*0.10+ROW()/1000000</f>
        <v/>
      </c>
      <c r="Z384" s="80">
        <f>IF(Y384&gt;=75,"STRONG BUY",IF(Y384&gt;=60,"BUY",IF(Y384&gt;=40,"HOLD",IF(Y384&gt;=25,"TRIM","SELL"))))</f>
        <v/>
      </c>
      <c r="AA384" s="80" t="inlineStr">
        <is>
          <t>https://www.pricecharting.com/game/pokemon-journey-together/etb</t>
        </is>
      </c>
      <c r="AB384" s="80" t="inlineStr">
        <is>
          <t>JT ETB. Modern set.</t>
        </is>
      </c>
    </row>
    <row r="385">
      <c r="A385" s="80" t="inlineStr">
        <is>
          <t>X142</t>
        </is>
      </c>
      <c r="B385" s="80" t="inlineStr">
        <is>
          <t>Sealed Modern</t>
        </is>
      </c>
      <c r="C385" s="80" t="inlineStr">
        <is>
          <t>T3</t>
        </is>
      </c>
      <c r="D385" s="80" t="inlineStr">
        <is>
          <t>Journey Together Booster Bundle</t>
        </is>
      </c>
      <c r="E385" s="80" t="inlineStr">
        <is>
          <t>Journey Together</t>
        </is>
      </c>
      <c r="F385" s="80" t="inlineStr">
        <is>
          <t>Bundle</t>
        </is>
      </c>
      <c r="G385" s="80" t="inlineStr">
        <is>
          <t>Sealed</t>
        </is>
      </c>
      <c r="H385" s="80" t="n">
        <v>38</v>
      </c>
      <c r="I385" s="123" t="n">
        <v>46154</v>
      </c>
      <c r="J385" s="80" t="n">
        <v>37.34</v>
      </c>
      <c r="K385" s="80" t="n">
        <v>35.19</v>
      </c>
      <c r="L385" s="80" t="n">
        <v>31.95</v>
      </c>
      <c r="M385" s="80">
        <f>IFERROR((H385-J385)/J385,0)</f>
        <v/>
      </c>
      <c r="N385" s="80">
        <f>IFERROR((H385-K385)/K385,0)</f>
        <v/>
      </c>
      <c r="O385" s="80">
        <f>IFERROR((H385-L385)/L385,0)</f>
        <v/>
      </c>
      <c r="P385" s="80" t="n">
        <v>28</v>
      </c>
      <c r="Q385" s="80" t="n">
        <v>65</v>
      </c>
      <c r="R385" s="80" t="inlineStr">
        <is>
          <t>2-3yr</t>
        </is>
      </c>
      <c r="S385" s="80" t="n">
        <v>3</v>
      </c>
      <c r="U385" s="80">
        <f>MAX(0,MIN(100,50+((M385*0.6)+(N385*0.4))*200))</f>
        <v/>
      </c>
      <c r="V385" s="80">
        <f>MAX(20,MIN(100,50+(P385-H385)/P385*100))</f>
        <v/>
      </c>
      <c r="W385" s="80">
        <f>IFERROR(MAX(0,MIN(100,100-LOG10(T385)*16)),60)</f>
        <v/>
      </c>
      <c r="X385" s="80">
        <f>IF(C385="T2",85,IF(C385="T4",70,IF(C385="T1",65,IF(C385="T3",55,45))))</f>
        <v/>
      </c>
      <c r="Y385" s="80">
        <f>U385*0.55+W385*0.20+V385*0.15+X385*0.10+ROW()/1000000</f>
        <v/>
      </c>
      <c r="Z385" s="80">
        <f>IF(Y385&gt;=75,"STRONG BUY",IF(Y385&gt;=60,"BUY",IF(Y385&gt;=40,"HOLD",IF(Y385&gt;=25,"TRIM","SELL"))))</f>
        <v/>
      </c>
      <c r="AA385" s="80" t="inlineStr">
        <is>
          <t>https://www.pricecharting.com/game/pokemon-journey-together/booster-bundle</t>
        </is>
      </c>
      <c r="AB385" s="80" t="inlineStr">
        <is>
          <t>JT bundle.</t>
        </is>
      </c>
    </row>
    <row r="386">
      <c r="A386" s="80" t="inlineStr">
        <is>
          <t>X143</t>
        </is>
      </c>
      <c r="B386" s="80" t="inlineStr">
        <is>
          <t>Sealed Modern</t>
        </is>
      </c>
      <c r="C386" s="80" t="inlineStr">
        <is>
          <t>T3</t>
        </is>
      </c>
      <c r="D386" s="80" t="inlineStr">
        <is>
          <t>Surging Sparks Premium Playmat</t>
        </is>
      </c>
      <c r="E386" s="80" t="inlineStr">
        <is>
          <t>Surging Sparks</t>
        </is>
      </c>
      <c r="F386" s="80" t="inlineStr">
        <is>
          <t>PPC</t>
        </is>
      </c>
      <c r="G386" s="80" t="inlineStr">
        <is>
          <t>Sealed</t>
        </is>
      </c>
      <c r="H386" s="80" t="n">
        <v>95</v>
      </c>
      <c r="I386" s="123" t="n">
        <v>46154</v>
      </c>
      <c r="J386" s="80" t="n">
        <v>91.86</v>
      </c>
      <c r="K386" s="80" t="n">
        <v>84.81999999999999</v>
      </c>
      <c r="L386" s="80" t="n">
        <v>81.64</v>
      </c>
      <c r="M386" s="80">
        <f>IFERROR((H386-J386)/J386,0)</f>
        <v/>
      </c>
      <c r="N386" s="80">
        <f>IFERROR((H386-K386)/K386,0)</f>
        <v/>
      </c>
      <c r="O386" s="80">
        <f>IFERROR((H386-L386)/L386,0)</f>
        <v/>
      </c>
      <c r="P386" s="80" t="n">
        <v>75</v>
      </c>
      <c r="Q386" s="80" t="n">
        <v>160</v>
      </c>
      <c r="R386" s="80" t="inlineStr">
        <is>
          <t>2-3yr</t>
        </is>
      </c>
      <c r="S386" s="80" t="n">
        <v>3</v>
      </c>
      <c r="U386" s="80">
        <f>MAX(0,MIN(100,50+((M386*0.6)+(N386*0.4))*200))</f>
        <v/>
      </c>
      <c r="V386" s="80">
        <f>MAX(20,MIN(100,50+(P386-H386)/P386*100))</f>
        <v/>
      </c>
      <c r="W386" s="80">
        <f>IFERROR(MAX(0,MIN(100,100-LOG10(T386)*16)),60)</f>
        <v/>
      </c>
      <c r="X386" s="80">
        <f>IF(C386="T2",85,IF(C386="T4",70,IF(C386="T1",65,IF(C386="T3",55,45))))</f>
        <v/>
      </c>
      <c r="Y386" s="80">
        <f>U386*0.55+W386*0.20+V386*0.15+X386*0.10+ROW()/1000000</f>
        <v/>
      </c>
      <c r="Z386" s="80">
        <f>IF(Y386&gt;=75,"STRONG BUY",IF(Y386&gt;=60,"BUY",IF(Y386&gt;=40,"HOLD",IF(Y386&gt;=25,"TRIM","SELL"))))</f>
        <v/>
      </c>
      <c r="AA386" s="80" t="inlineStr">
        <is>
          <t>https://www.pricecharting.com/game/pokemon-surging-sparks/premium-playmat</t>
        </is>
      </c>
      <c r="AB386" s="80" t="inlineStr">
        <is>
          <t>SS Premium Playmat Collection.</t>
        </is>
      </c>
    </row>
    <row r="387">
      <c r="A387" s="80" t="inlineStr">
        <is>
          <t>X144</t>
        </is>
      </c>
      <c r="B387" s="80" t="inlineStr">
        <is>
          <t>Sealed Modern</t>
        </is>
      </c>
      <c r="C387" s="80" t="inlineStr">
        <is>
          <t>T3</t>
        </is>
      </c>
      <c r="D387" s="80" t="inlineStr">
        <is>
          <t>Twilight Masquerade Booster Bundle</t>
        </is>
      </c>
      <c r="E387" s="80" t="inlineStr">
        <is>
          <t>Twilight Masquerade</t>
        </is>
      </c>
      <c r="F387" s="80" t="inlineStr">
        <is>
          <t>Bundle</t>
        </is>
      </c>
      <c r="G387" s="80" t="inlineStr">
        <is>
          <t>Sealed</t>
        </is>
      </c>
      <c r="H387" s="80" t="n">
        <v>38</v>
      </c>
      <c r="I387" s="123" t="n">
        <v>46154</v>
      </c>
      <c r="J387" s="80" t="n">
        <v>37.81</v>
      </c>
      <c r="K387" s="80" t="n">
        <v>35.19</v>
      </c>
      <c r="L387" s="80" t="n">
        <v>33.05</v>
      </c>
      <c r="M387" s="80">
        <f>IFERROR((H387-J387)/J387,0)</f>
        <v/>
      </c>
      <c r="N387" s="80">
        <f>IFERROR((H387-K387)/K387,0)</f>
        <v/>
      </c>
      <c r="O387" s="80">
        <f>IFERROR((H387-L387)/L387,0)</f>
        <v/>
      </c>
      <c r="P387" s="80" t="n">
        <v>28</v>
      </c>
      <c r="Q387" s="80" t="n">
        <v>65</v>
      </c>
      <c r="R387" s="80" t="inlineStr">
        <is>
          <t>2-3yr</t>
        </is>
      </c>
      <c r="S387" s="80" t="n">
        <v>3</v>
      </c>
      <c r="U387" s="80">
        <f>MAX(0,MIN(100,50+((M387*0.6)+(N387*0.4))*200))</f>
        <v/>
      </c>
      <c r="V387" s="80">
        <f>MAX(20,MIN(100,50+(P387-H387)/P387*100))</f>
        <v/>
      </c>
      <c r="W387" s="80">
        <f>IFERROR(MAX(0,MIN(100,100-LOG10(T387)*16)),60)</f>
        <v/>
      </c>
      <c r="X387" s="80">
        <f>IF(C387="T2",85,IF(C387="T4",70,IF(C387="T1",65,IF(C387="T3",55,45))))</f>
        <v/>
      </c>
      <c r="Y387" s="80">
        <f>U387*0.55+W387*0.20+V387*0.15+X387*0.10+ROW()/1000000</f>
        <v/>
      </c>
      <c r="Z387" s="80">
        <f>IF(Y387&gt;=75,"STRONG BUY",IF(Y387&gt;=60,"BUY",IF(Y387&gt;=40,"HOLD",IF(Y387&gt;=25,"TRIM","SELL"))))</f>
        <v/>
      </c>
      <c r="AA387" s="80" t="inlineStr">
        <is>
          <t>https://www.pricecharting.com/game/pokemon-twilight-masquerade/booster-bundle</t>
        </is>
      </c>
      <c r="AB387" s="80" t="inlineStr">
        <is>
          <t>TWM bundle.</t>
        </is>
      </c>
    </row>
    <row r="388">
      <c r="A388" s="80" t="inlineStr">
        <is>
          <t>X145</t>
        </is>
      </c>
      <c r="B388" s="80" t="inlineStr">
        <is>
          <t>Sealed Modern</t>
        </is>
      </c>
      <c r="C388" s="80" t="inlineStr">
        <is>
          <t>T3</t>
        </is>
      </c>
      <c r="D388" s="80" t="inlineStr">
        <is>
          <t>Paldean Fates Mini Tin</t>
        </is>
      </c>
      <c r="E388" s="80" t="inlineStr">
        <is>
          <t>Paldean Fates</t>
        </is>
      </c>
      <c r="F388" s="80" t="inlineStr">
        <is>
          <t>Tin</t>
        </is>
      </c>
      <c r="G388" s="80" t="inlineStr">
        <is>
          <t>Sealed</t>
        </is>
      </c>
      <c r="H388" s="80" t="n">
        <v>18</v>
      </c>
      <c r="I388" s="123" t="n">
        <v>46154</v>
      </c>
      <c r="J388" s="80" t="n">
        <v>17.33</v>
      </c>
      <c r="K388" s="80" t="n">
        <v>16.36</v>
      </c>
      <c r="L388" s="80" t="n">
        <v>15.97</v>
      </c>
      <c r="M388" s="80">
        <f>IFERROR((H388-J388)/J388,0)</f>
        <v/>
      </c>
      <c r="N388" s="80">
        <f>IFERROR((H388-K388)/K388,0)</f>
        <v/>
      </c>
      <c r="O388" s="80">
        <f>IFERROR((H388-L388)/L388,0)</f>
        <v/>
      </c>
      <c r="P388" s="80" t="n">
        <v>14</v>
      </c>
      <c r="Q388" s="80" t="n">
        <v>32</v>
      </c>
      <c r="R388" s="80" t="inlineStr">
        <is>
          <t>1-2yr</t>
        </is>
      </c>
      <c r="S388" s="80" t="n">
        <v>3</v>
      </c>
      <c r="U388" s="80">
        <f>MAX(0,MIN(100,50+((M388*0.6)+(N388*0.4))*200))</f>
        <v/>
      </c>
      <c r="V388" s="80">
        <f>MAX(20,MIN(100,50+(P388-H388)/P388*100))</f>
        <v/>
      </c>
      <c r="W388" s="80">
        <f>IFERROR(MAX(0,MIN(100,100-LOG10(T388)*16)),60)</f>
        <v/>
      </c>
      <c r="X388" s="80">
        <f>IF(C388="T2",85,IF(C388="T4",70,IF(C388="T1",65,IF(C388="T3",55,45))))</f>
        <v/>
      </c>
      <c r="Y388" s="80">
        <f>U388*0.55+W388*0.20+V388*0.15+X388*0.10+ROW()/1000000</f>
        <v/>
      </c>
      <c r="Z388" s="80">
        <f>IF(Y388&gt;=75,"STRONG BUY",IF(Y388&gt;=60,"BUY",IF(Y388&gt;=40,"HOLD",IF(Y388&gt;=25,"TRIM","SELL"))))</f>
        <v/>
      </c>
      <c r="AA388" s="80" t="inlineStr">
        <is>
          <t>https://www.pricecharting.com/game/pokemon-paldean-fates/mini-tin</t>
        </is>
      </c>
      <c r="AB388" s="80" t="inlineStr">
        <is>
          <t>PF mini tin.</t>
        </is>
      </c>
    </row>
    <row r="389">
      <c r="A389" s="80" t="inlineStr">
        <is>
          <t>X146</t>
        </is>
      </c>
      <c r="B389" s="80" t="inlineStr">
        <is>
          <t>Sealed Modern</t>
        </is>
      </c>
      <c r="C389" s="80" t="inlineStr">
        <is>
          <t>T3</t>
        </is>
      </c>
      <c r="D389" s="80" t="inlineStr">
        <is>
          <t>Pokemon GO ETB</t>
        </is>
      </c>
      <c r="E389" s="80" t="inlineStr">
        <is>
          <t>Pokemon GO</t>
        </is>
      </c>
      <c r="F389" s="80" t="inlineStr">
        <is>
          <t>ETB</t>
        </is>
      </c>
      <c r="G389" s="80" t="inlineStr">
        <is>
          <t>Sealed</t>
        </is>
      </c>
      <c r="H389" s="80" t="n">
        <v>85</v>
      </c>
      <c r="I389" s="123" t="n">
        <v>46154</v>
      </c>
      <c r="J389" s="80" t="n">
        <v>82.3</v>
      </c>
      <c r="K389" s="80" t="n">
        <v>78.7</v>
      </c>
      <c r="L389" s="80" t="n">
        <v>73.18000000000001</v>
      </c>
      <c r="M389" s="80">
        <f>IFERROR((H389-J389)/J389,0)</f>
        <v/>
      </c>
      <c r="N389" s="80">
        <f>IFERROR((H389-K389)/K389,0)</f>
        <v/>
      </c>
      <c r="O389" s="80">
        <f>IFERROR((H389-L389)/L389,0)</f>
        <v/>
      </c>
      <c r="P389" s="80" t="n">
        <v>65</v>
      </c>
      <c r="Q389" s="80" t="n">
        <v>140</v>
      </c>
      <c r="R389" s="80" t="inlineStr">
        <is>
          <t>2-3yr</t>
        </is>
      </c>
      <c r="S389" s="80" t="n">
        <v>3</v>
      </c>
      <c r="U389" s="80">
        <f>MAX(0,MIN(100,50+((M389*0.6)+(N389*0.4))*200))</f>
        <v/>
      </c>
      <c r="V389" s="80">
        <f>MAX(20,MIN(100,50+(P389-H389)/P389*100))</f>
        <v/>
      </c>
      <c r="W389" s="80">
        <f>IFERROR(MAX(0,MIN(100,100-LOG10(T389)*16)),60)</f>
        <v/>
      </c>
      <c r="X389" s="80">
        <f>IF(C389="T2",85,IF(C389="T4",70,IF(C389="T1",65,IF(C389="T3",55,45))))</f>
        <v/>
      </c>
      <c r="Y389" s="80">
        <f>U389*0.55+W389*0.20+V389*0.15+X389*0.10+ROW()/1000000</f>
        <v/>
      </c>
      <c r="Z389" s="80">
        <f>IF(Y389&gt;=75,"STRONG BUY",IF(Y389&gt;=60,"BUY",IF(Y389&gt;=40,"HOLD",IF(Y389&gt;=25,"TRIM","SELL"))))</f>
        <v/>
      </c>
      <c r="AA389" s="80" t="inlineStr">
        <is>
          <t>https://www.pricecharting.com/game/pokemon-pokemon-go/etb</t>
        </is>
      </c>
      <c r="AB389" s="80" t="inlineStr">
        <is>
          <t>Pokemon GO ETB. Crossover collectible.</t>
        </is>
      </c>
    </row>
    <row r="390">
      <c r="A390" s="80" t="inlineStr">
        <is>
          <t>X147</t>
        </is>
      </c>
      <c r="B390" s="80" t="inlineStr">
        <is>
          <t>Sealed Modern</t>
        </is>
      </c>
      <c r="C390" s="80" t="inlineStr">
        <is>
          <t>T3</t>
        </is>
      </c>
      <c r="D390" s="80" t="inlineStr">
        <is>
          <t>Pokemon GO Booster Bundle</t>
        </is>
      </c>
      <c r="E390" s="80" t="inlineStr">
        <is>
          <t>Pokemon GO</t>
        </is>
      </c>
      <c r="F390" s="80" t="inlineStr">
        <is>
          <t>Bundle</t>
        </is>
      </c>
      <c r="G390" s="80" t="inlineStr">
        <is>
          <t>Sealed</t>
        </is>
      </c>
      <c r="H390" s="80" t="n">
        <v>60</v>
      </c>
      <c r="I390" s="123" t="n">
        <v>46154</v>
      </c>
      <c r="J390" s="80" t="n">
        <v>59.63</v>
      </c>
      <c r="K390" s="80" t="n">
        <v>56.6</v>
      </c>
      <c r="L390" s="80" t="n">
        <v>53.56</v>
      </c>
      <c r="M390" s="80">
        <f>IFERROR((H390-J390)/J390,0)</f>
        <v/>
      </c>
      <c r="N390" s="80">
        <f>IFERROR((H390-K390)/K390,0)</f>
        <v/>
      </c>
      <c r="O390" s="80">
        <f>IFERROR((H390-L390)/L390,0)</f>
        <v/>
      </c>
      <c r="P390" s="80" t="n">
        <v>45</v>
      </c>
      <c r="Q390" s="80" t="n">
        <v>100</v>
      </c>
      <c r="R390" s="80" t="inlineStr">
        <is>
          <t>2-3yr</t>
        </is>
      </c>
      <c r="S390" s="80" t="n">
        <v>3</v>
      </c>
      <c r="U390" s="80">
        <f>MAX(0,MIN(100,50+((M390*0.6)+(N390*0.4))*200))</f>
        <v/>
      </c>
      <c r="V390" s="80">
        <f>MAX(20,MIN(100,50+(P390-H390)/P390*100))</f>
        <v/>
      </c>
      <c r="W390" s="80">
        <f>IFERROR(MAX(0,MIN(100,100-LOG10(T390)*16)),60)</f>
        <v/>
      </c>
      <c r="X390" s="80">
        <f>IF(C390="T2",85,IF(C390="T4",70,IF(C390="T1",65,IF(C390="T3",55,45))))</f>
        <v/>
      </c>
      <c r="Y390" s="80">
        <f>U390*0.55+W390*0.20+V390*0.15+X390*0.10+ROW()/1000000</f>
        <v/>
      </c>
      <c r="Z390" s="80">
        <f>IF(Y390&gt;=75,"STRONG BUY",IF(Y390&gt;=60,"BUY",IF(Y390&gt;=40,"HOLD",IF(Y390&gt;=25,"TRIM","SELL"))))</f>
        <v/>
      </c>
      <c r="AA390" s="80" t="inlineStr">
        <is>
          <t>https://www.pricecharting.com/game/pokemon-pokemon-go/booster-bundle</t>
        </is>
      </c>
      <c r="AB390" s="80" t="inlineStr">
        <is>
          <t>GO bundle.</t>
        </is>
      </c>
    </row>
    <row r="391">
      <c r="A391" s="80" t="inlineStr">
        <is>
          <t>X148</t>
        </is>
      </c>
      <c r="B391" s="80" t="inlineStr">
        <is>
          <t>Sealed Modern</t>
        </is>
      </c>
      <c r="C391" s="80" t="inlineStr">
        <is>
          <t>T3</t>
        </is>
      </c>
      <c r="D391" s="80" t="inlineStr">
        <is>
          <t>Hidden Fates Tin (any)</t>
        </is>
      </c>
      <c r="E391" s="80" t="inlineStr">
        <is>
          <t>Hidden Fates</t>
        </is>
      </c>
      <c r="F391" s="80" t="inlineStr">
        <is>
          <t>Tin</t>
        </is>
      </c>
      <c r="G391" s="80" t="inlineStr">
        <is>
          <t>Sealed</t>
        </is>
      </c>
      <c r="H391" s="80" t="n">
        <v>75</v>
      </c>
      <c r="I391" s="123" t="n">
        <v>46154</v>
      </c>
      <c r="J391" s="80" t="n">
        <v>73.08</v>
      </c>
      <c r="K391" s="80" t="n">
        <v>71.43000000000001</v>
      </c>
      <c r="L391" s="80" t="n">
        <v>67.81999999999999</v>
      </c>
      <c r="M391" s="80">
        <f>IFERROR((H391-J391)/J391,0)</f>
        <v/>
      </c>
      <c r="N391" s="80">
        <f>IFERROR((H391-K391)/K391,0)</f>
        <v/>
      </c>
      <c r="O391" s="80">
        <f>IFERROR((H391-L391)/L391,0)</f>
        <v/>
      </c>
      <c r="P391" s="80" t="n">
        <v>58</v>
      </c>
      <c r="Q391" s="80" t="n">
        <v>125</v>
      </c>
      <c r="R391" s="80" t="inlineStr">
        <is>
          <t>2-3yr</t>
        </is>
      </c>
      <c r="S391" s="80" t="n">
        <v>3</v>
      </c>
      <c r="U391" s="80">
        <f>MAX(0,MIN(100,50+((M391*0.6)+(N391*0.4))*200))</f>
        <v/>
      </c>
      <c r="V391" s="80">
        <f>MAX(20,MIN(100,50+(P391-H391)/P391*100))</f>
        <v/>
      </c>
      <c r="W391" s="80">
        <f>IFERROR(MAX(0,MIN(100,100-LOG10(T391)*16)),60)</f>
        <v/>
      </c>
      <c r="X391" s="80">
        <f>IF(C391="T2",85,IF(C391="T4",70,IF(C391="T1",65,IF(C391="T3",55,45))))</f>
        <v/>
      </c>
      <c r="Y391" s="80">
        <f>U391*0.55+W391*0.20+V391*0.15+X391*0.10+ROW()/1000000</f>
        <v/>
      </c>
      <c r="Z391" s="80">
        <f>IF(Y391&gt;=75,"STRONG BUY",IF(Y391&gt;=60,"BUY",IF(Y391&gt;=40,"HOLD",IF(Y391&gt;=25,"TRIM","SELL"))))</f>
        <v/>
      </c>
      <c r="AA391" s="80" t="inlineStr">
        <is>
          <t>https://www.pricecharting.com/game/pokemon-hidden-fates/tin</t>
        </is>
      </c>
      <c r="AB391" s="80" t="inlineStr">
        <is>
          <t>HF tin — vintage modern.</t>
        </is>
      </c>
    </row>
    <row r="392">
      <c r="A392" s="80" t="inlineStr">
        <is>
          <t>X149</t>
        </is>
      </c>
      <c r="B392" s="80" t="inlineStr">
        <is>
          <t>Sealed Modern</t>
        </is>
      </c>
      <c r="C392" s="80" t="inlineStr">
        <is>
          <t>T3</t>
        </is>
      </c>
      <c r="D392" s="80" t="inlineStr">
        <is>
          <t>Shining Fates Mini Tin</t>
        </is>
      </c>
      <c r="E392" s="80" t="inlineStr">
        <is>
          <t>Shining Fates</t>
        </is>
      </c>
      <c r="F392" s="80" t="inlineStr">
        <is>
          <t>Mini Tin</t>
        </is>
      </c>
      <c r="G392" s="80" t="inlineStr">
        <is>
          <t>Sealed</t>
        </is>
      </c>
      <c r="H392" s="80" t="n">
        <v>25</v>
      </c>
      <c r="I392" s="123" t="n">
        <v>46154</v>
      </c>
      <c r="J392" s="80" t="n">
        <v>24.87</v>
      </c>
      <c r="K392" s="80" t="n">
        <v>23.15</v>
      </c>
      <c r="L392" s="80" t="n">
        <v>21.71</v>
      </c>
      <c r="M392" s="80">
        <f>IFERROR((H392-J392)/J392,0)</f>
        <v/>
      </c>
      <c r="N392" s="80">
        <f>IFERROR((H392-K392)/K392,0)</f>
        <v/>
      </c>
      <c r="O392" s="80">
        <f>IFERROR((H392-L392)/L392,0)</f>
        <v/>
      </c>
      <c r="P392" s="80" t="n">
        <v>18</v>
      </c>
      <c r="Q392" s="80" t="n">
        <v>42</v>
      </c>
      <c r="R392" s="80" t="inlineStr">
        <is>
          <t>2-3yr</t>
        </is>
      </c>
      <c r="S392" s="80" t="n">
        <v>3</v>
      </c>
      <c r="U392" s="80">
        <f>MAX(0,MIN(100,50+((M392*0.6)+(N392*0.4))*200))</f>
        <v/>
      </c>
      <c r="V392" s="80">
        <f>MAX(20,MIN(100,50+(P392-H392)/P392*100))</f>
        <v/>
      </c>
      <c r="W392" s="80">
        <f>IFERROR(MAX(0,MIN(100,100-LOG10(T392)*16)),60)</f>
        <v/>
      </c>
      <c r="X392" s="80">
        <f>IF(C392="T2",85,IF(C392="T4",70,IF(C392="T1",65,IF(C392="T3",55,45))))</f>
        <v/>
      </c>
      <c r="Y392" s="80">
        <f>U392*0.55+W392*0.20+V392*0.15+X392*0.10+ROW()/1000000</f>
        <v/>
      </c>
      <c r="Z392" s="80">
        <f>IF(Y392&gt;=75,"STRONG BUY",IF(Y392&gt;=60,"BUY",IF(Y392&gt;=40,"HOLD",IF(Y392&gt;=25,"TRIM","SELL"))))</f>
        <v/>
      </c>
      <c r="AA392" s="80" t="inlineStr">
        <is>
          <t>https://www.pricecharting.com/game/pokemon-shining-fates/mini-tin</t>
        </is>
      </c>
      <c r="AB392" s="80" t="inlineStr">
        <is>
          <t>SF mini tin.</t>
        </is>
      </c>
    </row>
    <row r="393">
      <c r="A393" s="80" t="inlineStr">
        <is>
          <t>X150</t>
        </is>
      </c>
      <c r="B393" s="80" t="inlineStr">
        <is>
          <t>Sealed Modern</t>
        </is>
      </c>
      <c r="C393" s="80" t="inlineStr">
        <is>
          <t>T3</t>
        </is>
      </c>
      <c r="D393" s="80" t="inlineStr">
        <is>
          <t>Pokemon Day 2026 Pikachu Box</t>
        </is>
      </c>
      <c r="E393" s="80" t="inlineStr">
        <is>
          <t>30th Anniversary Promo</t>
        </is>
      </c>
      <c r="F393" s="80" t="inlineStr">
        <is>
          <t>Box</t>
        </is>
      </c>
      <c r="G393" s="80" t="inlineStr">
        <is>
          <t>Sealed</t>
        </is>
      </c>
      <c r="H393" s="80" t="n">
        <v>32</v>
      </c>
      <c r="I393" s="123" t="n">
        <v>46154</v>
      </c>
      <c r="J393" s="80" t="n">
        <v>31.65</v>
      </c>
      <c r="K393" s="80" t="n">
        <v>29.09</v>
      </c>
      <c r="L393" s="80" t="n">
        <v>26.51</v>
      </c>
      <c r="M393" s="80">
        <f>IFERROR((H393-J393)/J393,0)</f>
        <v/>
      </c>
      <c r="N393" s="80">
        <f>IFERROR((H393-K393)/K393,0)</f>
        <v/>
      </c>
      <c r="O393" s="80">
        <f>IFERROR((H393-L393)/L393,0)</f>
        <v/>
      </c>
      <c r="P393" s="80" t="n">
        <v>24</v>
      </c>
      <c r="Q393" s="80" t="n">
        <v>55</v>
      </c>
      <c r="R393" s="80" t="inlineStr">
        <is>
          <t>1-2yr</t>
        </is>
      </c>
      <c r="S393" s="80" t="n">
        <v>3</v>
      </c>
      <c r="U393" s="80">
        <f>MAX(0,MIN(100,50+((M393*0.6)+(N393*0.4))*200))</f>
        <v/>
      </c>
      <c r="V393" s="80">
        <f>MAX(20,MIN(100,50+(P393-H393)/P393*100))</f>
        <v/>
      </c>
      <c r="W393" s="80">
        <f>IFERROR(MAX(0,MIN(100,100-LOG10(T393)*16)),60)</f>
        <v/>
      </c>
      <c r="X393" s="80">
        <f>IF(C393="T2",85,IF(C393="T4",70,IF(C393="T1",65,IF(C393="T3",55,45))))</f>
        <v/>
      </c>
      <c r="Y393" s="80">
        <f>U393*0.55+W393*0.20+V393*0.15+X393*0.10+ROW()/1000000</f>
        <v/>
      </c>
      <c r="Z393" s="80">
        <f>IF(Y393&gt;=75,"STRONG BUY",IF(Y393&gt;=60,"BUY",IF(Y393&gt;=40,"HOLD",IF(Y393&gt;=25,"TRIM","SELL"))))</f>
        <v/>
      </c>
      <c r="AA393" s="80" t="inlineStr">
        <is>
          <t>https://www.pricecharting.com/game/pokemon-promo/pokemon-day-2026</t>
        </is>
      </c>
      <c r="AB393" s="80" t="inlineStr">
        <is>
          <t>30th anniv collection box.</t>
        </is>
      </c>
    </row>
    <row r="394">
      <c r="A394" s="80" t="inlineStr">
        <is>
          <t>X151</t>
        </is>
      </c>
      <c r="B394" s="80" t="inlineStr">
        <is>
          <t>Modern Chase PSA 10</t>
        </is>
      </c>
      <c r="C394" s="80" t="inlineStr">
        <is>
          <t>T2</t>
        </is>
      </c>
      <c r="D394" s="80" t="inlineStr">
        <is>
          <t>Rayquaza V Alt Art (BRS)</t>
        </is>
      </c>
      <c r="E394" s="80" t="inlineStr">
        <is>
          <t>Brilliant Stars</t>
        </is>
      </c>
      <c r="F394" s="80" t="inlineStr">
        <is>
          <t>TG20/TG30</t>
        </is>
      </c>
      <c r="G394" s="80" t="inlineStr">
        <is>
          <t>PSA 10</t>
        </is>
      </c>
      <c r="H394" s="80" t="n">
        <v>55</v>
      </c>
      <c r="I394" s="123" t="n">
        <v>46154</v>
      </c>
      <c r="J394" s="80" t="n">
        <v>53.09</v>
      </c>
      <c r="K394" s="80" t="n">
        <v>50.93</v>
      </c>
      <c r="L394" s="80" t="n">
        <v>46.97</v>
      </c>
      <c r="M394" s="80">
        <f>IFERROR((H394-J394)/J394,0)</f>
        <v/>
      </c>
      <c r="N394" s="80">
        <f>IFERROR((H394-K394)/K394,0)</f>
        <v/>
      </c>
      <c r="O394" s="80">
        <f>IFERROR((H394-L394)/L394,0)</f>
        <v/>
      </c>
      <c r="P394" s="80" t="n">
        <v>42</v>
      </c>
      <c r="Q394" s="80" t="n">
        <v>95</v>
      </c>
      <c r="R394" s="80" t="inlineStr">
        <is>
          <t>2-3yr</t>
        </is>
      </c>
      <c r="S394" s="80" t="n">
        <v>3</v>
      </c>
      <c r="T394" s="80" t="n">
        <v>4500</v>
      </c>
      <c r="U394" s="80">
        <f>MAX(0,MIN(100,50+((M394*0.6)+(N394*0.4))*200))</f>
        <v/>
      </c>
      <c r="V394" s="80">
        <f>MAX(20,MIN(100,50+(P394-H394)/P394*100))</f>
        <v/>
      </c>
      <c r="W394" s="80">
        <f>IFERROR(MAX(0,MIN(100,100-LOG10(T394)*16)),60)</f>
        <v/>
      </c>
      <c r="X394" s="80">
        <f>IF(C394="T2",85,IF(C394="T4",70,IF(C394="T1",65,IF(C394="T3",55,45))))</f>
        <v/>
      </c>
      <c r="Y394" s="80">
        <f>U394*0.55+W394*0.20+V394*0.15+X394*0.10+ROW()/1000000</f>
        <v/>
      </c>
      <c r="Z394" s="80">
        <f>IF(Y394&gt;=75,"STRONG BUY",IF(Y394&gt;=60,"BUY",IF(Y394&gt;=40,"HOLD",IF(Y394&gt;=25,"TRIM","SELL"))))</f>
        <v/>
      </c>
      <c r="AA394" s="80" t="inlineStr">
        <is>
          <t>https://www.tcgplayer.com/product/261985</t>
        </is>
      </c>
      <c r="AB394" s="80" t="inlineStr">
        <is>
          <t>BRS Rayquaza V alt. Bulk PSA 10.</t>
        </is>
      </c>
    </row>
    <row r="395">
      <c r="A395" s="80" t="inlineStr">
        <is>
          <t>X152</t>
        </is>
      </c>
      <c r="B395" s="80" t="inlineStr">
        <is>
          <t>Modern Chase PSA 10</t>
        </is>
      </c>
      <c r="C395" s="80" t="inlineStr">
        <is>
          <t>T2</t>
        </is>
      </c>
      <c r="D395" s="80" t="inlineStr">
        <is>
          <t>Garchomp V Alt Art (AR)</t>
        </is>
      </c>
      <c r="E395" s="80" t="inlineStr">
        <is>
          <t>Astral Radiance</t>
        </is>
      </c>
      <c r="F395" s="80" t="inlineStr">
        <is>
          <t>TG21/TG30</t>
        </is>
      </c>
      <c r="G395" s="80" t="inlineStr">
        <is>
          <t>PSA 10</t>
        </is>
      </c>
      <c r="H395" s="80" t="n">
        <v>65</v>
      </c>
      <c r="I395" s="123" t="n">
        <v>46154</v>
      </c>
      <c r="J395" s="80" t="n">
        <v>63.73</v>
      </c>
      <c r="K395" s="80" t="n">
        <v>59.09</v>
      </c>
      <c r="L395" s="80" t="n">
        <v>55.37</v>
      </c>
      <c r="M395" s="80">
        <f>IFERROR((H395-J395)/J395,0)</f>
        <v/>
      </c>
      <c r="N395" s="80">
        <f>IFERROR((H395-K395)/K395,0)</f>
        <v/>
      </c>
      <c r="O395" s="80">
        <f>IFERROR((H395-L395)/L395,0)</f>
        <v/>
      </c>
      <c r="P395" s="80" t="n">
        <v>50</v>
      </c>
      <c r="Q395" s="80" t="n">
        <v>110</v>
      </c>
      <c r="R395" s="80" t="inlineStr">
        <is>
          <t>2-3yr</t>
        </is>
      </c>
      <c r="S395" s="80" t="n">
        <v>3</v>
      </c>
      <c r="T395" s="80" t="n">
        <v>3800</v>
      </c>
      <c r="U395" s="80">
        <f>MAX(0,MIN(100,50+((M395*0.6)+(N395*0.4))*200))</f>
        <v/>
      </c>
      <c r="V395" s="80">
        <f>MAX(20,MIN(100,50+(P395-H395)/P395*100))</f>
        <v/>
      </c>
      <c r="W395" s="80">
        <f>IFERROR(MAX(0,MIN(100,100-LOG10(T395)*16)),60)</f>
        <v/>
      </c>
      <c r="X395" s="80">
        <f>IF(C395="T2",85,IF(C395="T4",70,IF(C395="T1",65,IF(C395="T3",55,45))))</f>
        <v/>
      </c>
      <c r="Y395" s="80">
        <f>U395*0.55+W395*0.20+V395*0.15+X395*0.10+ROW()/1000000</f>
        <v/>
      </c>
      <c r="Z395" s="80">
        <f>IF(Y395&gt;=75,"STRONG BUY",IF(Y395&gt;=60,"BUY",IF(Y395&gt;=40,"HOLD",IF(Y395&gt;=25,"TRIM","SELL"))))</f>
        <v/>
      </c>
      <c r="AA395" s="80" t="inlineStr">
        <is>
          <t>https://www.tcgplayer.com/product/267746</t>
        </is>
      </c>
      <c r="AB395" s="80" t="inlineStr">
        <is>
          <t>Garchomp alt PSA 10.</t>
        </is>
      </c>
    </row>
    <row r="396">
      <c r="A396" s="80" t="inlineStr">
        <is>
          <t>X153</t>
        </is>
      </c>
      <c r="B396" s="80" t="inlineStr">
        <is>
          <t>Modern Chase PSA 10</t>
        </is>
      </c>
      <c r="C396" s="80" t="inlineStr">
        <is>
          <t>T2</t>
        </is>
      </c>
      <c r="D396" s="80" t="inlineStr">
        <is>
          <t>Aerodactyl V Alt Art (LO)</t>
        </is>
      </c>
      <c r="E396" s="80" t="inlineStr">
        <is>
          <t>Lost Origin</t>
        </is>
      </c>
      <c r="F396" s="80" t="inlineStr">
        <is>
          <t>TG21/TG30</t>
        </is>
      </c>
      <c r="G396" s="80" t="inlineStr">
        <is>
          <t>PSA 10</t>
        </is>
      </c>
      <c r="H396" s="80" t="n">
        <v>75</v>
      </c>
      <c r="I396" s="123" t="n">
        <v>46154</v>
      </c>
      <c r="J396" s="80" t="n">
        <v>72.59999999999999</v>
      </c>
      <c r="K396" s="80" t="n">
        <v>68.18000000000001</v>
      </c>
      <c r="L396" s="80" t="n">
        <v>63.32</v>
      </c>
      <c r="M396" s="80">
        <f>IFERROR((H396-J396)/J396,0)</f>
        <v/>
      </c>
      <c r="N396" s="80">
        <f>IFERROR((H396-K396)/K396,0)</f>
        <v/>
      </c>
      <c r="O396" s="80">
        <f>IFERROR((H396-L396)/L396,0)</f>
        <v/>
      </c>
      <c r="P396" s="80" t="n">
        <v>58</v>
      </c>
      <c r="Q396" s="80" t="n">
        <v>130</v>
      </c>
      <c r="R396" s="80" t="inlineStr">
        <is>
          <t>2-3yr</t>
        </is>
      </c>
      <c r="S396" s="80" t="n">
        <v>3</v>
      </c>
      <c r="T396" s="80" t="n">
        <v>1900</v>
      </c>
      <c r="U396" s="80">
        <f>MAX(0,MIN(100,50+((M396*0.6)+(N396*0.4))*200))</f>
        <v/>
      </c>
      <c r="V396" s="80">
        <f>MAX(20,MIN(100,50+(P396-H396)/P396*100))</f>
        <v/>
      </c>
      <c r="W396" s="80">
        <f>IFERROR(MAX(0,MIN(100,100-LOG10(T396)*16)),60)</f>
        <v/>
      </c>
      <c r="X396" s="80">
        <f>IF(C396="T2",85,IF(C396="T4",70,IF(C396="T1",65,IF(C396="T3",55,45))))</f>
        <v/>
      </c>
      <c r="Y396" s="80">
        <f>U396*0.55+W396*0.20+V396*0.15+X396*0.10+ROW()/1000000</f>
        <v/>
      </c>
      <c r="Z396" s="80">
        <f>IF(Y396&gt;=75,"STRONG BUY",IF(Y396&gt;=60,"BUY",IF(Y396&gt;=40,"HOLD",IF(Y396&gt;=25,"TRIM","SELL"))))</f>
        <v/>
      </c>
      <c r="AA396" s="80" t="inlineStr">
        <is>
          <t>https://www.tcgplayer.com/product/271620</t>
        </is>
      </c>
      <c r="AB396" s="80" t="inlineStr">
        <is>
          <t>LO Aerodactyl alt graded.</t>
        </is>
      </c>
    </row>
    <row r="397">
      <c r="A397" s="80" t="inlineStr">
        <is>
          <t>X154</t>
        </is>
      </c>
      <c r="B397" s="80" t="inlineStr">
        <is>
          <t>Modern Chase PSA 10</t>
        </is>
      </c>
      <c r="C397" s="80" t="inlineStr">
        <is>
          <t>T2</t>
        </is>
      </c>
      <c r="D397" s="80" t="inlineStr">
        <is>
          <t>Magnezone V Alt Art (LO)</t>
        </is>
      </c>
      <c r="E397" s="80" t="inlineStr">
        <is>
          <t>Lost Origin</t>
        </is>
      </c>
      <c r="F397" s="80" t="inlineStr">
        <is>
          <t>TG13/TG30</t>
        </is>
      </c>
      <c r="G397" s="80" t="inlineStr">
        <is>
          <t>PSA 10</t>
        </is>
      </c>
      <c r="H397" s="80" t="n">
        <v>50</v>
      </c>
      <c r="I397" s="123" t="n">
        <v>46154</v>
      </c>
      <c r="J397" s="80" t="n">
        <v>48.42</v>
      </c>
      <c r="K397" s="80" t="n">
        <v>46.3</v>
      </c>
      <c r="L397" s="80" t="n">
        <v>43.76</v>
      </c>
      <c r="M397" s="80">
        <f>IFERROR((H397-J397)/J397,0)</f>
        <v/>
      </c>
      <c r="N397" s="80">
        <f>IFERROR((H397-K397)/K397,0)</f>
        <v/>
      </c>
      <c r="O397" s="80">
        <f>IFERROR((H397-L397)/L397,0)</f>
        <v/>
      </c>
      <c r="P397" s="80" t="n">
        <v>38</v>
      </c>
      <c r="Q397" s="80" t="n">
        <v>85</v>
      </c>
      <c r="R397" s="80" t="inlineStr">
        <is>
          <t>2-3yr</t>
        </is>
      </c>
      <c r="S397" s="80" t="n">
        <v>3</v>
      </c>
      <c r="T397" s="80" t="n">
        <v>1600</v>
      </c>
      <c r="U397" s="80">
        <f>MAX(0,MIN(100,50+((M397*0.6)+(N397*0.4))*200))</f>
        <v/>
      </c>
      <c r="V397" s="80">
        <f>MAX(20,MIN(100,50+(P397-H397)/P397*100))</f>
        <v/>
      </c>
      <c r="W397" s="80">
        <f>IFERROR(MAX(0,MIN(100,100-LOG10(T397)*16)),60)</f>
        <v/>
      </c>
      <c r="X397" s="80">
        <f>IF(C397="T2",85,IF(C397="T4",70,IF(C397="T1",65,IF(C397="T3",55,45))))</f>
        <v/>
      </c>
      <c r="Y397" s="80">
        <f>U397*0.55+W397*0.20+V397*0.15+X397*0.10+ROW()/1000000</f>
        <v/>
      </c>
      <c r="Z397" s="80">
        <f>IF(Y397&gt;=75,"STRONG BUY",IF(Y397&gt;=60,"BUY",IF(Y397&gt;=40,"HOLD",IF(Y397&gt;=25,"TRIM","SELL"))))</f>
        <v/>
      </c>
      <c r="AA397" s="80" t="inlineStr">
        <is>
          <t>https://www.tcgplayer.com/product/271612</t>
        </is>
      </c>
      <c r="AB397" s="80" t="inlineStr">
        <is>
          <t>LO Magnezone alt.</t>
        </is>
      </c>
    </row>
    <row r="398">
      <c r="A398" s="80" t="inlineStr">
        <is>
          <t>X155</t>
        </is>
      </c>
      <c r="B398" s="80" t="inlineStr">
        <is>
          <t>Modern Chase PSA 10</t>
        </is>
      </c>
      <c r="C398" s="80" t="inlineStr">
        <is>
          <t>T2</t>
        </is>
      </c>
      <c r="D398" s="80" t="inlineStr">
        <is>
          <t>Mimikyu V Alt Art (LO)</t>
        </is>
      </c>
      <c r="E398" s="80" t="inlineStr">
        <is>
          <t>Lost Origin</t>
        </is>
      </c>
      <c r="F398" s="80" t="inlineStr">
        <is>
          <t>TG07/TG30</t>
        </is>
      </c>
      <c r="G398" s="80" t="inlineStr">
        <is>
          <t>PSA 10</t>
        </is>
      </c>
      <c r="H398" s="80" t="n">
        <v>75</v>
      </c>
      <c r="I398" s="123" t="n">
        <v>46154</v>
      </c>
      <c r="J398" s="80" t="n">
        <v>73.02</v>
      </c>
      <c r="K398" s="80" t="n">
        <v>68.18000000000001</v>
      </c>
      <c r="L398" s="80" t="n">
        <v>61.62</v>
      </c>
      <c r="M398" s="80">
        <f>IFERROR((H398-J398)/J398,0)</f>
        <v/>
      </c>
      <c r="N398" s="80">
        <f>IFERROR((H398-K398)/K398,0)</f>
        <v/>
      </c>
      <c r="O398" s="80">
        <f>IFERROR((H398-L398)/L398,0)</f>
        <v/>
      </c>
      <c r="P398" s="80" t="n">
        <v>58</v>
      </c>
      <c r="Q398" s="80" t="n">
        <v>130</v>
      </c>
      <c r="R398" s="80" t="inlineStr">
        <is>
          <t>2-3yr</t>
        </is>
      </c>
      <c r="S398" s="80" t="n">
        <v>3</v>
      </c>
      <c r="T398" s="80" t="n">
        <v>1700</v>
      </c>
      <c r="U398" s="80">
        <f>MAX(0,MIN(100,50+((M398*0.6)+(N398*0.4))*200))</f>
        <v/>
      </c>
      <c r="V398" s="80">
        <f>MAX(20,MIN(100,50+(P398-H398)/P398*100))</f>
        <v/>
      </c>
      <c r="W398" s="80">
        <f>IFERROR(MAX(0,MIN(100,100-LOG10(T398)*16)),60)</f>
        <v/>
      </c>
      <c r="X398" s="80">
        <f>IF(C398="T2",85,IF(C398="T4",70,IF(C398="T1",65,IF(C398="T3",55,45))))</f>
        <v/>
      </c>
      <c r="Y398" s="80">
        <f>U398*0.55+W398*0.20+V398*0.15+X398*0.10+ROW()/1000000</f>
        <v/>
      </c>
      <c r="Z398" s="80">
        <f>IF(Y398&gt;=75,"STRONG BUY",IF(Y398&gt;=60,"BUY",IF(Y398&gt;=40,"HOLD",IF(Y398&gt;=25,"TRIM","SELL"))))</f>
        <v/>
      </c>
      <c r="AA398" s="80" t="inlineStr">
        <is>
          <t>https://www.tcgplayer.com/product/271606</t>
        </is>
      </c>
      <c r="AB398" s="80" t="inlineStr">
        <is>
          <t>LO Mimikyu cute factor.</t>
        </is>
      </c>
    </row>
    <row r="399">
      <c r="A399" s="80" t="inlineStr">
        <is>
          <t>X156</t>
        </is>
      </c>
      <c r="B399" s="80" t="inlineStr">
        <is>
          <t>Modern Chase PSA 10</t>
        </is>
      </c>
      <c r="C399" s="80" t="inlineStr">
        <is>
          <t>T2</t>
        </is>
      </c>
      <c r="D399" s="80" t="inlineStr">
        <is>
          <t>Drifloon V Alt Art (LO)</t>
        </is>
      </c>
      <c r="E399" s="80" t="inlineStr">
        <is>
          <t>Lost Origin</t>
        </is>
      </c>
      <c r="F399" s="80" t="inlineStr">
        <is>
          <t>TG14/TG30</t>
        </is>
      </c>
      <c r="G399" s="80" t="inlineStr">
        <is>
          <t>PSA 10</t>
        </is>
      </c>
      <c r="H399" s="80" t="n">
        <v>45</v>
      </c>
      <c r="I399" s="123" t="n">
        <v>46154</v>
      </c>
      <c r="J399" s="80" t="n">
        <v>44.72</v>
      </c>
      <c r="K399" s="80" t="n">
        <v>42.06</v>
      </c>
      <c r="L399" s="80" t="n">
        <v>40.33</v>
      </c>
      <c r="M399" s="80">
        <f>IFERROR((H399-J399)/J399,0)</f>
        <v/>
      </c>
      <c r="N399" s="80">
        <f>IFERROR((H399-K399)/K399,0)</f>
        <v/>
      </c>
      <c r="O399" s="80">
        <f>IFERROR((H399-L399)/L399,0)</f>
        <v/>
      </c>
      <c r="P399" s="80" t="n">
        <v>35</v>
      </c>
      <c r="Q399" s="80" t="n">
        <v>78</v>
      </c>
      <c r="R399" s="80" t="inlineStr">
        <is>
          <t>2-3yr</t>
        </is>
      </c>
      <c r="S399" s="80" t="n">
        <v>3</v>
      </c>
      <c r="T399" s="80" t="n">
        <v>1700</v>
      </c>
      <c r="U399" s="80">
        <f>MAX(0,MIN(100,50+((M399*0.6)+(N399*0.4))*200))</f>
        <v/>
      </c>
      <c r="V399" s="80">
        <f>MAX(20,MIN(100,50+(P399-H399)/P399*100))</f>
        <v/>
      </c>
      <c r="W399" s="80">
        <f>IFERROR(MAX(0,MIN(100,100-LOG10(T399)*16)),60)</f>
        <v/>
      </c>
      <c r="X399" s="80">
        <f>IF(C399="T2",85,IF(C399="T4",70,IF(C399="T1",65,IF(C399="T3",55,45))))</f>
        <v/>
      </c>
      <c r="Y399" s="80">
        <f>U399*0.55+W399*0.20+V399*0.15+X399*0.10+ROW()/1000000</f>
        <v/>
      </c>
      <c r="Z399" s="80">
        <f>IF(Y399&gt;=75,"STRONG BUY",IF(Y399&gt;=60,"BUY",IF(Y399&gt;=40,"HOLD",IF(Y399&gt;=25,"TRIM","SELL"))))</f>
        <v/>
      </c>
      <c r="AA399" s="80" t="inlineStr">
        <is>
          <t>https://www.tcgplayer.com/product/271613</t>
        </is>
      </c>
      <c r="AB399" s="80" t="inlineStr">
        <is>
          <t>LO Drifloon sleeper.</t>
        </is>
      </c>
    </row>
    <row r="400">
      <c r="A400" s="80" t="inlineStr">
        <is>
          <t>X157</t>
        </is>
      </c>
      <c r="B400" s="80" t="inlineStr">
        <is>
          <t>Modern Chase PSA 10</t>
        </is>
      </c>
      <c r="C400" s="80" t="inlineStr">
        <is>
          <t>T2</t>
        </is>
      </c>
      <c r="D400" s="80" t="inlineStr">
        <is>
          <t>Volcanion V Alt Art (LO)</t>
        </is>
      </c>
      <c r="E400" s="80" t="inlineStr">
        <is>
          <t>Lost Origin</t>
        </is>
      </c>
      <c r="F400" s="80" t="inlineStr">
        <is>
          <t>TG09/TG30</t>
        </is>
      </c>
      <c r="G400" s="80" t="inlineStr">
        <is>
          <t>PSA 10</t>
        </is>
      </c>
      <c r="H400" s="80" t="n">
        <v>55</v>
      </c>
      <c r="I400" s="123" t="n">
        <v>46154</v>
      </c>
      <c r="J400" s="80" t="n">
        <v>53.9</v>
      </c>
      <c r="K400" s="80" t="n">
        <v>50.93</v>
      </c>
      <c r="L400" s="80" t="n">
        <v>49.18</v>
      </c>
      <c r="M400" s="80">
        <f>IFERROR((H400-J400)/J400,0)</f>
        <v/>
      </c>
      <c r="N400" s="80">
        <f>IFERROR((H400-K400)/K400,0)</f>
        <v/>
      </c>
      <c r="O400" s="80">
        <f>IFERROR((H400-L400)/L400,0)</f>
        <v/>
      </c>
      <c r="P400" s="80" t="n">
        <v>42</v>
      </c>
      <c r="Q400" s="80" t="n">
        <v>95</v>
      </c>
      <c r="R400" s="80" t="inlineStr">
        <is>
          <t>2-3yr</t>
        </is>
      </c>
      <c r="S400" s="80" t="n">
        <v>3</v>
      </c>
      <c r="T400" s="80" t="n">
        <v>1600</v>
      </c>
      <c r="U400" s="80">
        <f>MAX(0,MIN(100,50+((M400*0.6)+(N400*0.4))*200))</f>
        <v/>
      </c>
      <c r="V400" s="80">
        <f>MAX(20,MIN(100,50+(P400-H400)/P400*100))</f>
        <v/>
      </c>
      <c r="W400" s="80">
        <f>IFERROR(MAX(0,MIN(100,100-LOG10(T400)*16)),60)</f>
        <v/>
      </c>
      <c r="X400" s="80">
        <f>IF(C400="T2",85,IF(C400="T4",70,IF(C400="T1",65,IF(C400="T3",55,45))))</f>
        <v/>
      </c>
      <c r="Y400" s="80">
        <f>U400*0.55+W400*0.20+V400*0.15+X400*0.10+ROW()/1000000</f>
        <v/>
      </c>
      <c r="Z400" s="80">
        <f>IF(Y400&gt;=75,"STRONG BUY",IF(Y400&gt;=60,"BUY",IF(Y400&gt;=40,"HOLD",IF(Y400&gt;=25,"TRIM","SELL"))))</f>
        <v/>
      </c>
      <c r="AA400" s="80" t="inlineStr">
        <is>
          <t>https://www.tcgplayer.com/product/271608</t>
        </is>
      </c>
      <c r="AB400" s="80" t="inlineStr">
        <is>
          <t>LO Volcanion.</t>
        </is>
      </c>
    </row>
    <row r="401">
      <c r="A401" s="80" t="inlineStr">
        <is>
          <t>X158</t>
        </is>
      </c>
      <c r="B401" s="80" t="inlineStr">
        <is>
          <t>Modern Chase PSA 10</t>
        </is>
      </c>
      <c r="C401" s="80" t="inlineStr">
        <is>
          <t>T2</t>
        </is>
      </c>
      <c r="D401" s="80" t="inlineStr">
        <is>
          <t>Pikachu Trainer Gallery (LO)</t>
        </is>
      </c>
      <c r="E401" s="80" t="inlineStr">
        <is>
          <t>Lost Origin</t>
        </is>
      </c>
      <c r="F401" s="80" t="inlineStr">
        <is>
          <t>TG14/TG30</t>
        </is>
      </c>
      <c r="G401" s="80" t="inlineStr">
        <is>
          <t>PSA 10</t>
        </is>
      </c>
      <c r="H401" s="80" t="n">
        <v>90</v>
      </c>
      <c r="I401" s="123" t="n">
        <v>46154</v>
      </c>
      <c r="J401" s="80" t="n">
        <v>88.41</v>
      </c>
      <c r="K401" s="80" t="n">
        <v>80.36</v>
      </c>
      <c r="L401" s="80" t="n">
        <v>73.15000000000001</v>
      </c>
      <c r="M401" s="80">
        <f>IFERROR((H401-J401)/J401,0)</f>
        <v/>
      </c>
      <c r="N401" s="80">
        <f>IFERROR((H401-K401)/K401,0)</f>
        <v/>
      </c>
      <c r="O401" s="80">
        <f>IFERROR((H401-L401)/L401,0)</f>
        <v/>
      </c>
      <c r="P401" s="80" t="n">
        <v>70</v>
      </c>
      <c r="Q401" s="80" t="n">
        <v>160</v>
      </c>
      <c r="R401" s="80" t="inlineStr">
        <is>
          <t>2-3yr</t>
        </is>
      </c>
      <c r="S401" s="80" t="n">
        <v>4</v>
      </c>
      <c r="T401" s="80" t="n">
        <v>2800</v>
      </c>
      <c r="U401" s="80">
        <f>MAX(0,MIN(100,50+((M401*0.6)+(N401*0.4))*200))</f>
        <v/>
      </c>
      <c r="V401" s="80">
        <f>MAX(20,MIN(100,50+(P401-H401)/P401*100))</f>
        <v/>
      </c>
      <c r="W401" s="80">
        <f>IFERROR(MAX(0,MIN(100,100-LOG10(T401)*16)),60)</f>
        <v/>
      </c>
      <c r="X401" s="80">
        <f>IF(C401="T2",85,IF(C401="T4",70,IF(C401="T1",65,IF(C401="T3",55,45))))</f>
        <v/>
      </c>
      <c r="Y401" s="80">
        <f>U401*0.55+W401*0.20+V401*0.15+X401*0.10+ROW()/1000000</f>
        <v/>
      </c>
      <c r="Z401" s="80">
        <f>IF(Y401&gt;=75,"STRONG BUY",IF(Y401&gt;=60,"BUY",IF(Y401&gt;=40,"HOLD",IF(Y401&gt;=25,"TRIM","SELL"))))</f>
        <v/>
      </c>
      <c r="AA401" s="80" t="inlineStr">
        <is>
          <t>https://www.tcgplayer.com/product/271613</t>
        </is>
      </c>
      <c r="AB401" s="80" t="inlineStr">
        <is>
          <t>LO Pikachu TG. Pikachu premium.</t>
        </is>
      </c>
    </row>
    <row r="402">
      <c r="A402" s="80" t="inlineStr">
        <is>
          <t>X159</t>
        </is>
      </c>
      <c r="B402" s="80" t="inlineStr">
        <is>
          <t>Modern Chase PSA 10</t>
        </is>
      </c>
      <c r="C402" s="80" t="inlineStr">
        <is>
          <t>T2</t>
        </is>
      </c>
      <c r="D402" s="80" t="inlineStr">
        <is>
          <t>Arceus V Alt Art (BRS)</t>
        </is>
      </c>
      <c r="E402" s="80" t="inlineStr">
        <is>
          <t>Brilliant Stars</t>
        </is>
      </c>
      <c r="F402" s="80" t="inlineStr">
        <is>
          <t>166/172</t>
        </is>
      </c>
      <c r="G402" s="80" t="inlineStr">
        <is>
          <t>PSA 10</t>
        </is>
      </c>
      <c r="H402" s="80" t="n">
        <v>95</v>
      </c>
      <c r="I402" s="123" t="n">
        <v>46154</v>
      </c>
      <c r="J402" s="80" t="n">
        <v>92.05</v>
      </c>
      <c r="K402" s="80" t="n">
        <v>86.36</v>
      </c>
      <c r="L402" s="80" t="n">
        <v>80.22</v>
      </c>
      <c r="M402" s="80">
        <f>IFERROR((H402-J402)/J402,0)</f>
        <v/>
      </c>
      <c r="N402" s="80">
        <f>IFERROR((H402-K402)/K402,0)</f>
        <v/>
      </c>
      <c r="O402" s="80">
        <f>IFERROR((H402-L402)/L402,0)</f>
        <v/>
      </c>
      <c r="P402" s="80" t="n">
        <v>75</v>
      </c>
      <c r="Q402" s="80" t="n">
        <v>165</v>
      </c>
      <c r="R402" s="80" t="inlineStr">
        <is>
          <t>2-3yr</t>
        </is>
      </c>
      <c r="S402" s="80" t="n">
        <v>3</v>
      </c>
      <c r="T402" s="80" t="n">
        <v>2400</v>
      </c>
      <c r="U402" s="80">
        <f>MAX(0,MIN(100,50+((M402*0.6)+(N402*0.4))*200))</f>
        <v/>
      </c>
      <c r="V402" s="80">
        <f>MAX(20,MIN(100,50+(P402-H402)/P402*100))</f>
        <v/>
      </c>
      <c r="W402" s="80">
        <f>IFERROR(MAX(0,MIN(100,100-LOG10(T402)*16)),60)</f>
        <v/>
      </c>
      <c r="X402" s="80">
        <f>IF(C402="T2",85,IF(C402="T4",70,IF(C402="T1",65,IF(C402="T3",55,45))))</f>
        <v/>
      </c>
      <c r="Y402" s="80">
        <f>U402*0.55+W402*0.20+V402*0.15+X402*0.10+ROW()/1000000</f>
        <v/>
      </c>
      <c r="Z402" s="80">
        <f>IF(Y402&gt;=75,"STRONG BUY",IF(Y402&gt;=60,"BUY",IF(Y402&gt;=40,"HOLD",IF(Y402&gt;=25,"TRIM","SELL"))))</f>
        <v/>
      </c>
      <c r="AA402" s="80" t="inlineStr">
        <is>
          <t>https://www.tcgplayer.com/product/261967</t>
        </is>
      </c>
      <c r="AB402" s="80" t="inlineStr">
        <is>
          <t>BRS Arceus V alt.</t>
        </is>
      </c>
    </row>
    <row r="403">
      <c r="A403" s="80" t="inlineStr">
        <is>
          <t>X160</t>
        </is>
      </c>
      <c r="B403" s="80" t="inlineStr">
        <is>
          <t>Modern Chase PSA 10</t>
        </is>
      </c>
      <c r="C403" s="80" t="inlineStr">
        <is>
          <t>T2</t>
        </is>
      </c>
      <c r="D403" s="80" t="inlineStr">
        <is>
          <t>Greninja V Alt Art (FS)</t>
        </is>
      </c>
      <c r="E403" s="80" t="inlineStr">
        <is>
          <t>Fusion Strike</t>
        </is>
      </c>
      <c r="F403" s="80" t="inlineStr">
        <is>
          <t>271/264</t>
        </is>
      </c>
      <c r="G403" s="80" t="inlineStr">
        <is>
          <t>PSA 10</t>
        </is>
      </c>
      <c r="H403" s="80" t="n">
        <v>95</v>
      </c>
      <c r="I403" s="123" t="n">
        <v>46154</v>
      </c>
      <c r="J403" s="80" t="n">
        <v>92.94</v>
      </c>
      <c r="K403" s="80" t="n">
        <v>86.36</v>
      </c>
      <c r="L403" s="80" t="n">
        <v>83.58</v>
      </c>
      <c r="M403" s="80">
        <f>IFERROR((H403-J403)/J403,0)</f>
        <v/>
      </c>
      <c r="N403" s="80">
        <f>IFERROR((H403-K403)/K403,0)</f>
        <v/>
      </c>
      <c r="O403" s="80">
        <f>IFERROR((H403-L403)/L403,0)</f>
        <v/>
      </c>
      <c r="P403" s="80" t="n">
        <v>75</v>
      </c>
      <c r="Q403" s="80" t="n">
        <v>165</v>
      </c>
      <c r="R403" s="80" t="inlineStr">
        <is>
          <t>2-3yr</t>
        </is>
      </c>
      <c r="S403" s="80" t="n">
        <v>4</v>
      </c>
      <c r="T403" s="80" t="n">
        <v>1900</v>
      </c>
      <c r="U403" s="80">
        <f>MAX(0,MIN(100,50+((M403*0.6)+(N403*0.4))*200))</f>
        <v/>
      </c>
      <c r="V403" s="80">
        <f>MAX(20,MIN(100,50+(P403-H403)/P403*100))</f>
        <v/>
      </c>
      <c r="W403" s="80">
        <f>IFERROR(MAX(0,MIN(100,100-LOG10(T403)*16)),60)</f>
        <v/>
      </c>
      <c r="X403" s="80">
        <f>IF(C403="T2",85,IF(C403="T4",70,IF(C403="T1",65,IF(C403="T3",55,45))))</f>
        <v/>
      </c>
      <c r="Y403" s="80">
        <f>U403*0.55+W403*0.20+V403*0.15+X403*0.10+ROW()/1000000</f>
        <v/>
      </c>
      <c r="Z403" s="80">
        <f>IF(Y403&gt;=75,"STRONG BUY",IF(Y403&gt;=60,"BUY",IF(Y403&gt;=40,"HOLD",IF(Y403&gt;=25,"TRIM","SELL"))))</f>
        <v/>
      </c>
      <c r="AA403" s="80" t="inlineStr">
        <is>
          <t>https://www.tcgplayer.com/product/254094</t>
        </is>
      </c>
      <c r="AB403" s="80" t="inlineStr">
        <is>
          <t>FS Greninja alt (out of print).</t>
        </is>
      </c>
    </row>
    <row r="404">
      <c r="A404" s="80" t="inlineStr">
        <is>
          <t>X161</t>
        </is>
      </c>
      <c r="B404" s="80" t="inlineStr">
        <is>
          <t>Modern Chase PSA 10</t>
        </is>
      </c>
      <c r="C404" s="80" t="inlineStr">
        <is>
          <t>T5</t>
        </is>
      </c>
      <c r="D404" s="80" t="inlineStr">
        <is>
          <t>Cynthia's Power Trainer (raw)</t>
        </is>
      </c>
      <c r="E404" s="80" t="inlineStr">
        <is>
          <t>Astral Radiance</t>
        </is>
      </c>
      <c r="F404" s="80" t="inlineStr">
        <is>
          <t>TG14/TG30</t>
        </is>
      </c>
      <c r="G404" s="80" t="inlineStr">
        <is>
          <t>Raw NM</t>
        </is>
      </c>
      <c r="H404" s="80" t="n">
        <v>18</v>
      </c>
      <c r="I404" s="123" t="n">
        <v>46154</v>
      </c>
      <c r="J404" s="80" t="n">
        <v>17.69</v>
      </c>
      <c r="K404" s="80" t="n">
        <v>16.36</v>
      </c>
      <c r="L404" s="80" t="n">
        <v>15.33</v>
      </c>
      <c r="M404" s="80">
        <f>IFERROR((H404-J404)/J404,0)</f>
        <v/>
      </c>
      <c r="N404" s="80">
        <f>IFERROR((H404-K404)/K404,0)</f>
        <v/>
      </c>
      <c r="O404" s="80">
        <f>IFERROR((H404-L404)/L404,0)</f>
        <v/>
      </c>
      <c r="P404" s="80" t="n">
        <v>12</v>
      </c>
      <c r="Q404" s="80" t="n">
        <v>38</v>
      </c>
      <c r="R404" s="80" t="inlineStr">
        <is>
          <t>1-2yr</t>
        </is>
      </c>
      <c r="S404" s="80" t="n">
        <v>3</v>
      </c>
      <c r="U404" s="80">
        <f>MAX(0,MIN(100,50+((M404*0.6)+(N404*0.4))*200))</f>
        <v/>
      </c>
      <c r="V404" s="80">
        <f>MAX(20,MIN(100,50+(P404-H404)/P404*100))</f>
        <v/>
      </c>
      <c r="W404" s="80">
        <f>IFERROR(MAX(0,MIN(100,100-LOG10(T404)*16)),60)</f>
        <v/>
      </c>
      <c r="X404" s="80">
        <f>IF(C404="T2",85,IF(C404="T4",70,IF(C404="T1",65,IF(C404="T3",55,45))))</f>
        <v/>
      </c>
      <c r="Y404" s="80">
        <f>U404*0.55+W404*0.20+V404*0.15+X404*0.10+ROW()/1000000</f>
        <v/>
      </c>
      <c r="Z404" s="80">
        <f>IF(Y404&gt;=75,"STRONG BUY",IF(Y404&gt;=60,"BUY",IF(Y404&gt;=40,"HOLD",IF(Y404&gt;=25,"TRIM","SELL"))))</f>
        <v/>
      </c>
      <c r="AA404" s="80" t="inlineStr">
        <is>
          <t>https://www.tcgplayer.com/product/267750</t>
        </is>
      </c>
      <c r="AB404" s="80" t="inlineStr">
        <is>
          <t>Cynthia trainer raw. Sub for grade.</t>
        </is>
      </c>
    </row>
    <row r="405">
      <c r="A405" s="80" t="inlineStr">
        <is>
          <t>X162</t>
        </is>
      </c>
      <c r="B405" s="80" t="inlineStr">
        <is>
          <t>Modern Chase PSA 10</t>
        </is>
      </c>
      <c r="C405" s="80" t="inlineStr">
        <is>
          <t>T5</t>
        </is>
      </c>
      <c r="D405" s="80" t="inlineStr">
        <is>
          <t>Allister Trainer Gallery (raw)</t>
        </is>
      </c>
      <c r="E405" s="80" t="inlineStr">
        <is>
          <t>Astral Radiance</t>
        </is>
      </c>
      <c r="F405" s="80" t="inlineStr">
        <is>
          <t>TG24/TG30</t>
        </is>
      </c>
      <c r="G405" s="80" t="inlineStr">
        <is>
          <t>Raw NM</t>
        </is>
      </c>
      <c r="H405" s="80" t="n">
        <v>14</v>
      </c>
      <c r="I405" s="123" t="n">
        <v>46154</v>
      </c>
      <c r="J405" s="80" t="n">
        <v>13.84</v>
      </c>
      <c r="K405" s="80" t="n">
        <v>12.96</v>
      </c>
      <c r="L405" s="80" t="n">
        <v>12.15</v>
      </c>
      <c r="M405" s="80">
        <f>IFERROR((H405-J405)/J405,0)</f>
        <v/>
      </c>
      <c r="N405" s="80">
        <f>IFERROR((H405-K405)/K405,0)</f>
        <v/>
      </c>
      <c r="O405" s="80">
        <f>IFERROR((H405-L405)/L405,0)</f>
        <v/>
      </c>
      <c r="P405" s="80" t="n">
        <v>10</v>
      </c>
      <c r="Q405" s="80" t="n">
        <v>30</v>
      </c>
      <c r="R405" s="80" t="inlineStr">
        <is>
          <t>1-2yr</t>
        </is>
      </c>
      <c r="S405" s="80" t="n">
        <v>3</v>
      </c>
      <c r="U405" s="80">
        <f>MAX(0,MIN(100,50+((M405*0.6)+(N405*0.4))*200))</f>
        <v/>
      </c>
      <c r="V405" s="80">
        <f>MAX(20,MIN(100,50+(P405-H405)/P405*100))</f>
        <v/>
      </c>
      <c r="W405" s="80">
        <f>IFERROR(MAX(0,MIN(100,100-LOG10(T405)*16)),60)</f>
        <v/>
      </c>
      <c r="X405" s="80">
        <f>IF(C405="T2",85,IF(C405="T4",70,IF(C405="T1",65,IF(C405="T3",55,45))))</f>
        <v/>
      </c>
      <c r="Y405" s="80">
        <f>U405*0.55+W405*0.20+V405*0.15+X405*0.10+ROW()/1000000</f>
        <v/>
      </c>
      <c r="Z405" s="80">
        <f>IF(Y405&gt;=75,"STRONG BUY",IF(Y405&gt;=60,"BUY",IF(Y405&gt;=40,"HOLD",IF(Y405&gt;=25,"TRIM","SELL"))))</f>
        <v/>
      </c>
      <c r="AA405" s="80" t="inlineStr">
        <is>
          <t>https://www.tcgplayer.com/product/271629</t>
        </is>
      </c>
      <c r="AB405" s="80" t="inlineStr">
        <is>
          <t>AR Allister raw.</t>
        </is>
      </c>
    </row>
    <row r="406">
      <c r="A406" s="80" t="inlineStr">
        <is>
          <t>X163</t>
        </is>
      </c>
      <c r="B406" s="80" t="inlineStr">
        <is>
          <t>Modern Chase PSA 10</t>
        </is>
      </c>
      <c r="C406" s="80" t="inlineStr">
        <is>
          <t>T5</t>
        </is>
      </c>
      <c r="D406" s="80" t="inlineStr">
        <is>
          <t>Avery Trainer Gallery (raw)</t>
        </is>
      </c>
      <c r="E406" s="80" t="inlineStr">
        <is>
          <t>Astral Radiance</t>
        </is>
      </c>
      <c r="F406" s="80" t="inlineStr">
        <is>
          <t>TG25/TG30</t>
        </is>
      </c>
      <c r="G406" s="80" t="inlineStr">
        <is>
          <t>Raw NM</t>
        </is>
      </c>
      <c r="H406" s="80" t="n">
        <v>11</v>
      </c>
      <c r="I406" s="123" t="n">
        <v>46154</v>
      </c>
      <c r="J406" s="80" t="n">
        <v>10.62</v>
      </c>
      <c r="K406" s="80" t="n">
        <v>10.19</v>
      </c>
      <c r="L406" s="80" t="n">
        <v>9.720000000000001</v>
      </c>
      <c r="M406" s="80">
        <f>IFERROR((H406-J406)/J406,0)</f>
        <v/>
      </c>
      <c r="N406" s="80">
        <f>IFERROR((H406-K406)/K406,0)</f>
        <v/>
      </c>
      <c r="O406" s="80">
        <f>IFERROR((H406-L406)/L406,0)</f>
        <v/>
      </c>
      <c r="P406" s="80" t="n">
        <v>7</v>
      </c>
      <c r="Q406" s="80" t="n">
        <v>24</v>
      </c>
      <c r="R406" s="80" t="inlineStr">
        <is>
          <t>1-2yr</t>
        </is>
      </c>
      <c r="S406" s="80" t="n">
        <v>3</v>
      </c>
      <c r="U406" s="80">
        <f>MAX(0,MIN(100,50+((M406*0.6)+(N406*0.4))*200))</f>
        <v/>
      </c>
      <c r="V406" s="80">
        <f>MAX(20,MIN(100,50+(P406-H406)/P406*100))</f>
        <v/>
      </c>
      <c r="W406" s="80">
        <f>IFERROR(MAX(0,MIN(100,100-LOG10(T406)*16)),60)</f>
        <v/>
      </c>
      <c r="X406" s="80">
        <f>IF(C406="T2",85,IF(C406="T4",70,IF(C406="T1",65,IF(C406="T3",55,45))))</f>
        <v/>
      </c>
      <c r="Y406" s="80">
        <f>U406*0.55+W406*0.20+V406*0.15+X406*0.10+ROW()/1000000</f>
        <v/>
      </c>
      <c r="Z406" s="80">
        <f>IF(Y406&gt;=75,"STRONG BUY",IF(Y406&gt;=60,"BUY",IF(Y406&gt;=40,"HOLD",IF(Y406&gt;=25,"TRIM","SELL"))))</f>
        <v/>
      </c>
      <c r="AA406" s="80" t="inlineStr">
        <is>
          <t>https://www.tcgplayer.com/product/271630</t>
        </is>
      </c>
      <c r="AB406" s="80" t="inlineStr">
        <is>
          <t>AR Avery raw.</t>
        </is>
      </c>
    </row>
    <row r="407">
      <c r="A407" s="80" t="inlineStr">
        <is>
          <t>X164</t>
        </is>
      </c>
      <c r="B407" s="80" t="inlineStr">
        <is>
          <t>Modern Chase PSA 10</t>
        </is>
      </c>
      <c r="C407" s="80" t="inlineStr">
        <is>
          <t>T5</t>
        </is>
      </c>
      <c r="D407" s="80" t="inlineStr">
        <is>
          <t>Drasna Trainer Gallery (raw)</t>
        </is>
      </c>
      <c r="E407" s="80" t="inlineStr">
        <is>
          <t>Silver Tempest</t>
        </is>
      </c>
      <c r="F407" s="80" t="inlineStr">
        <is>
          <t>TG28/TG30</t>
        </is>
      </c>
      <c r="G407" s="80" t="inlineStr">
        <is>
          <t>Raw NM</t>
        </is>
      </c>
      <c r="H407" s="80" t="n">
        <v>13</v>
      </c>
      <c r="I407" s="123" t="n">
        <v>46154</v>
      </c>
      <c r="J407" s="80" t="n">
        <v>12.55</v>
      </c>
      <c r="K407" s="80" t="n">
        <v>12.04</v>
      </c>
      <c r="L407" s="80" t="n">
        <v>10.9</v>
      </c>
      <c r="M407" s="80">
        <f>IFERROR((H407-J407)/J407,0)</f>
        <v/>
      </c>
      <c r="N407" s="80">
        <f>IFERROR((H407-K407)/K407,0)</f>
        <v/>
      </c>
      <c r="O407" s="80">
        <f>IFERROR((H407-L407)/L407,0)</f>
        <v/>
      </c>
      <c r="P407" s="80" t="n">
        <v>9</v>
      </c>
      <c r="Q407" s="80" t="n">
        <v>28</v>
      </c>
      <c r="R407" s="80" t="inlineStr">
        <is>
          <t>1-2yr</t>
        </is>
      </c>
      <c r="S407" s="80" t="n">
        <v>3</v>
      </c>
      <c r="U407" s="80">
        <f>MAX(0,MIN(100,50+((M407*0.6)+(N407*0.4))*200))</f>
        <v/>
      </c>
      <c r="V407" s="80">
        <f>MAX(20,MIN(100,50+(P407-H407)/P407*100))</f>
        <v/>
      </c>
      <c r="W407" s="80">
        <f>IFERROR(MAX(0,MIN(100,100-LOG10(T407)*16)),60)</f>
        <v/>
      </c>
      <c r="X407" s="80">
        <f>IF(C407="T2",85,IF(C407="T4",70,IF(C407="T1",65,IF(C407="T3",55,45))))</f>
        <v/>
      </c>
      <c r="Y407" s="80">
        <f>U407*0.55+W407*0.20+V407*0.15+X407*0.10+ROW()/1000000</f>
        <v/>
      </c>
      <c r="Z407" s="80">
        <f>IF(Y407&gt;=75,"STRONG BUY",IF(Y407&gt;=60,"BUY",IF(Y407&gt;=40,"HOLD",IF(Y407&gt;=25,"TRIM","SELL"))))</f>
        <v/>
      </c>
      <c r="AA407" s="80" t="inlineStr">
        <is>
          <t>https://www.tcgplayer.com/product/278918</t>
        </is>
      </c>
      <c r="AB407" s="80" t="inlineStr">
        <is>
          <t>ST Drasna raw.</t>
        </is>
      </c>
    </row>
    <row r="408">
      <c r="A408" s="80" t="inlineStr">
        <is>
          <t>X165</t>
        </is>
      </c>
      <c r="B408" s="80" t="inlineStr">
        <is>
          <t>Modern Chase PSA 10</t>
        </is>
      </c>
      <c r="C408" s="80" t="inlineStr">
        <is>
          <t>T5</t>
        </is>
      </c>
      <c r="D408" s="80" t="inlineStr">
        <is>
          <t>Cynthia Skla Trainer Gallery</t>
        </is>
      </c>
      <c r="E408" s="80" t="inlineStr">
        <is>
          <t>Silver Tempest</t>
        </is>
      </c>
      <c r="F408" s="80" t="inlineStr">
        <is>
          <t>TG29/TG30</t>
        </is>
      </c>
      <c r="G408" s="80" t="inlineStr">
        <is>
          <t>Raw NM</t>
        </is>
      </c>
      <c r="H408" s="80" t="n">
        <v>18</v>
      </c>
      <c r="I408" s="123" t="n">
        <v>46154</v>
      </c>
      <c r="J408" s="80" t="n">
        <v>17.75</v>
      </c>
      <c r="K408" s="80" t="n">
        <v>16.36</v>
      </c>
      <c r="L408" s="80" t="n">
        <v>14.95</v>
      </c>
      <c r="M408" s="80">
        <f>IFERROR((H408-J408)/J408,0)</f>
        <v/>
      </c>
      <c r="N408" s="80">
        <f>IFERROR((H408-K408)/K408,0)</f>
        <v/>
      </c>
      <c r="O408" s="80">
        <f>IFERROR((H408-L408)/L408,0)</f>
        <v/>
      </c>
      <c r="P408" s="80" t="n">
        <v>12</v>
      </c>
      <c r="Q408" s="80" t="n">
        <v>38</v>
      </c>
      <c r="R408" s="80" t="inlineStr">
        <is>
          <t>1-2yr</t>
        </is>
      </c>
      <c r="S408" s="80" t="n">
        <v>3</v>
      </c>
      <c r="U408" s="80">
        <f>MAX(0,MIN(100,50+((M408*0.6)+(N408*0.4))*200))</f>
        <v/>
      </c>
      <c r="V408" s="80">
        <f>MAX(20,MIN(100,50+(P408-H408)/P408*100))</f>
        <v/>
      </c>
      <c r="W408" s="80">
        <f>IFERROR(MAX(0,MIN(100,100-LOG10(T408)*16)),60)</f>
        <v/>
      </c>
      <c r="X408" s="80">
        <f>IF(C408="T2",85,IF(C408="T4",70,IF(C408="T1",65,IF(C408="T3",55,45))))</f>
        <v/>
      </c>
      <c r="Y408" s="80">
        <f>U408*0.55+W408*0.20+V408*0.15+X408*0.10+ROW()/1000000</f>
        <v/>
      </c>
      <c r="Z408" s="80">
        <f>IF(Y408&gt;=75,"STRONG BUY",IF(Y408&gt;=60,"BUY",IF(Y408&gt;=40,"HOLD",IF(Y408&gt;=25,"TRIM","SELL"))))</f>
        <v/>
      </c>
      <c r="AA408" s="80" t="inlineStr">
        <is>
          <t>https://www.tcgplayer.com/product/278919</t>
        </is>
      </c>
      <c r="AB408" s="80" t="inlineStr">
        <is>
          <t>ST Cynthia raw.</t>
        </is>
      </c>
    </row>
    <row r="409">
      <c r="A409" s="80" t="inlineStr">
        <is>
          <t>V901</t>
        </is>
      </c>
      <c r="B409" s="80" t="inlineStr">
        <is>
          <t>Vintage Graded Singles</t>
        </is>
      </c>
      <c r="C409" s="80" t="inlineStr">
        <is>
          <t>T1</t>
        </is>
      </c>
      <c r="D409" s="80" t="inlineStr">
        <is>
          <t>Mewtwo Base Unlimited PSA 7</t>
        </is>
      </c>
      <c r="E409" s="80" t="inlineStr">
        <is>
          <t>Base Set</t>
        </is>
      </c>
      <c r="F409" s="80" t="inlineStr">
        <is>
          <t>10/102</t>
        </is>
      </c>
      <c r="G409" s="80" t="inlineStr">
        <is>
          <t>PSA 7</t>
        </is>
      </c>
      <c r="H409" s="80" t="n">
        <v>80</v>
      </c>
      <c r="I409" s="123" t="n">
        <v>46154</v>
      </c>
      <c r="J409" s="80" t="n">
        <v>78.54000000000001</v>
      </c>
      <c r="K409" s="80" t="n">
        <v>76.19</v>
      </c>
      <c r="L409" s="80" t="n">
        <v>74.31</v>
      </c>
      <c r="M409" s="80">
        <f>IFERROR((H409-J409)/J409,0)</f>
        <v/>
      </c>
      <c r="N409" s="80">
        <f>IFERROR((H409-K409)/K409,0)</f>
        <v/>
      </c>
      <c r="O409" s="80">
        <f>IFERROR((H409-L409)/L409,0)</f>
        <v/>
      </c>
      <c r="P409" s="80" t="n">
        <v>60</v>
      </c>
      <c r="Q409" s="80" t="n">
        <v>130</v>
      </c>
      <c r="R409" s="80" t="inlineStr">
        <is>
          <t>5-10yr</t>
        </is>
      </c>
      <c r="S409" s="80" t="n">
        <v>3</v>
      </c>
      <c r="T409" s="80" t="n">
        <v>4500</v>
      </c>
      <c r="U409" s="80">
        <f>MAX(0,MIN(100,50+((M409*0.6)+(N409*0.4))*200))</f>
        <v/>
      </c>
      <c r="V409" s="80">
        <f>MAX(20,MIN(100,50+(P409-H409)/P409*100))</f>
        <v/>
      </c>
      <c r="W409" s="80">
        <f>IFERROR(MAX(0,MIN(100,100-LOG10(T409)*16)),60)</f>
        <v/>
      </c>
      <c r="X409" s="80">
        <f>IF(C409="T2",85,IF(C409="T4",70,IF(C409="T1",65,IF(C409="T3",55,45))))</f>
        <v/>
      </c>
      <c r="Y409" s="80">
        <f>U409*0.55+W409*0.20+V409*0.15+X409*0.10+ROW()/1000000</f>
        <v/>
      </c>
      <c r="Z409" s="80">
        <f>IF(Y409&gt;=75,"STRONG BUY",IF(Y409&gt;=60,"BUY",IF(Y409&gt;=40,"HOLD",IF(Y409&gt;=25,"TRIM","SELL"))))</f>
        <v/>
      </c>
      <c r="AA409" s="80" t="inlineStr">
        <is>
          <t>https://www.pricecharting.com/game/pokemon-base-set/mewtwo-10</t>
        </is>
      </c>
      <c r="AB409" s="80" t="inlineStr">
        <is>
          <t>PSA 7 Base Mewtwo. Lowest vintage entry.</t>
        </is>
      </c>
    </row>
    <row r="410">
      <c r="A410" s="80" t="inlineStr">
        <is>
          <t>V902</t>
        </is>
      </c>
      <c r="B410" s="80" t="inlineStr">
        <is>
          <t>Vintage Graded Singles</t>
        </is>
      </c>
      <c r="C410" s="80" t="inlineStr">
        <is>
          <t>T1</t>
        </is>
      </c>
      <c r="D410" s="80" t="inlineStr">
        <is>
          <t>Charizard Base Unlimited PSA 7</t>
        </is>
      </c>
      <c r="E410" s="80" t="inlineStr">
        <is>
          <t>Base Set</t>
        </is>
      </c>
      <c r="F410" s="80" t="inlineStr">
        <is>
          <t>4/102</t>
        </is>
      </c>
      <c r="G410" s="80" t="inlineStr">
        <is>
          <t>PSA 7</t>
        </is>
      </c>
      <c r="H410" s="80" t="n">
        <v>320</v>
      </c>
      <c r="I410" s="123" t="n">
        <v>46154</v>
      </c>
      <c r="J410" s="80" t="n">
        <v>318.83</v>
      </c>
      <c r="K410" s="80" t="n">
        <v>301.89</v>
      </c>
      <c r="L410" s="80" t="n">
        <v>272.98</v>
      </c>
      <c r="M410" s="80">
        <f>IFERROR((H410-J410)/J410,0)</f>
        <v/>
      </c>
      <c r="N410" s="80">
        <f>IFERROR((H410-K410)/K410,0)</f>
        <v/>
      </c>
      <c r="O410" s="80">
        <f>IFERROR((H410-L410)/L410,0)</f>
        <v/>
      </c>
      <c r="P410" s="80" t="n">
        <v>250</v>
      </c>
      <c r="Q410" s="80" t="n">
        <v>520</v>
      </c>
      <c r="R410" s="80" t="inlineStr">
        <is>
          <t>5-10yr</t>
        </is>
      </c>
      <c r="S410" s="80" t="n">
        <v>3</v>
      </c>
      <c r="T410" s="80" t="n">
        <v>6500</v>
      </c>
      <c r="U410" s="80">
        <f>MAX(0,MIN(100,50+((M410*0.6)+(N410*0.4))*200))</f>
        <v/>
      </c>
      <c r="V410" s="80">
        <f>MAX(20,MIN(100,50+(P410-H410)/P410*100))</f>
        <v/>
      </c>
      <c r="W410" s="80">
        <f>IFERROR(MAX(0,MIN(100,100-LOG10(T410)*16)),60)</f>
        <v/>
      </c>
      <c r="X410" s="80">
        <f>IF(C410="T2",85,IF(C410="T4",70,IF(C410="T1",65,IF(C410="T3",55,45))))</f>
        <v/>
      </c>
      <c r="Y410" s="80">
        <f>U410*0.55+W410*0.20+V410*0.15+X410*0.10+ROW()/1000000</f>
        <v/>
      </c>
      <c r="Z410" s="80">
        <f>IF(Y410&gt;=75,"STRONG BUY",IF(Y410&gt;=60,"BUY",IF(Y410&gt;=40,"HOLD",IF(Y410&gt;=25,"TRIM","SELL"))))</f>
        <v/>
      </c>
      <c r="AA410" s="80" t="inlineStr">
        <is>
          <t>https://www.pricecharting.com/game/pokemon-base-set/charizard-4</t>
        </is>
      </c>
      <c r="AB410" s="80" t="inlineStr">
        <is>
          <t>PSA 7 Base Char — cheapest grade.</t>
        </is>
      </c>
    </row>
    <row r="411">
      <c r="A411" s="80" t="inlineStr">
        <is>
          <t>V903</t>
        </is>
      </c>
      <c r="B411" s="80" t="inlineStr">
        <is>
          <t>Vintage Graded Singles</t>
        </is>
      </c>
      <c r="C411" s="80" t="inlineStr">
        <is>
          <t>T1</t>
        </is>
      </c>
      <c r="D411" s="80" t="inlineStr">
        <is>
          <t>Blastoise Base Unlimited PSA 7</t>
        </is>
      </c>
      <c r="E411" s="80" t="inlineStr">
        <is>
          <t>Base Set</t>
        </is>
      </c>
      <c r="F411" s="80" t="inlineStr">
        <is>
          <t>2/102</t>
        </is>
      </c>
      <c r="G411" s="80" t="inlineStr">
        <is>
          <t>PSA 7</t>
        </is>
      </c>
      <c r="H411" s="80" t="n">
        <v>130</v>
      </c>
      <c r="I411" s="123" t="n">
        <v>46154</v>
      </c>
      <c r="J411" s="80" t="n">
        <v>127.08</v>
      </c>
      <c r="K411" s="80" t="n">
        <v>125</v>
      </c>
      <c r="L411" s="80" t="n">
        <v>117.64</v>
      </c>
      <c r="M411" s="80">
        <f>IFERROR((H411-J411)/J411,0)</f>
        <v/>
      </c>
      <c r="N411" s="80">
        <f>IFERROR((H411-K411)/K411,0)</f>
        <v/>
      </c>
      <c r="O411" s="80">
        <f>IFERROR((H411-L411)/L411,0)</f>
        <v/>
      </c>
      <c r="P411" s="80" t="n">
        <v>100</v>
      </c>
      <c r="Q411" s="80" t="n">
        <v>210</v>
      </c>
      <c r="R411" s="80" t="inlineStr">
        <is>
          <t>5-10yr</t>
        </is>
      </c>
      <c r="S411" s="80" t="n">
        <v>3</v>
      </c>
      <c r="T411" s="80" t="n">
        <v>2800</v>
      </c>
      <c r="U411" s="80">
        <f>MAX(0,MIN(100,50+((M411*0.6)+(N411*0.4))*200))</f>
        <v/>
      </c>
      <c r="V411" s="80">
        <f>MAX(20,MIN(100,50+(P411-H411)/P411*100))</f>
        <v/>
      </c>
      <c r="W411" s="80">
        <f>IFERROR(MAX(0,MIN(100,100-LOG10(T411)*16)),60)</f>
        <v/>
      </c>
      <c r="X411" s="80">
        <f>IF(C411="T2",85,IF(C411="T4",70,IF(C411="T1",65,IF(C411="T3",55,45))))</f>
        <v/>
      </c>
      <c r="Y411" s="80">
        <f>U411*0.55+W411*0.20+V411*0.15+X411*0.10+ROW()/1000000</f>
        <v/>
      </c>
      <c r="Z411" s="80">
        <f>IF(Y411&gt;=75,"STRONG BUY",IF(Y411&gt;=60,"BUY",IF(Y411&gt;=40,"HOLD",IF(Y411&gt;=25,"TRIM","SELL"))))</f>
        <v/>
      </c>
      <c r="AA411" s="80" t="inlineStr">
        <is>
          <t>https://www.pricecharting.com/game/pokemon-base-set/blastoise-2</t>
        </is>
      </c>
      <c r="AB411" s="80" t="inlineStr">
        <is>
          <t>PSA 7 Blastoise.</t>
        </is>
      </c>
    </row>
    <row r="412">
      <c r="A412" s="80" t="inlineStr">
        <is>
          <t>V904</t>
        </is>
      </c>
      <c r="B412" s="80" t="inlineStr">
        <is>
          <t>Vintage Graded Singles</t>
        </is>
      </c>
      <c r="C412" s="80" t="inlineStr">
        <is>
          <t>T1</t>
        </is>
      </c>
      <c r="D412" s="80" t="inlineStr">
        <is>
          <t>Venusaur Base Unlimited PSA 7</t>
        </is>
      </c>
      <c r="E412" s="80" t="inlineStr">
        <is>
          <t>Base Set</t>
        </is>
      </c>
      <c r="F412" s="80" t="inlineStr">
        <is>
          <t>15/102</t>
        </is>
      </c>
      <c r="G412" s="80" t="inlineStr">
        <is>
          <t>PSA 7</t>
        </is>
      </c>
      <c r="H412" s="80" t="n">
        <v>120</v>
      </c>
      <c r="I412" s="123" t="n">
        <v>46154</v>
      </c>
      <c r="J412" s="80" t="n">
        <v>117.25</v>
      </c>
      <c r="K412" s="80" t="n">
        <v>115.38</v>
      </c>
      <c r="L412" s="80" t="n">
        <v>106.06</v>
      </c>
      <c r="M412" s="80">
        <f>IFERROR((H412-J412)/J412,0)</f>
        <v/>
      </c>
      <c r="N412" s="80">
        <f>IFERROR((H412-K412)/K412,0)</f>
        <v/>
      </c>
      <c r="O412" s="80">
        <f>IFERROR((H412-L412)/L412,0)</f>
        <v/>
      </c>
      <c r="P412" s="80" t="n">
        <v>95</v>
      </c>
      <c r="Q412" s="80" t="n">
        <v>195</v>
      </c>
      <c r="R412" s="80" t="inlineStr">
        <is>
          <t>5-10yr</t>
        </is>
      </c>
      <c r="S412" s="80" t="n">
        <v>3</v>
      </c>
      <c r="T412" s="80" t="n">
        <v>2700</v>
      </c>
      <c r="U412" s="80">
        <f>MAX(0,MIN(100,50+((M412*0.6)+(N412*0.4))*200))</f>
        <v/>
      </c>
      <c r="V412" s="80">
        <f>MAX(20,MIN(100,50+(P412-H412)/P412*100))</f>
        <v/>
      </c>
      <c r="W412" s="80">
        <f>IFERROR(MAX(0,MIN(100,100-LOG10(T412)*16)),60)</f>
        <v/>
      </c>
      <c r="X412" s="80">
        <f>IF(C412="T2",85,IF(C412="T4",70,IF(C412="T1",65,IF(C412="T3",55,45))))</f>
        <v/>
      </c>
      <c r="Y412" s="80">
        <f>U412*0.55+W412*0.20+V412*0.15+X412*0.10+ROW()/1000000</f>
        <v/>
      </c>
      <c r="Z412" s="80">
        <f>IF(Y412&gt;=75,"STRONG BUY",IF(Y412&gt;=60,"BUY",IF(Y412&gt;=40,"HOLD",IF(Y412&gt;=25,"TRIM","SELL"))))</f>
        <v/>
      </c>
      <c r="AA412" s="80" t="inlineStr">
        <is>
          <t>https://www.pricecharting.com/game/pokemon-base-set/venusaur-15</t>
        </is>
      </c>
      <c r="AB412" s="80" t="inlineStr">
        <is>
          <t>PSA 7 Venusaur.</t>
        </is>
      </c>
    </row>
    <row r="413">
      <c r="A413" s="80" t="inlineStr">
        <is>
          <t>V905</t>
        </is>
      </c>
      <c r="B413" s="80" t="inlineStr">
        <is>
          <t>Vintage Graded Singles</t>
        </is>
      </c>
      <c r="C413" s="80" t="inlineStr">
        <is>
          <t>T1</t>
        </is>
      </c>
      <c r="D413" s="80" t="inlineStr">
        <is>
          <t>Alakazam Base Unlimited PSA 8</t>
        </is>
      </c>
      <c r="E413" s="80" t="inlineStr">
        <is>
          <t>Base Set</t>
        </is>
      </c>
      <c r="F413" s="80" t="inlineStr">
        <is>
          <t>1/102</t>
        </is>
      </c>
      <c r="G413" s="80" t="inlineStr">
        <is>
          <t>PSA 8</t>
        </is>
      </c>
      <c r="H413" s="80" t="n">
        <v>90</v>
      </c>
      <c r="I413" s="123" t="n">
        <v>46154</v>
      </c>
      <c r="J413" s="80" t="n">
        <v>89.81999999999999</v>
      </c>
      <c r="K413" s="80" t="n">
        <v>86.54000000000001</v>
      </c>
      <c r="L413" s="80" t="n">
        <v>83.92</v>
      </c>
      <c r="M413" s="80">
        <f>IFERROR((H413-J413)/J413,0)</f>
        <v/>
      </c>
      <c r="N413" s="80">
        <f>IFERROR((H413-K413)/K413,0)</f>
        <v/>
      </c>
      <c r="O413" s="80">
        <f>IFERROR((H413-L413)/L413,0)</f>
        <v/>
      </c>
      <c r="P413" s="80" t="n">
        <v>70</v>
      </c>
      <c r="Q413" s="80" t="n">
        <v>140</v>
      </c>
      <c r="R413" s="80" t="inlineStr">
        <is>
          <t>5-10yr</t>
        </is>
      </c>
      <c r="S413" s="80" t="n">
        <v>3</v>
      </c>
      <c r="T413" s="80" t="n">
        <v>3200</v>
      </c>
      <c r="U413" s="80">
        <f>MAX(0,MIN(100,50+((M413*0.6)+(N413*0.4))*200))</f>
        <v/>
      </c>
      <c r="V413" s="80">
        <f>MAX(20,MIN(100,50+(P413-H413)/P413*100))</f>
        <v/>
      </c>
      <c r="W413" s="80">
        <f>IFERROR(MAX(0,MIN(100,100-LOG10(T413)*16)),60)</f>
        <v/>
      </c>
      <c r="X413" s="80">
        <f>IF(C413="T2",85,IF(C413="T4",70,IF(C413="T1",65,IF(C413="T3",55,45))))</f>
        <v/>
      </c>
      <c r="Y413" s="80">
        <f>U413*0.55+W413*0.20+V413*0.15+X413*0.10+ROW()/1000000</f>
        <v/>
      </c>
      <c r="Z413" s="80">
        <f>IF(Y413&gt;=75,"STRONG BUY",IF(Y413&gt;=60,"BUY",IF(Y413&gt;=40,"HOLD",IF(Y413&gt;=25,"TRIM","SELL"))))</f>
        <v/>
      </c>
      <c r="AA413" s="80" t="inlineStr">
        <is>
          <t>https://www.pricecharting.com/game/pokemon-base-set/alakazam-1</t>
        </is>
      </c>
      <c r="AB413" s="80" t="inlineStr">
        <is>
          <t>Base Alakazam #1. Iconic art.</t>
        </is>
      </c>
    </row>
    <row r="414">
      <c r="A414" s="80" t="inlineStr">
        <is>
          <t>V906</t>
        </is>
      </c>
      <c r="B414" s="80" t="inlineStr">
        <is>
          <t>Vintage Graded Singles</t>
        </is>
      </c>
      <c r="C414" s="80" t="inlineStr">
        <is>
          <t>T1</t>
        </is>
      </c>
      <c r="D414" s="80" t="inlineStr">
        <is>
          <t>Chansey Base Unlimited PSA 8</t>
        </is>
      </c>
      <c r="E414" s="80" t="inlineStr">
        <is>
          <t>Base Set</t>
        </is>
      </c>
      <c r="F414" s="80" t="inlineStr">
        <is>
          <t>3/102</t>
        </is>
      </c>
      <c r="G414" s="80" t="inlineStr">
        <is>
          <t>PSA 8</t>
        </is>
      </c>
      <c r="H414" s="80" t="n">
        <v>70</v>
      </c>
      <c r="I414" s="123" t="n">
        <v>46154</v>
      </c>
      <c r="J414" s="80" t="n">
        <v>69.42</v>
      </c>
      <c r="K414" s="80" t="n">
        <v>67.95999999999999</v>
      </c>
      <c r="L414" s="80" t="n">
        <v>63.61</v>
      </c>
      <c r="M414" s="80">
        <f>IFERROR((H414-J414)/J414,0)</f>
        <v/>
      </c>
      <c r="N414" s="80">
        <f>IFERROR((H414-K414)/K414,0)</f>
        <v/>
      </c>
      <c r="O414" s="80">
        <f>IFERROR((H414-L414)/L414,0)</f>
        <v/>
      </c>
      <c r="P414" s="80" t="n">
        <v>55</v>
      </c>
      <c r="Q414" s="80" t="n">
        <v>115</v>
      </c>
      <c r="R414" s="80" t="inlineStr">
        <is>
          <t>5-10yr</t>
        </is>
      </c>
      <c r="S414" s="80" t="n">
        <v>3</v>
      </c>
      <c r="T414" s="80" t="n">
        <v>3100</v>
      </c>
      <c r="U414" s="80">
        <f>MAX(0,MIN(100,50+((M414*0.6)+(N414*0.4))*200))</f>
        <v/>
      </c>
      <c r="V414" s="80">
        <f>MAX(20,MIN(100,50+(P414-H414)/P414*100))</f>
        <v/>
      </c>
      <c r="W414" s="80">
        <f>IFERROR(MAX(0,MIN(100,100-LOG10(T414)*16)),60)</f>
        <v/>
      </c>
      <c r="X414" s="80">
        <f>IF(C414="T2",85,IF(C414="T4",70,IF(C414="T1",65,IF(C414="T3",55,45))))</f>
        <v/>
      </c>
      <c r="Y414" s="80">
        <f>U414*0.55+W414*0.20+V414*0.15+X414*0.10+ROW()/1000000</f>
        <v/>
      </c>
      <c r="Z414" s="80">
        <f>IF(Y414&gt;=75,"STRONG BUY",IF(Y414&gt;=60,"BUY",IF(Y414&gt;=40,"HOLD",IF(Y414&gt;=25,"TRIM","SELL"))))</f>
        <v/>
      </c>
      <c r="AA414" s="80" t="inlineStr">
        <is>
          <t>https://www.pricecharting.com/game/pokemon-base-set/chansey-3</t>
        </is>
      </c>
      <c r="AB414" s="80" t="inlineStr">
        <is>
          <t>Base Chansey PSA 8.</t>
        </is>
      </c>
    </row>
    <row r="415">
      <c r="A415" s="80" t="inlineStr">
        <is>
          <t>V907</t>
        </is>
      </c>
      <c r="B415" s="80" t="inlineStr">
        <is>
          <t>Vintage Graded Singles</t>
        </is>
      </c>
      <c r="C415" s="80" t="inlineStr">
        <is>
          <t>T1</t>
        </is>
      </c>
      <c r="D415" s="80" t="inlineStr">
        <is>
          <t>Clefairy Base Unlimited PSA 8</t>
        </is>
      </c>
      <c r="E415" s="80" t="inlineStr">
        <is>
          <t>Base Set</t>
        </is>
      </c>
      <c r="F415" s="80" t="inlineStr">
        <is>
          <t>5/102</t>
        </is>
      </c>
      <c r="G415" s="80" t="inlineStr">
        <is>
          <t>PSA 8</t>
        </is>
      </c>
      <c r="H415" s="80" t="n">
        <v>65</v>
      </c>
      <c r="I415" s="123" t="n">
        <v>46154</v>
      </c>
      <c r="J415" s="80" t="n">
        <v>64.05</v>
      </c>
      <c r="K415" s="80" t="n">
        <v>63.11</v>
      </c>
      <c r="L415" s="80" t="n">
        <v>57.44</v>
      </c>
      <c r="M415" s="80">
        <f>IFERROR((H415-J415)/J415,0)</f>
        <v/>
      </c>
      <c r="N415" s="80">
        <f>IFERROR((H415-K415)/K415,0)</f>
        <v/>
      </c>
      <c r="O415" s="80">
        <f>IFERROR((H415-L415)/L415,0)</f>
        <v/>
      </c>
      <c r="P415" s="80" t="n">
        <v>50</v>
      </c>
      <c r="Q415" s="80" t="n">
        <v>105</v>
      </c>
      <c r="R415" s="80" t="inlineStr">
        <is>
          <t>5-10yr</t>
        </is>
      </c>
      <c r="S415" s="80" t="n">
        <v>3</v>
      </c>
      <c r="T415" s="80" t="n">
        <v>2800</v>
      </c>
      <c r="U415" s="80">
        <f>MAX(0,MIN(100,50+((M415*0.6)+(N415*0.4))*200))</f>
        <v/>
      </c>
      <c r="V415" s="80">
        <f>MAX(20,MIN(100,50+(P415-H415)/P415*100))</f>
        <v/>
      </c>
      <c r="W415" s="80">
        <f>IFERROR(MAX(0,MIN(100,100-LOG10(T415)*16)),60)</f>
        <v/>
      </c>
      <c r="X415" s="80">
        <f>IF(C415="T2",85,IF(C415="T4",70,IF(C415="T1",65,IF(C415="T3",55,45))))</f>
        <v/>
      </c>
      <c r="Y415" s="80">
        <f>U415*0.55+W415*0.20+V415*0.15+X415*0.10+ROW()/1000000</f>
        <v/>
      </c>
      <c r="Z415" s="80">
        <f>IF(Y415&gt;=75,"STRONG BUY",IF(Y415&gt;=60,"BUY",IF(Y415&gt;=40,"HOLD",IF(Y415&gt;=25,"TRIM","SELL"))))</f>
        <v/>
      </c>
      <c r="AA415" s="80" t="inlineStr">
        <is>
          <t>https://www.pricecharting.com/game/pokemon-base-set/clefairy-5</t>
        </is>
      </c>
      <c r="AB415" s="80" t="inlineStr">
        <is>
          <t>Base Clefairy PSA 8.</t>
        </is>
      </c>
    </row>
    <row r="416">
      <c r="A416" s="80" t="inlineStr">
        <is>
          <t>V908</t>
        </is>
      </c>
      <c r="B416" s="80" t="inlineStr">
        <is>
          <t>Vintage Graded Singles</t>
        </is>
      </c>
      <c r="C416" s="80" t="inlineStr">
        <is>
          <t>T1</t>
        </is>
      </c>
      <c r="D416" s="80" t="inlineStr">
        <is>
          <t>Gyarados Base Unlimited PSA 8</t>
        </is>
      </c>
      <c r="E416" s="80" t="inlineStr">
        <is>
          <t>Base Set</t>
        </is>
      </c>
      <c r="F416" s="80" t="inlineStr">
        <is>
          <t>6/102</t>
        </is>
      </c>
      <c r="G416" s="80" t="inlineStr">
        <is>
          <t>PSA 8</t>
        </is>
      </c>
      <c r="H416" s="80" t="n">
        <v>80</v>
      </c>
      <c r="I416" s="123" t="n">
        <v>46154</v>
      </c>
      <c r="J416" s="80" t="n">
        <v>79.02</v>
      </c>
      <c r="K416" s="80" t="n">
        <v>76.92</v>
      </c>
      <c r="L416" s="80" t="n">
        <v>74.08</v>
      </c>
      <c r="M416" s="80">
        <f>IFERROR((H416-J416)/J416,0)</f>
        <v/>
      </c>
      <c r="N416" s="80">
        <f>IFERROR((H416-K416)/K416,0)</f>
        <v/>
      </c>
      <c r="O416" s="80">
        <f>IFERROR((H416-L416)/L416,0)</f>
        <v/>
      </c>
      <c r="P416" s="80" t="n">
        <v>60</v>
      </c>
      <c r="Q416" s="80" t="n">
        <v>130</v>
      </c>
      <c r="R416" s="80" t="inlineStr">
        <is>
          <t>5-10yr</t>
        </is>
      </c>
      <c r="S416" s="80" t="n">
        <v>3</v>
      </c>
      <c r="T416" s="80" t="n">
        <v>2900</v>
      </c>
      <c r="U416" s="80">
        <f>MAX(0,MIN(100,50+((M416*0.6)+(N416*0.4))*200))</f>
        <v/>
      </c>
      <c r="V416" s="80">
        <f>MAX(20,MIN(100,50+(P416-H416)/P416*100))</f>
        <v/>
      </c>
      <c r="W416" s="80">
        <f>IFERROR(MAX(0,MIN(100,100-LOG10(T416)*16)),60)</f>
        <v/>
      </c>
      <c r="X416" s="80">
        <f>IF(C416="T2",85,IF(C416="T4",70,IF(C416="T1",65,IF(C416="T3",55,45))))</f>
        <v/>
      </c>
      <c r="Y416" s="80">
        <f>U416*0.55+W416*0.20+V416*0.15+X416*0.10+ROW()/1000000</f>
        <v/>
      </c>
      <c r="Z416" s="80">
        <f>IF(Y416&gt;=75,"STRONG BUY",IF(Y416&gt;=60,"BUY",IF(Y416&gt;=40,"HOLD",IF(Y416&gt;=25,"TRIM","SELL"))))</f>
        <v/>
      </c>
      <c r="AA416" s="80" t="inlineStr">
        <is>
          <t>https://www.pricecharting.com/game/pokemon-base-set/gyarados-6</t>
        </is>
      </c>
      <c r="AB416" s="80" t="inlineStr">
        <is>
          <t>Gyarados PSA 8.</t>
        </is>
      </c>
    </row>
    <row r="417">
      <c r="A417" s="80" t="inlineStr">
        <is>
          <t>V909</t>
        </is>
      </c>
      <c r="B417" s="80" t="inlineStr">
        <is>
          <t>Vintage Graded Singles</t>
        </is>
      </c>
      <c r="C417" s="80" t="inlineStr">
        <is>
          <t>T1</t>
        </is>
      </c>
      <c r="D417" s="80" t="inlineStr">
        <is>
          <t>Hitmonchan Base Unlimited PSA 8</t>
        </is>
      </c>
      <c r="E417" s="80" t="inlineStr">
        <is>
          <t>Base Set</t>
        </is>
      </c>
      <c r="F417" s="80" t="inlineStr">
        <is>
          <t>7/102</t>
        </is>
      </c>
      <c r="G417" s="80" t="inlineStr">
        <is>
          <t>PSA 8</t>
        </is>
      </c>
      <c r="H417" s="80" t="n">
        <v>60</v>
      </c>
      <c r="I417" s="123" t="n">
        <v>46154</v>
      </c>
      <c r="J417" s="80" t="n">
        <v>59.62</v>
      </c>
      <c r="K417" s="80" t="n">
        <v>58.25</v>
      </c>
      <c r="L417" s="80" t="n">
        <v>53.69</v>
      </c>
      <c r="M417" s="80">
        <f>IFERROR((H417-J417)/J417,0)</f>
        <v/>
      </c>
      <c r="N417" s="80">
        <f>IFERROR((H417-K417)/K417,0)</f>
        <v/>
      </c>
      <c r="O417" s="80">
        <f>IFERROR((H417-L417)/L417,0)</f>
        <v/>
      </c>
      <c r="P417" s="80" t="n">
        <v>45</v>
      </c>
      <c r="Q417" s="80" t="n">
        <v>95</v>
      </c>
      <c r="R417" s="80" t="inlineStr">
        <is>
          <t>5-10yr</t>
        </is>
      </c>
      <c r="S417" s="80" t="n">
        <v>3</v>
      </c>
      <c r="T417" s="80" t="n">
        <v>2500</v>
      </c>
      <c r="U417" s="80">
        <f>MAX(0,MIN(100,50+((M417*0.6)+(N417*0.4))*200))</f>
        <v/>
      </c>
      <c r="V417" s="80">
        <f>MAX(20,MIN(100,50+(P417-H417)/P417*100))</f>
        <v/>
      </c>
      <c r="W417" s="80">
        <f>IFERROR(MAX(0,MIN(100,100-LOG10(T417)*16)),60)</f>
        <v/>
      </c>
      <c r="X417" s="80">
        <f>IF(C417="T2",85,IF(C417="T4",70,IF(C417="T1",65,IF(C417="T3",55,45))))</f>
        <v/>
      </c>
      <c r="Y417" s="80">
        <f>U417*0.55+W417*0.20+V417*0.15+X417*0.10+ROW()/1000000</f>
        <v/>
      </c>
      <c r="Z417" s="80">
        <f>IF(Y417&gt;=75,"STRONG BUY",IF(Y417&gt;=60,"BUY",IF(Y417&gt;=40,"HOLD",IF(Y417&gt;=25,"TRIM","SELL"))))</f>
        <v/>
      </c>
      <c r="AA417" s="80" t="inlineStr">
        <is>
          <t>https://www.pricecharting.com/game/pokemon-base-set/hitmonchan-7</t>
        </is>
      </c>
      <c r="AB417" s="80" t="inlineStr">
        <is>
          <t>Cheap holo PSA 8.</t>
        </is>
      </c>
    </row>
    <row r="418">
      <c r="A418" s="80" t="inlineStr">
        <is>
          <t>V910</t>
        </is>
      </c>
      <c r="B418" s="80" t="inlineStr">
        <is>
          <t>Vintage Graded Singles</t>
        </is>
      </c>
      <c r="C418" s="80" t="inlineStr">
        <is>
          <t>T1</t>
        </is>
      </c>
      <c r="D418" s="80" t="inlineStr">
        <is>
          <t>Machamp Base Unlimited PSA 8</t>
        </is>
      </c>
      <c r="E418" s="80" t="inlineStr">
        <is>
          <t>Base Set</t>
        </is>
      </c>
      <c r="F418" s="80" t="inlineStr">
        <is>
          <t>8/102</t>
        </is>
      </c>
      <c r="G418" s="80" t="inlineStr">
        <is>
          <t>PSA 8</t>
        </is>
      </c>
      <c r="H418" s="80" t="n">
        <v>70</v>
      </c>
      <c r="I418" s="123" t="n">
        <v>46154</v>
      </c>
      <c r="J418" s="80" t="n">
        <v>68.84999999999999</v>
      </c>
      <c r="K418" s="80" t="n">
        <v>67.95999999999999</v>
      </c>
      <c r="L418" s="80" t="n">
        <v>64.91</v>
      </c>
      <c r="M418" s="80">
        <f>IFERROR((H418-J418)/J418,0)</f>
        <v/>
      </c>
      <c r="N418" s="80">
        <f>IFERROR((H418-K418)/K418,0)</f>
        <v/>
      </c>
      <c r="O418" s="80">
        <f>IFERROR((H418-L418)/L418,0)</f>
        <v/>
      </c>
      <c r="P418" s="80" t="n">
        <v>55</v>
      </c>
      <c r="Q418" s="80" t="n">
        <v>115</v>
      </c>
      <c r="R418" s="80" t="inlineStr">
        <is>
          <t>5-10yr</t>
        </is>
      </c>
      <c r="S418" s="80" t="n">
        <v>3</v>
      </c>
      <c r="T418" s="80" t="n">
        <v>2700</v>
      </c>
      <c r="U418" s="80">
        <f>MAX(0,MIN(100,50+((M418*0.6)+(N418*0.4))*200))</f>
        <v/>
      </c>
      <c r="V418" s="80">
        <f>MAX(20,MIN(100,50+(P418-H418)/P418*100))</f>
        <v/>
      </c>
      <c r="W418" s="80">
        <f>IFERROR(MAX(0,MIN(100,100-LOG10(T418)*16)),60)</f>
        <v/>
      </c>
      <c r="X418" s="80">
        <f>IF(C418="T2",85,IF(C418="T4",70,IF(C418="T1",65,IF(C418="T3",55,45))))</f>
        <v/>
      </c>
      <c r="Y418" s="80">
        <f>U418*0.55+W418*0.20+V418*0.15+X418*0.10+ROW()/1000000</f>
        <v/>
      </c>
      <c r="Z418" s="80">
        <f>IF(Y418&gt;=75,"STRONG BUY",IF(Y418&gt;=60,"BUY",IF(Y418&gt;=40,"HOLD",IF(Y418&gt;=25,"TRIM","SELL"))))</f>
        <v/>
      </c>
      <c r="AA418" s="80" t="inlineStr">
        <is>
          <t>https://www.pricecharting.com/game/pokemon-base-set/machamp-8</t>
        </is>
      </c>
      <c r="AB418" s="80" t="inlineStr">
        <is>
          <t>Machamp PSA 8.</t>
        </is>
      </c>
    </row>
    <row r="419">
      <c r="A419" s="80" t="inlineStr">
        <is>
          <t>V911</t>
        </is>
      </c>
      <c r="B419" s="80" t="inlineStr">
        <is>
          <t>Vintage Graded Singles</t>
        </is>
      </c>
      <c r="C419" s="80" t="inlineStr">
        <is>
          <t>T1</t>
        </is>
      </c>
      <c r="D419" s="80" t="inlineStr">
        <is>
          <t>Magneton Base Unlimited PSA 8</t>
        </is>
      </c>
      <c r="E419" s="80" t="inlineStr">
        <is>
          <t>Base Set</t>
        </is>
      </c>
      <c r="F419" s="80" t="inlineStr">
        <is>
          <t>9/102</t>
        </is>
      </c>
      <c r="G419" s="80" t="inlineStr">
        <is>
          <t>PSA 8</t>
        </is>
      </c>
      <c r="H419" s="80" t="n">
        <v>60</v>
      </c>
      <c r="I419" s="123" t="n">
        <v>46154</v>
      </c>
      <c r="J419" s="80" t="n">
        <v>60.44</v>
      </c>
      <c r="K419" s="80" t="n">
        <v>58.25</v>
      </c>
      <c r="L419" s="80" t="n">
        <v>54.06</v>
      </c>
      <c r="M419" s="80">
        <f>IFERROR((H419-J419)/J419,0)</f>
        <v/>
      </c>
      <c r="N419" s="80">
        <f>IFERROR((H419-K419)/K419,0)</f>
        <v/>
      </c>
      <c r="O419" s="80">
        <f>IFERROR((H419-L419)/L419,0)</f>
        <v/>
      </c>
      <c r="P419" s="80" t="n">
        <v>45</v>
      </c>
      <c r="Q419" s="80" t="n">
        <v>95</v>
      </c>
      <c r="R419" s="80" t="inlineStr">
        <is>
          <t>5-10yr</t>
        </is>
      </c>
      <c r="S419" s="80" t="n">
        <v>3</v>
      </c>
      <c r="T419" s="80" t="n">
        <v>2400</v>
      </c>
      <c r="U419" s="80">
        <f>MAX(0,MIN(100,50+((M419*0.6)+(N419*0.4))*200))</f>
        <v/>
      </c>
      <c r="V419" s="80">
        <f>MAX(20,MIN(100,50+(P419-H419)/P419*100))</f>
        <v/>
      </c>
      <c r="W419" s="80">
        <f>IFERROR(MAX(0,MIN(100,100-LOG10(T419)*16)),60)</f>
        <v/>
      </c>
      <c r="X419" s="80">
        <f>IF(C419="T2",85,IF(C419="T4",70,IF(C419="T1",65,IF(C419="T3",55,45))))</f>
        <v/>
      </c>
      <c r="Y419" s="80">
        <f>U419*0.55+W419*0.20+V419*0.15+X419*0.10+ROW()/1000000</f>
        <v/>
      </c>
      <c r="Z419" s="80">
        <f>IF(Y419&gt;=75,"STRONG BUY",IF(Y419&gt;=60,"BUY",IF(Y419&gt;=40,"HOLD",IF(Y419&gt;=25,"TRIM","SELL"))))</f>
        <v/>
      </c>
      <c r="AA419" s="80" t="inlineStr">
        <is>
          <t>https://www.pricecharting.com/game/pokemon-base-set/magneton-9</t>
        </is>
      </c>
      <c r="AB419" s="80" t="inlineStr">
        <is>
          <t>Magneton PSA 8.</t>
        </is>
      </c>
    </row>
    <row r="420">
      <c r="A420" s="80" t="inlineStr">
        <is>
          <t>V912</t>
        </is>
      </c>
      <c r="B420" s="80" t="inlineStr">
        <is>
          <t>Vintage Graded Singles</t>
        </is>
      </c>
      <c r="C420" s="80" t="inlineStr">
        <is>
          <t>T1</t>
        </is>
      </c>
      <c r="D420" s="80" t="inlineStr">
        <is>
          <t>Nidoking Base Unlimited PSA 8</t>
        </is>
      </c>
      <c r="E420" s="80" t="inlineStr">
        <is>
          <t>Base Set</t>
        </is>
      </c>
      <c r="F420" s="80" t="inlineStr">
        <is>
          <t>11/102</t>
        </is>
      </c>
      <c r="G420" s="80" t="inlineStr">
        <is>
          <t>PSA 8</t>
        </is>
      </c>
      <c r="H420" s="80" t="n">
        <v>65</v>
      </c>
      <c r="I420" s="123" t="n">
        <v>46154</v>
      </c>
      <c r="J420" s="80" t="n">
        <v>64.39</v>
      </c>
      <c r="K420" s="80" t="n">
        <v>63.11</v>
      </c>
      <c r="L420" s="80" t="n">
        <v>59.23</v>
      </c>
      <c r="M420" s="80">
        <f>IFERROR((H420-J420)/J420,0)</f>
        <v/>
      </c>
      <c r="N420" s="80">
        <f>IFERROR((H420-K420)/K420,0)</f>
        <v/>
      </c>
      <c r="O420" s="80">
        <f>IFERROR((H420-L420)/L420,0)</f>
        <v/>
      </c>
      <c r="P420" s="80" t="n">
        <v>50</v>
      </c>
      <c r="Q420" s="80" t="n">
        <v>105</v>
      </c>
      <c r="R420" s="80" t="inlineStr">
        <is>
          <t>5-10yr</t>
        </is>
      </c>
      <c r="S420" s="80" t="n">
        <v>3</v>
      </c>
      <c r="T420" s="80" t="n">
        <v>2300</v>
      </c>
      <c r="U420" s="80">
        <f>MAX(0,MIN(100,50+((M420*0.6)+(N420*0.4))*200))</f>
        <v/>
      </c>
      <c r="V420" s="80">
        <f>MAX(20,MIN(100,50+(P420-H420)/P420*100))</f>
        <v/>
      </c>
      <c r="W420" s="80">
        <f>IFERROR(MAX(0,MIN(100,100-LOG10(T420)*16)),60)</f>
        <v/>
      </c>
      <c r="X420" s="80">
        <f>IF(C420="T2",85,IF(C420="T4",70,IF(C420="T1",65,IF(C420="T3",55,45))))</f>
        <v/>
      </c>
      <c r="Y420" s="80">
        <f>U420*0.55+W420*0.20+V420*0.15+X420*0.10+ROW()/1000000</f>
        <v/>
      </c>
      <c r="Z420" s="80">
        <f>IF(Y420&gt;=75,"STRONG BUY",IF(Y420&gt;=60,"BUY",IF(Y420&gt;=40,"HOLD",IF(Y420&gt;=25,"TRIM","SELL"))))</f>
        <v/>
      </c>
      <c r="AA420" s="80" t="inlineStr">
        <is>
          <t>https://www.pricecharting.com/game/pokemon-base-set/nidoking-11</t>
        </is>
      </c>
      <c r="AB420" s="80" t="inlineStr">
        <is>
          <t>Nidoking PSA 8.</t>
        </is>
      </c>
    </row>
    <row r="421">
      <c r="A421" s="80" t="inlineStr">
        <is>
          <t>V913</t>
        </is>
      </c>
      <c r="B421" s="80" t="inlineStr">
        <is>
          <t>Vintage Graded Singles</t>
        </is>
      </c>
      <c r="C421" s="80" t="inlineStr">
        <is>
          <t>T1</t>
        </is>
      </c>
      <c r="D421" s="80" t="inlineStr">
        <is>
          <t>Ninetales Base Unlimited PSA 8</t>
        </is>
      </c>
      <c r="E421" s="80" t="inlineStr">
        <is>
          <t>Base Set</t>
        </is>
      </c>
      <c r="F421" s="80" t="inlineStr">
        <is>
          <t>12/102</t>
        </is>
      </c>
      <c r="G421" s="80" t="inlineStr">
        <is>
          <t>PSA 8</t>
        </is>
      </c>
      <c r="H421" s="80" t="n">
        <v>90</v>
      </c>
      <c r="I421" s="123" t="n">
        <v>46154</v>
      </c>
      <c r="J421" s="80" t="n">
        <v>88.08</v>
      </c>
      <c r="K421" s="80" t="n">
        <v>86.54000000000001</v>
      </c>
      <c r="L421" s="80" t="n">
        <v>83.25</v>
      </c>
      <c r="M421" s="80">
        <f>IFERROR((H421-J421)/J421,0)</f>
        <v/>
      </c>
      <c r="N421" s="80">
        <f>IFERROR((H421-K421)/K421,0)</f>
        <v/>
      </c>
      <c r="O421" s="80">
        <f>IFERROR((H421-L421)/L421,0)</f>
        <v/>
      </c>
      <c r="P421" s="80" t="n">
        <v>70</v>
      </c>
      <c r="Q421" s="80" t="n">
        <v>145</v>
      </c>
      <c r="R421" s="80" t="inlineStr">
        <is>
          <t>5-10yr</t>
        </is>
      </c>
      <c r="S421" s="80" t="n">
        <v>3</v>
      </c>
      <c r="T421" s="80" t="n">
        <v>2800</v>
      </c>
      <c r="U421" s="80">
        <f>MAX(0,MIN(100,50+((M421*0.6)+(N421*0.4))*200))</f>
        <v/>
      </c>
      <c r="V421" s="80">
        <f>MAX(20,MIN(100,50+(P421-H421)/P421*100))</f>
        <v/>
      </c>
      <c r="W421" s="80">
        <f>IFERROR(MAX(0,MIN(100,100-LOG10(T421)*16)),60)</f>
        <v/>
      </c>
      <c r="X421" s="80">
        <f>IF(C421="T2",85,IF(C421="T4",70,IF(C421="T1",65,IF(C421="T3",55,45))))</f>
        <v/>
      </c>
      <c r="Y421" s="80">
        <f>U421*0.55+W421*0.20+V421*0.15+X421*0.10+ROW()/1000000</f>
        <v/>
      </c>
      <c r="Z421" s="80">
        <f>IF(Y421&gt;=75,"STRONG BUY",IF(Y421&gt;=60,"BUY",IF(Y421&gt;=40,"HOLD",IF(Y421&gt;=25,"TRIM","SELL"))))</f>
        <v/>
      </c>
      <c r="AA421" s="80" t="inlineStr">
        <is>
          <t>https://www.pricecharting.com/game/pokemon-base-set/ninetales-12</t>
        </is>
      </c>
      <c r="AB421" s="80" t="inlineStr">
        <is>
          <t>Ninetales PSA 8.</t>
        </is>
      </c>
    </row>
    <row r="422">
      <c r="A422" s="80" t="inlineStr">
        <is>
          <t>V914</t>
        </is>
      </c>
      <c r="B422" s="80" t="inlineStr">
        <is>
          <t>Vintage Graded Singles</t>
        </is>
      </c>
      <c r="C422" s="80" t="inlineStr">
        <is>
          <t>T1</t>
        </is>
      </c>
      <c r="D422" s="80" t="inlineStr">
        <is>
          <t>Poliwrath Base Unlimited PSA 8</t>
        </is>
      </c>
      <c r="E422" s="80" t="inlineStr">
        <is>
          <t>Base Set</t>
        </is>
      </c>
      <c r="F422" s="80" t="inlineStr">
        <is>
          <t>13/102</t>
        </is>
      </c>
      <c r="G422" s="80" t="inlineStr">
        <is>
          <t>PSA 8</t>
        </is>
      </c>
      <c r="H422" s="80" t="n">
        <v>60</v>
      </c>
      <c r="I422" s="123" t="n">
        <v>46154</v>
      </c>
      <c r="J422" s="80" t="n">
        <v>59.26</v>
      </c>
      <c r="K422" s="80" t="n">
        <v>58.25</v>
      </c>
      <c r="L422" s="80" t="n">
        <v>54.35</v>
      </c>
      <c r="M422" s="80">
        <f>IFERROR((H422-J422)/J422,0)</f>
        <v/>
      </c>
      <c r="N422" s="80">
        <f>IFERROR((H422-K422)/K422,0)</f>
        <v/>
      </c>
      <c r="O422" s="80">
        <f>IFERROR((H422-L422)/L422,0)</f>
        <v/>
      </c>
      <c r="P422" s="80" t="n">
        <v>45</v>
      </c>
      <c r="Q422" s="80" t="n">
        <v>95</v>
      </c>
      <c r="R422" s="80" t="inlineStr">
        <is>
          <t>5-10yr</t>
        </is>
      </c>
      <c r="S422" s="80" t="n">
        <v>3</v>
      </c>
      <c r="T422" s="80" t="n">
        <v>2400</v>
      </c>
      <c r="U422" s="80">
        <f>MAX(0,MIN(100,50+((M422*0.6)+(N422*0.4))*200))</f>
        <v/>
      </c>
      <c r="V422" s="80">
        <f>MAX(20,MIN(100,50+(P422-H422)/P422*100))</f>
        <v/>
      </c>
      <c r="W422" s="80">
        <f>IFERROR(MAX(0,MIN(100,100-LOG10(T422)*16)),60)</f>
        <v/>
      </c>
      <c r="X422" s="80">
        <f>IF(C422="T2",85,IF(C422="T4",70,IF(C422="T1",65,IF(C422="T3",55,45))))</f>
        <v/>
      </c>
      <c r="Y422" s="80">
        <f>U422*0.55+W422*0.20+V422*0.15+X422*0.10+ROW()/1000000</f>
        <v/>
      </c>
      <c r="Z422" s="80">
        <f>IF(Y422&gt;=75,"STRONG BUY",IF(Y422&gt;=60,"BUY",IF(Y422&gt;=40,"HOLD",IF(Y422&gt;=25,"TRIM","SELL"))))</f>
        <v/>
      </c>
      <c r="AA422" s="80" t="inlineStr">
        <is>
          <t>https://www.pricecharting.com/game/pokemon-base-set/poliwrath-13</t>
        </is>
      </c>
      <c r="AB422" s="80" t="inlineStr">
        <is>
          <t>Poliwrath PSA 8.</t>
        </is>
      </c>
    </row>
    <row r="423">
      <c r="A423" s="80" t="inlineStr">
        <is>
          <t>V915</t>
        </is>
      </c>
      <c r="B423" s="80" t="inlineStr">
        <is>
          <t>Vintage Graded Singles</t>
        </is>
      </c>
      <c r="C423" s="80" t="inlineStr">
        <is>
          <t>T1</t>
        </is>
      </c>
      <c r="D423" s="80" t="inlineStr">
        <is>
          <t>Raichu Base Unlimited PSA 8</t>
        </is>
      </c>
      <c r="E423" s="80" t="inlineStr">
        <is>
          <t>Base Set</t>
        </is>
      </c>
      <c r="F423" s="80" t="inlineStr">
        <is>
          <t>14/102</t>
        </is>
      </c>
      <c r="G423" s="80" t="inlineStr">
        <is>
          <t>PSA 8</t>
        </is>
      </c>
      <c r="H423" s="80" t="n">
        <v>85</v>
      </c>
      <c r="I423" s="123" t="n">
        <v>46154</v>
      </c>
      <c r="J423" s="80" t="n">
        <v>83.45999999999999</v>
      </c>
      <c r="K423" s="80" t="n">
        <v>81.73</v>
      </c>
      <c r="L423" s="80" t="n">
        <v>78.66</v>
      </c>
      <c r="M423" s="80">
        <f>IFERROR((H423-J423)/J423,0)</f>
        <v/>
      </c>
      <c r="N423" s="80">
        <f>IFERROR((H423-K423)/K423,0)</f>
        <v/>
      </c>
      <c r="O423" s="80">
        <f>IFERROR((H423-L423)/L423,0)</f>
        <v/>
      </c>
      <c r="P423" s="80" t="n">
        <v>65</v>
      </c>
      <c r="Q423" s="80" t="n">
        <v>135</v>
      </c>
      <c r="R423" s="80" t="inlineStr">
        <is>
          <t>5-10yr</t>
        </is>
      </c>
      <c r="S423" s="80" t="n">
        <v>3</v>
      </c>
      <c r="T423" s="80" t="n">
        <v>2600</v>
      </c>
      <c r="U423" s="80">
        <f>MAX(0,MIN(100,50+((M423*0.6)+(N423*0.4))*200))</f>
        <v/>
      </c>
      <c r="V423" s="80">
        <f>MAX(20,MIN(100,50+(P423-H423)/P423*100))</f>
        <v/>
      </c>
      <c r="W423" s="80">
        <f>IFERROR(MAX(0,MIN(100,100-LOG10(T423)*16)),60)</f>
        <v/>
      </c>
      <c r="X423" s="80">
        <f>IF(C423="T2",85,IF(C423="T4",70,IF(C423="T1",65,IF(C423="T3",55,45))))</f>
        <v/>
      </c>
      <c r="Y423" s="80">
        <f>U423*0.55+W423*0.20+V423*0.15+X423*0.10+ROW()/1000000</f>
        <v/>
      </c>
      <c r="Z423" s="80">
        <f>IF(Y423&gt;=75,"STRONG BUY",IF(Y423&gt;=60,"BUY",IF(Y423&gt;=40,"HOLD",IF(Y423&gt;=25,"TRIM","SELL"))))</f>
        <v/>
      </c>
      <c r="AA423" s="80" t="inlineStr">
        <is>
          <t>https://www.pricecharting.com/game/pokemon-base-set/raichu-14</t>
        </is>
      </c>
      <c r="AB423" s="80" t="inlineStr">
        <is>
          <t>Raichu PSA 8.</t>
        </is>
      </c>
    </row>
    <row r="424">
      <c r="A424" s="80" t="inlineStr">
        <is>
          <t>V916</t>
        </is>
      </c>
      <c r="B424" s="80" t="inlineStr">
        <is>
          <t>Vintage Graded Singles</t>
        </is>
      </c>
      <c r="C424" s="80" t="inlineStr">
        <is>
          <t>T1</t>
        </is>
      </c>
      <c r="D424" s="80" t="inlineStr">
        <is>
          <t>Zapdos Base Unlimited PSA 8</t>
        </is>
      </c>
      <c r="E424" s="80" t="inlineStr">
        <is>
          <t>Base Set</t>
        </is>
      </c>
      <c r="F424" s="80" t="inlineStr">
        <is>
          <t>16/102</t>
        </is>
      </c>
      <c r="G424" s="80" t="inlineStr">
        <is>
          <t>PSA 8</t>
        </is>
      </c>
      <c r="H424" s="80" t="n">
        <v>75</v>
      </c>
      <c r="I424" s="123" t="n">
        <v>46154</v>
      </c>
      <c r="J424" s="80" t="n">
        <v>73.28</v>
      </c>
      <c r="K424" s="80" t="n">
        <v>72.12</v>
      </c>
      <c r="L424" s="80" t="n">
        <v>67.03</v>
      </c>
      <c r="M424" s="80">
        <f>IFERROR((H424-J424)/J424,0)</f>
        <v/>
      </c>
      <c r="N424" s="80">
        <f>IFERROR((H424-K424)/K424,0)</f>
        <v/>
      </c>
      <c r="O424" s="80">
        <f>IFERROR((H424-L424)/L424,0)</f>
        <v/>
      </c>
      <c r="P424" s="80" t="n">
        <v>58</v>
      </c>
      <c r="Q424" s="80" t="n">
        <v>120</v>
      </c>
      <c r="R424" s="80" t="inlineStr">
        <is>
          <t>5-10yr</t>
        </is>
      </c>
      <c r="S424" s="80" t="n">
        <v>3</v>
      </c>
      <c r="T424" s="80" t="n">
        <v>2500</v>
      </c>
      <c r="U424" s="80">
        <f>MAX(0,MIN(100,50+((M424*0.6)+(N424*0.4))*200))</f>
        <v/>
      </c>
      <c r="V424" s="80">
        <f>MAX(20,MIN(100,50+(P424-H424)/P424*100))</f>
        <v/>
      </c>
      <c r="W424" s="80">
        <f>IFERROR(MAX(0,MIN(100,100-LOG10(T424)*16)),60)</f>
        <v/>
      </c>
      <c r="X424" s="80">
        <f>IF(C424="T2",85,IF(C424="T4",70,IF(C424="T1",65,IF(C424="T3",55,45))))</f>
        <v/>
      </c>
      <c r="Y424" s="80">
        <f>U424*0.55+W424*0.20+V424*0.15+X424*0.10+ROW()/1000000</f>
        <v/>
      </c>
      <c r="Z424" s="80">
        <f>IF(Y424&gt;=75,"STRONG BUY",IF(Y424&gt;=60,"BUY",IF(Y424&gt;=40,"HOLD",IF(Y424&gt;=25,"TRIM","SELL"))))</f>
        <v/>
      </c>
      <c r="AA424" s="80" t="inlineStr">
        <is>
          <t>https://www.pricecharting.com/game/pokemon-base-set/zapdos-16</t>
        </is>
      </c>
      <c r="AB424" s="80" t="inlineStr">
        <is>
          <t>Zapdos PSA 8.</t>
        </is>
      </c>
    </row>
    <row r="425">
      <c r="A425" s="80" t="inlineStr">
        <is>
          <t>X201</t>
        </is>
      </c>
      <c r="B425" s="80" t="inlineStr">
        <is>
          <t>Modern Chase PSA 10</t>
        </is>
      </c>
      <c r="C425" s="80" t="inlineStr">
        <is>
          <t>T2</t>
        </is>
      </c>
      <c r="D425" s="80" t="inlineStr">
        <is>
          <t>Calyrex VMAX Alt Art (CR)</t>
        </is>
      </c>
      <c r="E425" s="80" t="inlineStr">
        <is>
          <t>Chilling Reign</t>
        </is>
      </c>
      <c r="F425" s="80" t="inlineStr">
        <is>
          <t>174/198</t>
        </is>
      </c>
      <c r="G425" s="80" t="inlineStr">
        <is>
          <t>PSA 10</t>
        </is>
      </c>
      <c r="H425" s="80" t="n">
        <v>140</v>
      </c>
      <c r="I425" s="123" t="n">
        <v>46154</v>
      </c>
      <c r="J425" s="80" t="n">
        <v>136.06</v>
      </c>
      <c r="K425" s="80" t="n">
        <v>129.63</v>
      </c>
      <c r="L425" s="80" t="n">
        <v>117.65</v>
      </c>
      <c r="M425" s="80">
        <f>IFERROR((H425-J425)/J425,0)</f>
        <v/>
      </c>
      <c r="N425" s="80">
        <f>IFERROR((H425-K425)/K425,0)</f>
        <v/>
      </c>
      <c r="O425" s="80">
        <f>IFERROR((H425-L425)/L425,0)</f>
        <v/>
      </c>
      <c r="P425" s="80" t="n">
        <v>105</v>
      </c>
      <c r="Q425" s="80" t="n">
        <v>240</v>
      </c>
      <c r="R425" s="80" t="inlineStr">
        <is>
          <t>3-5yr</t>
        </is>
      </c>
      <c r="S425" s="80" t="n">
        <v>3</v>
      </c>
      <c r="T425" s="80" t="n">
        <v>2300</v>
      </c>
      <c r="U425" s="80">
        <f>MAX(0,MIN(100,50+((M425*0.6)+(N425*0.4))*200))</f>
        <v/>
      </c>
      <c r="V425" s="80">
        <f>MAX(20,MIN(100,50+(P425-H425)/P425*100))</f>
        <v/>
      </c>
      <c r="W425" s="80">
        <f>IFERROR(MAX(0,MIN(100,100-LOG10(T425)*16)),60)</f>
        <v/>
      </c>
      <c r="X425" s="80">
        <f>IF(C425="T2",85,IF(C425="T4",70,IF(C425="T1",65,IF(C425="T3",55,45))))</f>
        <v/>
      </c>
      <c r="Y425" s="80">
        <f>U425*0.55+W425*0.20+V425*0.15+X425*0.10+ROW()/1000000</f>
        <v/>
      </c>
      <c r="Z425" s="80">
        <f>IF(Y425&gt;=75,"STRONG BUY",IF(Y425&gt;=60,"BUY",IF(Y425&gt;=40,"HOLD",IF(Y425&gt;=25,"TRIM","SELL"))))</f>
        <v/>
      </c>
      <c r="AA425" s="80" t="inlineStr">
        <is>
          <t>https://www.tcgplayer.com/product/240071</t>
        </is>
      </c>
      <c r="AB425" s="80" t="inlineStr">
        <is>
          <t>CR Calyrex alt.</t>
        </is>
      </c>
    </row>
    <row r="426">
      <c r="A426" s="80" t="inlineStr">
        <is>
          <t>X202</t>
        </is>
      </c>
      <c r="B426" s="80" t="inlineStr">
        <is>
          <t>Modern Chase PSA 10</t>
        </is>
      </c>
      <c r="C426" s="80" t="inlineStr">
        <is>
          <t>T2</t>
        </is>
      </c>
      <c r="D426" s="80" t="inlineStr">
        <is>
          <t>Galarian Slowking VMAX Alt</t>
        </is>
      </c>
      <c r="E426" s="80" t="inlineStr">
        <is>
          <t>Chilling Reign</t>
        </is>
      </c>
      <c r="F426" s="80" t="inlineStr">
        <is>
          <t>187/198</t>
        </is>
      </c>
      <c r="G426" s="80" t="inlineStr">
        <is>
          <t>PSA 10</t>
        </is>
      </c>
      <c r="H426" s="80" t="n">
        <v>170</v>
      </c>
      <c r="I426" s="123" t="n">
        <v>46154</v>
      </c>
      <c r="J426" s="80" t="n">
        <v>167.58</v>
      </c>
      <c r="K426" s="80" t="n">
        <v>154.55</v>
      </c>
      <c r="L426" s="80" t="n">
        <v>150.58</v>
      </c>
      <c r="M426" s="80">
        <f>IFERROR((H426-J426)/J426,0)</f>
        <v/>
      </c>
      <c r="N426" s="80">
        <f>IFERROR((H426-K426)/K426,0)</f>
        <v/>
      </c>
      <c r="O426" s="80">
        <f>IFERROR((H426-L426)/L426,0)</f>
        <v/>
      </c>
      <c r="P426" s="80" t="n">
        <v>130</v>
      </c>
      <c r="Q426" s="80" t="n">
        <v>290</v>
      </c>
      <c r="R426" s="80" t="inlineStr">
        <is>
          <t>3-5yr</t>
        </is>
      </c>
      <c r="S426" s="80" t="n">
        <v>3</v>
      </c>
      <c r="T426" s="80" t="n">
        <v>1500</v>
      </c>
      <c r="U426" s="80">
        <f>MAX(0,MIN(100,50+((M426*0.6)+(N426*0.4))*200))</f>
        <v/>
      </c>
      <c r="V426" s="80">
        <f>MAX(20,MIN(100,50+(P426-H426)/P426*100))</f>
        <v/>
      </c>
      <c r="W426" s="80">
        <f>IFERROR(MAX(0,MIN(100,100-LOG10(T426)*16)),60)</f>
        <v/>
      </c>
      <c r="X426" s="80">
        <f>IF(C426="T2",85,IF(C426="T4",70,IF(C426="T1",65,IF(C426="T3",55,45))))</f>
        <v/>
      </c>
      <c r="Y426" s="80">
        <f>U426*0.55+W426*0.20+V426*0.15+X426*0.10+ROW()/1000000</f>
        <v/>
      </c>
      <c r="Z426" s="80">
        <f>IF(Y426&gt;=75,"STRONG BUY",IF(Y426&gt;=60,"BUY",IF(Y426&gt;=40,"HOLD",IF(Y426&gt;=25,"TRIM","SELL"))))</f>
        <v/>
      </c>
      <c r="AA426" s="80" t="inlineStr">
        <is>
          <t>https://www.tcgplayer.com/product/240084</t>
        </is>
      </c>
      <c r="AB426" s="80" t="inlineStr">
        <is>
          <t>Galarian Slowking alt.</t>
        </is>
      </c>
    </row>
    <row r="427">
      <c r="A427" s="80" t="inlineStr">
        <is>
          <t>X203</t>
        </is>
      </c>
      <c r="B427" s="80" t="inlineStr">
        <is>
          <t>Modern Chase PSA 10</t>
        </is>
      </c>
      <c r="C427" s="80" t="inlineStr">
        <is>
          <t>T2</t>
        </is>
      </c>
      <c r="D427" s="80" t="inlineStr">
        <is>
          <t>Sylveon V Alt Art</t>
        </is>
      </c>
      <c r="E427" s="80" t="inlineStr">
        <is>
          <t>Evolving Skies</t>
        </is>
      </c>
      <c r="F427" s="80" t="inlineStr">
        <is>
          <t>184/203</t>
        </is>
      </c>
      <c r="G427" s="80" t="inlineStr">
        <is>
          <t>PSA 10</t>
        </is>
      </c>
      <c r="H427" s="80" t="n">
        <v>195</v>
      </c>
      <c r="I427" s="123" t="n">
        <v>46154</v>
      </c>
      <c r="J427" s="80" t="n">
        <v>188.59</v>
      </c>
      <c r="K427" s="80" t="n">
        <v>177.27</v>
      </c>
      <c r="L427" s="80" t="n">
        <v>164.24</v>
      </c>
      <c r="M427" s="80">
        <f>IFERROR((H427-J427)/J427,0)</f>
        <v/>
      </c>
      <c r="N427" s="80">
        <f>IFERROR((H427-K427)/K427,0)</f>
        <v/>
      </c>
      <c r="O427" s="80">
        <f>IFERROR((H427-L427)/L427,0)</f>
        <v/>
      </c>
      <c r="P427" s="80" t="n">
        <v>150</v>
      </c>
      <c r="Q427" s="80" t="n">
        <v>330</v>
      </c>
      <c r="R427" s="80" t="inlineStr">
        <is>
          <t>3-5yr</t>
        </is>
      </c>
      <c r="S427" s="80" t="n">
        <v>4</v>
      </c>
      <c r="T427" s="80" t="n">
        <v>2900</v>
      </c>
      <c r="U427" s="80">
        <f>MAX(0,MIN(100,50+((M427*0.6)+(N427*0.4))*200))</f>
        <v/>
      </c>
      <c r="V427" s="80">
        <f>MAX(20,MIN(100,50+(P427-H427)/P427*100))</f>
        <v/>
      </c>
      <c r="W427" s="80">
        <f>IFERROR(MAX(0,MIN(100,100-LOG10(T427)*16)),60)</f>
        <v/>
      </c>
      <c r="X427" s="80">
        <f>IF(C427="T2",85,IF(C427="T4",70,IF(C427="T1",65,IF(C427="T3",55,45))))</f>
        <v/>
      </c>
      <c r="Y427" s="80">
        <f>U427*0.55+W427*0.20+V427*0.15+X427*0.10+ROW()/1000000</f>
        <v/>
      </c>
      <c r="Z427" s="80">
        <f>IF(Y427&gt;=75,"STRONG BUY",IF(Y427&gt;=60,"BUY",IF(Y427&gt;=40,"HOLD",IF(Y427&gt;=25,"TRIM","SELL"))))</f>
        <v/>
      </c>
      <c r="AA427" s="80" t="inlineStr">
        <is>
          <t>https://www.tcgplayer.com/product/246692</t>
        </is>
      </c>
      <c r="AB427" s="80" t="inlineStr">
        <is>
          <t>ES Sylveon V alt PSA 10.</t>
        </is>
      </c>
    </row>
    <row r="428">
      <c r="A428" s="80" t="inlineStr">
        <is>
          <t>X204</t>
        </is>
      </c>
      <c r="B428" s="80" t="inlineStr">
        <is>
          <t>Modern Chase PSA 10</t>
        </is>
      </c>
      <c r="C428" s="80" t="inlineStr">
        <is>
          <t>T2</t>
        </is>
      </c>
      <c r="D428" s="80" t="inlineStr">
        <is>
          <t>Espeon V Alt Art</t>
        </is>
      </c>
      <c r="E428" s="80" t="inlineStr">
        <is>
          <t>Evolving Skies</t>
        </is>
      </c>
      <c r="F428" s="80" t="inlineStr">
        <is>
          <t>180/203</t>
        </is>
      </c>
      <c r="G428" s="80" t="inlineStr">
        <is>
          <t>PSA 10</t>
        </is>
      </c>
      <c r="H428" s="80" t="n">
        <v>180</v>
      </c>
      <c r="I428" s="123" t="n">
        <v>46154</v>
      </c>
      <c r="J428" s="80" t="n">
        <v>173.96</v>
      </c>
      <c r="K428" s="80" t="n">
        <v>163.64</v>
      </c>
      <c r="L428" s="80" t="n">
        <v>158.63</v>
      </c>
      <c r="M428" s="80">
        <f>IFERROR((H428-J428)/J428,0)</f>
        <v/>
      </c>
      <c r="N428" s="80">
        <f>IFERROR((H428-K428)/K428,0)</f>
        <v/>
      </c>
      <c r="O428" s="80">
        <f>IFERROR((H428-L428)/L428,0)</f>
        <v/>
      </c>
      <c r="P428" s="80" t="n">
        <v>140</v>
      </c>
      <c r="Q428" s="80" t="n">
        <v>305</v>
      </c>
      <c r="R428" s="80" t="inlineStr">
        <is>
          <t>3-5yr</t>
        </is>
      </c>
      <c r="S428" s="80" t="n">
        <v>4</v>
      </c>
      <c r="T428" s="80" t="n">
        <v>2900</v>
      </c>
      <c r="U428" s="80">
        <f>MAX(0,MIN(100,50+((M428*0.6)+(N428*0.4))*200))</f>
        <v/>
      </c>
      <c r="V428" s="80">
        <f>MAX(20,MIN(100,50+(P428-H428)/P428*100))</f>
        <v/>
      </c>
      <c r="W428" s="80">
        <f>IFERROR(MAX(0,MIN(100,100-LOG10(T428)*16)),60)</f>
        <v/>
      </c>
      <c r="X428" s="80">
        <f>IF(C428="T2",85,IF(C428="T4",70,IF(C428="T1",65,IF(C428="T3",55,45))))</f>
        <v/>
      </c>
      <c r="Y428" s="80">
        <f>U428*0.55+W428*0.20+V428*0.15+X428*0.10+ROW()/1000000</f>
        <v/>
      </c>
      <c r="Z428" s="80">
        <f>IF(Y428&gt;=75,"STRONG BUY",IF(Y428&gt;=60,"BUY",IF(Y428&gt;=40,"HOLD",IF(Y428&gt;=25,"TRIM","SELL"))))</f>
        <v/>
      </c>
      <c r="AA428" s="80" t="inlineStr">
        <is>
          <t>https://www.tcgplayer.com/product/246688</t>
        </is>
      </c>
      <c r="AB428" s="80" t="inlineStr">
        <is>
          <t>Espeon V alt graded.</t>
        </is>
      </c>
    </row>
    <row r="429">
      <c r="A429" s="80" t="inlineStr">
        <is>
          <t>X205</t>
        </is>
      </c>
      <c r="B429" s="80" t="inlineStr">
        <is>
          <t>Modern Chase PSA 10</t>
        </is>
      </c>
      <c r="C429" s="80" t="inlineStr">
        <is>
          <t>T2</t>
        </is>
      </c>
      <c r="D429" s="80" t="inlineStr">
        <is>
          <t>Leafeon V Alt Art</t>
        </is>
      </c>
      <c r="E429" s="80" t="inlineStr">
        <is>
          <t>Evolving Skies</t>
        </is>
      </c>
      <c r="F429" s="80" t="inlineStr">
        <is>
          <t>175/203</t>
        </is>
      </c>
      <c r="G429" s="80" t="inlineStr">
        <is>
          <t>PSA 10</t>
        </is>
      </c>
      <c r="H429" s="80" t="n">
        <v>160</v>
      </c>
      <c r="I429" s="123" t="n">
        <v>46154</v>
      </c>
      <c r="J429" s="80" t="n">
        <v>158.89</v>
      </c>
      <c r="K429" s="80" t="n">
        <v>148.15</v>
      </c>
      <c r="L429" s="80" t="n">
        <v>138.42</v>
      </c>
      <c r="M429" s="80">
        <f>IFERROR((H429-J429)/J429,0)</f>
        <v/>
      </c>
      <c r="N429" s="80">
        <f>IFERROR((H429-K429)/K429,0)</f>
        <v/>
      </c>
      <c r="O429" s="80">
        <f>IFERROR((H429-L429)/L429,0)</f>
        <v/>
      </c>
      <c r="P429" s="80" t="n">
        <v>125</v>
      </c>
      <c r="Q429" s="80" t="n">
        <v>270</v>
      </c>
      <c r="R429" s="80" t="inlineStr">
        <is>
          <t>3-5yr</t>
        </is>
      </c>
      <c r="S429" s="80" t="n">
        <v>3</v>
      </c>
      <c r="T429" s="80" t="n">
        <v>3000</v>
      </c>
      <c r="U429" s="80">
        <f>MAX(0,MIN(100,50+((M429*0.6)+(N429*0.4))*200))</f>
        <v/>
      </c>
      <c r="V429" s="80">
        <f>MAX(20,MIN(100,50+(P429-H429)/P429*100))</f>
        <v/>
      </c>
      <c r="W429" s="80">
        <f>IFERROR(MAX(0,MIN(100,100-LOG10(T429)*16)),60)</f>
        <v/>
      </c>
      <c r="X429" s="80">
        <f>IF(C429="T2",85,IF(C429="T4",70,IF(C429="T1",65,IF(C429="T3",55,45))))</f>
        <v/>
      </c>
      <c r="Y429" s="80">
        <f>U429*0.55+W429*0.20+V429*0.15+X429*0.10+ROW()/1000000</f>
        <v/>
      </c>
      <c r="Z429" s="80">
        <f>IF(Y429&gt;=75,"STRONG BUY",IF(Y429&gt;=60,"BUY",IF(Y429&gt;=40,"HOLD",IF(Y429&gt;=25,"TRIM","SELL"))))</f>
        <v/>
      </c>
      <c r="AA429" s="80" t="inlineStr">
        <is>
          <t>https://www.tcgplayer.com/product/246683</t>
        </is>
      </c>
      <c r="AB429" s="80" t="inlineStr">
        <is>
          <t>Leafeon V alt.</t>
        </is>
      </c>
    </row>
    <row r="430">
      <c r="A430" s="80" t="inlineStr">
        <is>
          <t>X206</t>
        </is>
      </c>
      <c r="B430" s="80" t="inlineStr">
        <is>
          <t>Modern Chase PSA 10</t>
        </is>
      </c>
      <c r="C430" s="80" t="inlineStr">
        <is>
          <t>T2</t>
        </is>
      </c>
      <c r="D430" s="80" t="inlineStr">
        <is>
          <t>Glaceon V Alt Art</t>
        </is>
      </c>
      <c r="E430" s="80" t="inlineStr">
        <is>
          <t>Evolving Skies</t>
        </is>
      </c>
      <c r="F430" s="80" t="inlineStr">
        <is>
          <t>176/203</t>
        </is>
      </c>
      <c r="G430" s="80" t="inlineStr">
        <is>
          <t>PSA 10</t>
        </is>
      </c>
      <c r="H430" s="80" t="n">
        <v>165</v>
      </c>
      <c r="I430" s="123" t="n">
        <v>46154</v>
      </c>
      <c r="J430" s="80" t="n">
        <v>161.15</v>
      </c>
      <c r="K430" s="80" t="n">
        <v>151.38</v>
      </c>
      <c r="L430" s="80" t="n">
        <v>138.85</v>
      </c>
      <c r="M430" s="80">
        <f>IFERROR((H430-J430)/J430,0)</f>
        <v/>
      </c>
      <c r="N430" s="80">
        <f>IFERROR((H430-K430)/K430,0)</f>
        <v/>
      </c>
      <c r="O430" s="80">
        <f>IFERROR((H430-L430)/L430,0)</f>
        <v/>
      </c>
      <c r="P430" s="80" t="n">
        <v>130</v>
      </c>
      <c r="Q430" s="80" t="n">
        <v>280</v>
      </c>
      <c r="R430" s="80" t="inlineStr">
        <is>
          <t>3-5yr</t>
        </is>
      </c>
      <c r="S430" s="80" t="n">
        <v>3</v>
      </c>
      <c r="T430" s="80" t="n">
        <v>2900</v>
      </c>
      <c r="U430" s="80">
        <f>MAX(0,MIN(100,50+((M430*0.6)+(N430*0.4))*200))</f>
        <v/>
      </c>
      <c r="V430" s="80">
        <f>MAX(20,MIN(100,50+(P430-H430)/P430*100))</f>
        <v/>
      </c>
      <c r="W430" s="80">
        <f>IFERROR(MAX(0,MIN(100,100-LOG10(T430)*16)),60)</f>
        <v/>
      </c>
      <c r="X430" s="80">
        <f>IF(C430="T2",85,IF(C430="T4",70,IF(C430="T1",65,IF(C430="T3",55,45))))</f>
        <v/>
      </c>
      <c r="Y430" s="80">
        <f>U430*0.55+W430*0.20+V430*0.15+X430*0.10+ROW()/1000000</f>
        <v/>
      </c>
      <c r="Z430" s="80">
        <f>IF(Y430&gt;=75,"STRONG BUY",IF(Y430&gt;=60,"BUY",IF(Y430&gt;=40,"HOLD",IF(Y430&gt;=25,"TRIM","SELL"))))</f>
        <v/>
      </c>
      <c r="AA430" s="80" t="inlineStr">
        <is>
          <t>https://www.tcgplayer.com/product/246684</t>
        </is>
      </c>
      <c r="AB430" s="80" t="inlineStr">
        <is>
          <t>Glaceon V alt.</t>
        </is>
      </c>
    </row>
    <row r="431">
      <c r="A431" s="80" t="inlineStr">
        <is>
          <t>X207</t>
        </is>
      </c>
      <c r="B431" s="80" t="inlineStr">
        <is>
          <t>Modern Chase PSA 10</t>
        </is>
      </c>
      <c r="C431" s="80" t="inlineStr">
        <is>
          <t>T2</t>
        </is>
      </c>
      <c r="D431" s="80" t="inlineStr">
        <is>
          <t>Jolteon V Alt Art</t>
        </is>
      </c>
      <c r="E431" s="80" t="inlineStr">
        <is>
          <t>Evolving Skies</t>
        </is>
      </c>
      <c r="F431" s="80" t="inlineStr">
        <is>
          <t>182/203</t>
        </is>
      </c>
      <c r="G431" s="80" t="inlineStr">
        <is>
          <t>PSA 10</t>
        </is>
      </c>
      <c r="H431" s="80" t="n">
        <v>170</v>
      </c>
      <c r="I431" s="123" t="n">
        <v>46154</v>
      </c>
      <c r="J431" s="80" t="n">
        <v>167.32</v>
      </c>
      <c r="K431" s="80" t="n">
        <v>154.55</v>
      </c>
      <c r="L431" s="80" t="n">
        <v>149.1</v>
      </c>
      <c r="M431" s="80">
        <f>IFERROR((H431-J431)/J431,0)</f>
        <v/>
      </c>
      <c r="N431" s="80">
        <f>IFERROR((H431-K431)/K431,0)</f>
        <v/>
      </c>
      <c r="O431" s="80">
        <f>IFERROR((H431-L431)/L431,0)</f>
        <v/>
      </c>
      <c r="P431" s="80" t="n">
        <v>130</v>
      </c>
      <c r="Q431" s="80" t="n">
        <v>290</v>
      </c>
      <c r="R431" s="80" t="inlineStr">
        <is>
          <t>3-5yr</t>
        </is>
      </c>
      <c r="S431" s="80" t="n">
        <v>3</v>
      </c>
      <c r="T431" s="80" t="n">
        <v>2700</v>
      </c>
      <c r="U431" s="80">
        <f>MAX(0,MIN(100,50+((M431*0.6)+(N431*0.4))*200))</f>
        <v/>
      </c>
      <c r="V431" s="80">
        <f>MAX(20,MIN(100,50+(P431-H431)/P431*100))</f>
        <v/>
      </c>
      <c r="W431" s="80">
        <f>IFERROR(MAX(0,MIN(100,100-LOG10(T431)*16)),60)</f>
        <v/>
      </c>
      <c r="X431" s="80">
        <f>IF(C431="T2",85,IF(C431="T4",70,IF(C431="T1",65,IF(C431="T3",55,45))))</f>
        <v/>
      </c>
      <c r="Y431" s="80">
        <f>U431*0.55+W431*0.20+V431*0.15+X431*0.10+ROW()/1000000</f>
        <v/>
      </c>
      <c r="Z431" s="80">
        <f>IF(Y431&gt;=75,"STRONG BUY",IF(Y431&gt;=60,"BUY",IF(Y431&gt;=40,"HOLD",IF(Y431&gt;=25,"TRIM","SELL"))))</f>
        <v/>
      </c>
      <c r="AA431" s="80" t="inlineStr">
        <is>
          <t>https://www.tcgplayer.com/product/246690</t>
        </is>
      </c>
      <c r="AB431" s="80" t="inlineStr">
        <is>
          <t>Jolteon V alt.</t>
        </is>
      </c>
    </row>
    <row r="432">
      <c r="A432" s="80" t="inlineStr">
        <is>
          <t>X208</t>
        </is>
      </c>
      <c r="B432" s="80" t="inlineStr">
        <is>
          <t>Modern Chase PSA 10</t>
        </is>
      </c>
      <c r="C432" s="80" t="inlineStr">
        <is>
          <t>T2</t>
        </is>
      </c>
      <c r="D432" s="80" t="inlineStr">
        <is>
          <t>Galarian Articuno V Alt (CZ)</t>
        </is>
      </c>
      <c r="E432" s="80" t="inlineStr">
        <is>
          <t>Crown Zenith</t>
        </is>
      </c>
      <c r="F432" s="80" t="inlineStr">
        <is>
          <t>GG40/GG70</t>
        </is>
      </c>
      <c r="G432" s="80" t="inlineStr">
        <is>
          <t>PSA 10</t>
        </is>
      </c>
      <c r="H432" s="80" t="n">
        <v>140</v>
      </c>
      <c r="I432" s="123" t="n">
        <v>46154</v>
      </c>
      <c r="J432" s="80" t="n">
        <v>135.51</v>
      </c>
      <c r="K432" s="80" t="n">
        <v>129.63</v>
      </c>
      <c r="L432" s="80" t="n">
        <v>122.57</v>
      </c>
      <c r="M432" s="80">
        <f>IFERROR((H432-J432)/J432,0)</f>
        <v/>
      </c>
      <c r="N432" s="80">
        <f>IFERROR((H432-K432)/K432,0)</f>
        <v/>
      </c>
      <c r="O432" s="80">
        <f>IFERROR((H432-L432)/L432,0)</f>
        <v/>
      </c>
      <c r="P432" s="80" t="n">
        <v>110</v>
      </c>
      <c r="Q432" s="80" t="n">
        <v>240</v>
      </c>
      <c r="R432" s="80" t="inlineStr">
        <is>
          <t>3-5yr</t>
        </is>
      </c>
      <c r="S432" s="80" t="n">
        <v>3</v>
      </c>
      <c r="T432" s="80" t="n">
        <v>1800</v>
      </c>
      <c r="U432" s="80">
        <f>MAX(0,MIN(100,50+((M432*0.6)+(N432*0.4))*200))</f>
        <v/>
      </c>
      <c r="V432" s="80">
        <f>MAX(20,MIN(100,50+(P432-H432)/P432*100))</f>
        <v/>
      </c>
      <c r="W432" s="80">
        <f>IFERROR(MAX(0,MIN(100,100-LOG10(T432)*16)),60)</f>
        <v/>
      </c>
      <c r="X432" s="80">
        <f>IF(C432="T2",85,IF(C432="T4",70,IF(C432="T1",65,IF(C432="T3",55,45))))</f>
        <v/>
      </c>
      <c r="Y432" s="80">
        <f>U432*0.55+W432*0.20+V432*0.15+X432*0.10+ROW()/1000000</f>
        <v/>
      </c>
      <c r="Z432" s="80">
        <f>IF(Y432&gt;=75,"STRONG BUY",IF(Y432&gt;=60,"BUY",IF(Y432&gt;=40,"HOLD",IF(Y432&gt;=25,"TRIM","SELL"))))</f>
        <v/>
      </c>
      <c r="AA432" s="80" t="inlineStr">
        <is>
          <t>https://www.tcgplayer.com/product/477100</t>
        </is>
      </c>
      <c r="AB432" s="80" t="inlineStr">
        <is>
          <t>GG Galarian Articuno.</t>
        </is>
      </c>
    </row>
    <row r="433">
      <c r="A433" s="80" t="inlineStr">
        <is>
          <t>X209</t>
        </is>
      </c>
      <c r="B433" s="80" t="inlineStr">
        <is>
          <t>Modern Chase PSA 10</t>
        </is>
      </c>
      <c r="C433" s="80" t="inlineStr">
        <is>
          <t>T2</t>
        </is>
      </c>
      <c r="D433" s="80" t="inlineStr">
        <is>
          <t>Galarian Moltres V Alt (CZ)</t>
        </is>
      </c>
      <c r="E433" s="80" t="inlineStr">
        <is>
          <t>Crown Zenith</t>
        </is>
      </c>
      <c r="F433" s="80" t="inlineStr">
        <is>
          <t>GG39/GG70</t>
        </is>
      </c>
      <c r="G433" s="80" t="inlineStr">
        <is>
          <t>PSA 10</t>
        </is>
      </c>
      <c r="H433" s="80" t="n">
        <v>150</v>
      </c>
      <c r="I433" s="123" t="n">
        <v>46154</v>
      </c>
      <c r="J433" s="80" t="n">
        <v>146.28</v>
      </c>
      <c r="K433" s="80" t="n">
        <v>137.61</v>
      </c>
      <c r="L433" s="80" t="n">
        <v>129.72</v>
      </c>
      <c r="M433" s="80">
        <f>IFERROR((H433-J433)/J433,0)</f>
        <v/>
      </c>
      <c r="N433" s="80">
        <f>IFERROR((H433-K433)/K433,0)</f>
        <v/>
      </c>
      <c r="O433" s="80">
        <f>IFERROR((H433-L433)/L433,0)</f>
        <v/>
      </c>
      <c r="P433" s="80" t="n">
        <v>115</v>
      </c>
      <c r="Q433" s="80" t="n">
        <v>255</v>
      </c>
      <c r="R433" s="80" t="inlineStr">
        <is>
          <t>3-5yr</t>
        </is>
      </c>
      <c r="S433" s="80" t="n">
        <v>3</v>
      </c>
      <c r="T433" s="80" t="n">
        <v>1700</v>
      </c>
      <c r="U433" s="80">
        <f>MAX(0,MIN(100,50+((M433*0.6)+(N433*0.4))*200))</f>
        <v/>
      </c>
      <c r="V433" s="80">
        <f>MAX(20,MIN(100,50+(P433-H433)/P433*100))</f>
        <v/>
      </c>
      <c r="W433" s="80">
        <f>IFERROR(MAX(0,MIN(100,100-LOG10(T433)*16)),60)</f>
        <v/>
      </c>
      <c r="X433" s="80">
        <f>IF(C433="T2",85,IF(C433="T4",70,IF(C433="T1",65,IF(C433="T3",55,45))))</f>
        <v/>
      </c>
      <c r="Y433" s="80">
        <f>U433*0.55+W433*0.20+V433*0.15+X433*0.10+ROW()/1000000</f>
        <v/>
      </c>
      <c r="Z433" s="80">
        <f>IF(Y433&gt;=75,"STRONG BUY",IF(Y433&gt;=60,"BUY",IF(Y433&gt;=40,"HOLD",IF(Y433&gt;=25,"TRIM","SELL"))))</f>
        <v/>
      </c>
      <c r="AA433" s="80" t="inlineStr">
        <is>
          <t>https://www.tcgplayer.com/product/477099</t>
        </is>
      </c>
      <c r="AB433" s="80" t="inlineStr">
        <is>
          <t>GG Galarian Moltres.</t>
        </is>
      </c>
    </row>
    <row r="434">
      <c r="A434" s="80" t="inlineStr">
        <is>
          <t>X210</t>
        </is>
      </c>
      <c r="B434" s="80" t="inlineStr">
        <is>
          <t>Modern Chase PSA 10</t>
        </is>
      </c>
      <c r="C434" s="80" t="inlineStr">
        <is>
          <t>T2</t>
        </is>
      </c>
      <c r="D434" s="80" t="inlineStr">
        <is>
          <t>Galarian Zapdos V Alt (CZ)</t>
        </is>
      </c>
      <c r="E434" s="80" t="inlineStr">
        <is>
          <t>Crown Zenith</t>
        </is>
      </c>
      <c r="F434" s="80" t="inlineStr">
        <is>
          <t>GG41/GG70</t>
        </is>
      </c>
      <c r="G434" s="80" t="inlineStr">
        <is>
          <t>PSA 10</t>
        </is>
      </c>
      <c r="H434" s="80" t="n">
        <v>130</v>
      </c>
      <c r="I434" s="123" t="n">
        <v>46154</v>
      </c>
      <c r="J434" s="80" t="n">
        <v>128.29</v>
      </c>
      <c r="K434" s="80" t="n">
        <v>120.37</v>
      </c>
      <c r="L434" s="80" t="n">
        <v>111.48</v>
      </c>
      <c r="M434" s="80">
        <f>IFERROR((H434-J434)/J434,0)</f>
        <v/>
      </c>
      <c r="N434" s="80">
        <f>IFERROR((H434-K434)/K434,0)</f>
        <v/>
      </c>
      <c r="O434" s="80">
        <f>IFERROR((H434-L434)/L434,0)</f>
        <v/>
      </c>
      <c r="P434" s="80" t="n">
        <v>100</v>
      </c>
      <c r="Q434" s="80" t="n">
        <v>220</v>
      </c>
      <c r="R434" s="80" t="inlineStr">
        <is>
          <t>3-5yr</t>
        </is>
      </c>
      <c r="S434" s="80" t="n">
        <v>3</v>
      </c>
      <c r="T434" s="80" t="n">
        <v>1750</v>
      </c>
      <c r="U434" s="80">
        <f>MAX(0,MIN(100,50+((M434*0.6)+(N434*0.4))*200))</f>
        <v/>
      </c>
      <c r="V434" s="80">
        <f>MAX(20,MIN(100,50+(P434-H434)/P434*100))</f>
        <v/>
      </c>
      <c r="W434" s="80">
        <f>IFERROR(MAX(0,MIN(100,100-LOG10(T434)*16)),60)</f>
        <v/>
      </c>
      <c r="X434" s="80">
        <f>IF(C434="T2",85,IF(C434="T4",70,IF(C434="T1",65,IF(C434="T3",55,45))))</f>
        <v/>
      </c>
      <c r="Y434" s="80">
        <f>U434*0.55+W434*0.20+V434*0.15+X434*0.10+ROW()/1000000</f>
        <v/>
      </c>
      <c r="Z434" s="80">
        <f>IF(Y434&gt;=75,"STRONG BUY",IF(Y434&gt;=60,"BUY",IF(Y434&gt;=40,"HOLD",IF(Y434&gt;=25,"TRIM","SELL"))))</f>
        <v/>
      </c>
      <c r="AA434" s="80" t="inlineStr">
        <is>
          <t>https://www.tcgplayer.com/product/477101</t>
        </is>
      </c>
      <c r="AB434" s="80" t="inlineStr">
        <is>
          <t>GG Galarian Zapdos.</t>
        </is>
      </c>
    </row>
    <row r="435">
      <c r="A435" s="80" t="inlineStr">
        <is>
          <t>X211</t>
        </is>
      </c>
      <c r="B435" s="80" t="inlineStr">
        <is>
          <t>Modern Chase PSA 10</t>
        </is>
      </c>
      <c r="C435" s="80" t="inlineStr">
        <is>
          <t>T2</t>
        </is>
      </c>
      <c r="D435" s="80" t="inlineStr">
        <is>
          <t>Iono Trainer Gallery (PE)</t>
        </is>
      </c>
      <c r="E435" s="80" t="inlineStr">
        <is>
          <t>Paldea Evolved</t>
        </is>
      </c>
      <c r="F435" s="80" t="inlineStr">
        <is>
          <t>237/193</t>
        </is>
      </c>
      <c r="G435" s="80" t="inlineStr">
        <is>
          <t>PSA 10</t>
        </is>
      </c>
      <c r="H435" s="80" t="n">
        <v>175</v>
      </c>
      <c r="I435" s="123" t="n">
        <v>46154</v>
      </c>
      <c r="J435" s="80" t="n">
        <v>173.6</v>
      </c>
      <c r="K435" s="80" t="n">
        <v>160.55</v>
      </c>
      <c r="L435" s="80" t="n">
        <v>156.08</v>
      </c>
      <c r="M435" s="80">
        <f>IFERROR((H435-J435)/J435,0)</f>
        <v/>
      </c>
      <c r="N435" s="80">
        <f>IFERROR((H435-K435)/K435,0)</f>
        <v/>
      </c>
      <c r="O435" s="80">
        <f>IFERROR((H435-L435)/L435,0)</f>
        <v/>
      </c>
      <c r="P435" s="80" t="n">
        <v>135</v>
      </c>
      <c r="Q435" s="80" t="n">
        <v>295</v>
      </c>
      <c r="R435" s="80" t="inlineStr">
        <is>
          <t>3-5yr</t>
        </is>
      </c>
      <c r="S435" s="80" t="n">
        <v>3</v>
      </c>
      <c r="T435" s="80" t="n">
        <v>2200</v>
      </c>
      <c r="U435" s="80">
        <f>MAX(0,MIN(100,50+((M435*0.6)+(N435*0.4))*200))</f>
        <v/>
      </c>
      <c r="V435" s="80">
        <f>MAX(20,MIN(100,50+(P435-H435)/P435*100))</f>
        <v/>
      </c>
      <c r="W435" s="80">
        <f>IFERROR(MAX(0,MIN(100,100-LOG10(T435)*16)),60)</f>
        <v/>
      </c>
      <c r="X435" s="80">
        <f>IF(C435="T2",85,IF(C435="T4",70,IF(C435="T1",65,IF(C435="T3",55,45))))</f>
        <v/>
      </c>
      <c r="Y435" s="80">
        <f>U435*0.55+W435*0.20+V435*0.15+X435*0.10+ROW()/1000000</f>
        <v/>
      </c>
      <c r="Z435" s="80">
        <f>IF(Y435&gt;=75,"STRONG BUY",IF(Y435&gt;=60,"BUY",IF(Y435&gt;=40,"HOLD",IF(Y435&gt;=25,"TRIM","SELL"))))</f>
        <v/>
      </c>
      <c r="AA435" s="80" t="inlineStr">
        <is>
          <t>https://www.tcgplayer.com/product/505423</t>
        </is>
      </c>
      <c r="AB435" s="80" t="inlineStr">
        <is>
          <t>Iono base trainer PSA 10.</t>
        </is>
      </c>
    </row>
    <row r="436">
      <c r="A436" s="80" t="inlineStr">
        <is>
          <t>X212</t>
        </is>
      </c>
      <c r="B436" s="80" t="inlineStr">
        <is>
          <t>Modern Chase PSA 10</t>
        </is>
      </c>
      <c r="C436" s="80" t="inlineStr">
        <is>
          <t>T2</t>
        </is>
      </c>
      <c r="D436" s="80" t="inlineStr">
        <is>
          <t>Penny Trainer Gallery (PE)</t>
        </is>
      </c>
      <c r="E436" s="80" t="inlineStr">
        <is>
          <t>Paldea Evolved</t>
        </is>
      </c>
      <c r="F436" s="80" t="inlineStr">
        <is>
          <t>245/193</t>
        </is>
      </c>
      <c r="G436" s="80" t="inlineStr">
        <is>
          <t>PSA 10</t>
        </is>
      </c>
      <c r="H436" s="80" t="n">
        <v>200</v>
      </c>
      <c r="I436" s="123" t="n">
        <v>46154</v>
      </c>
      <c r="J436" s="80" t="n">
        <v>193.42</v>
      </c>
      <c r="K436" s="80" t="n">
        <v>178.57</v>
      </c>
      <c r="L436" s="80" t="n">
        <v>170.15</v>
      </c>
      <c r="M436" s="80">
        <f>IFERROR((H436-J436)/J436,0)</f>
        <v/>
      </c>
      <c r="N436" s="80">
        <f>IFERROR((H436-K436)/K436,0)</f>
        <v/>
      </c>
      <c r="O436" s="80">
        <f>IFERROR((H436-L436)/L436,0)</f>
        <v/>
      </c>
      <c r="P436" s="80" t="n">
        <v>155</v>
      </c>
      <c r="Q436" s="80" t="n">
        <v>340</v>
      </c>
      <c r="R436" s="80" t="inlineStr">
        <is>
          <t>3-5yr</t>
        </is>
      </c>
      <c r="S436" s="80" t="n">
        <v>4</v>
      </c>
      <c r="T436" s="80" t="n">
        <v>1900</v>
      </c>
      <c r="U436" s="80">
        <f>MAX(0,MIN(100,50+((M436*0.6)+(N436*0.4))*200))</f>
        <v/>
      </c>
      <c r="V436" s="80">
        <f>MAX(20,MIN(100,50+(P436-H436)/P436*100))</f>
        <v/>
      </c>
      <c r="W436" s="80">
        <f>IFERROR(MAX(0,MIN(100,100-LOG10(T436)*16)),60)</f>
        <v/>
      </c>
      <c r="X436" s="80">
        <f>IF(C436="T2",85,IF(C436="T4",70,IF(C436="T1",65,IF(C436="T3",55,45))))</f>
        <v/>
      </c>
      <c r="Y436" s="80">
        <f>U436*0.55+W436*0.20+V436*0.15+X436*0.10+ROW()/1000000</f>
        <v/>
      </c>
      <c r="Z436" s="80">
        <f>IF(Y436&gt;=75,"STRONG BUY",IF(Y436&gt;=60,"BUY",IF(Y436&gt;=40,"HOLD",IF(Y436&gt;=25,"TRIM","SELL"))))</f>
        <v/>
      </c>
      <c r="AA436" s="80" t="inlineStr">
        <is>
          <t>https://www.tcgplayer.com/product/505431</t>
        </is>
      </c>
      <c r="AB436" s="80" t="inlineStr">
        <is>
          <t>Penny in trainer gallery PSA 10.</t>
        </is>
      </c>
    </row>
    <row r="437">
      <c r="A437" s="80" t="inlineStr">
        <is>
          <t>X213</t>
        </is>
      </c>
      <c r="B437" s="80" t="inlineStr">
        <is>
          <t>Modern Chase PSA 10</t>
        </is>
      </c>
      <c r="C437" s="80" t="inlineStr">
        <is>
          <t>T2</t>
        </is>
      </c>
      <c r="D437" s="80" t="inlineStr">
        <is>
          <t>Klara SIR (CR)</t>
        </is>
      </c>
      <c r="E437" s="80" t="inlineStr">
        <is>
          <t>Chilling Reign</t>
        </is>
      </c>
      <c r="F437" s="80" t="inlineStr">
        <is>
          <t>194/198</t>
        </is>
      </c>
      <c r="G437" s="80" t="inlineStr">
        <is>
          <t>PSA 10</t>
        </is>
      </c>
      <c r="H437" s="80" t="n">
        <v>145</v>
      </c>
      <c r="I437" s="123" t="n">
        <v>46154</v>
      </c>
      <c r="J437" s="80" t="n">
        <v>142.95</v>
      </c>
      <c r="K437" s="80" t="n">
        <v>131.82</v>
      </c>
      <c r="L437" s="80" t="n">
        <v>126.56</v>
      </c>
      <c r="M437" s="80">
        <f>IFERROR((H437-J437)/J437,0)</f>
        <v/>
      </c>
      <c r="N437" s="80">
        <f>IFERROR((H437-K437)/K437,0)</f>
        <v/>
      </c>
      <c r="O437" s="80">
        <f>IFERROR((H437-L437)/L437,0)</f>
        <v/>
      </c>
      <c r="P437" s="80" t="n">
        <v>110</v>
      </c>
      <c r="Q437" s="80" t="n">
        <v>245</v>
      </c>
      <c r="R437" s="80" t="inlineStr">
        <is>
          <t>3-5yr</t>
        </is>
      </c>
      <c r="S437" s="80" t="n">
        <v>3</v>
      </c>
      <c r="T437" s="80" t="n">
        <v>1700</v>
      </c>
      <c r="U437" s="80">
        <f>MAX(0,MIN(100,50+((M437*0.6)+(N437*0.4))*200))</f>
        <v/>
      </c>
      <c r="V437" s="80">
        <f>MAX(20,MIN(100,50+(P437-H437)/P437*100))</f>
        <v/>
      </c>
      <c r="W437" s="80">
        <f>IFERROR(MAX(0,MIN(100,100-LOG10(T437)*16)),60)</f>
        <v/>
      </c>
      <c r="X437" s="80">
        <f>IF(C437="T2",85,IF(C437="T4",70,IF(C437="T1",65,IF(C437="T3",55,45))))</f>
        <v/>
      </c>
      <c r="Y437" s="80">
        <f>U437*0.55+W437*0.20+V437*0.15+X437*0.10+ROW()/1000000</f>
        <v/>
      </c>
      <c r="Z437" s="80">
        <f>IF(Y437&gt;=75,"STRONG BUY",IF(Y437&gt;=60,"BUY",IF(Y437&gt;=40,"HOLD",IF(Y437&gt;=25,"TRIM","SELL"))))</f>
        <v/>
      </c>
      <c r="AA437" s="80" t="inlineStr">
        <is>
          <t>https://www.tcgplayer.com/product/240091</t>
        </is>
      </c>
      <c r="AB437" s="80" t="inlineStr">
        <is>
          <t>Klara SIR graded.</t>
        </is>
      </c>
    </row>
    <row r="438">
      <c r="A438" s="80" t="inlineStr">
        <is>
          <t>X214</t>
        </is>
      </c>
      <c r="B438" s="80" t="inlineStr">
        <is>
          <t>Modern Chase PSA 10</t>
        </is>
      </c>
      <c r="C438" s="80" t="inlineStr">
        <is>
          <t>T2</t>
        </is>
      </c>
      <c r="D438" s="80" t="inlineStr">
        <is>
          <t>Avery SIR (CR)</t>
        </is>
      </c>
      <c r="E438" s="80" t="inlineStr">
        <is>
          <t>Chilling Reign</t>
        </is>
      </c>
      <c r="F438" s="80" t="inlineStr">
        <is>
          <t>193/198</t>
        </is>
      </c>
      <c r="G438" s="80" t="inlineStr">
        <is>
          <t>PSA 10</t>
        </is>
      </c>
      <c r="H438" s="80" t="n">
        <v>110</v>
      </c>
      <c r="I438" s="123" t="n">
        <v>46154</v>
      </c>
      <c r="J438" s="80" t="n">
        <v>106.78</v>
      </c>
      <c r="K438" s="80" t="n">
        <v>101.85</v>
      </c>
      <c r="L438" s="80" t="n">
        <v>96.16</v>
      </c>
      <c r="M438" s="80">
        <f>IFERROR((H438-J438)/J438,0)</f>
        <v/>
      </c>
      <c r="N438" s="80">
        <f>IFERROR((H438-K438)/K438,0)</f>
        <v/>
      </c>
      <c r="O438" s="80">
        <f>IFERROR((H438-L438)/L438,0)</f>
        <v/>
      </c>
      <c r="P438" s="80" t="n">
        <v>85</v>
      </c>
      <c r="Q438" s="80" t="n">
        <v>185</v>
      </c>
      <c r="R438" s="80" t="inlineStr">
        <is>
          <t>3-5yr</t>
        </is>
      </c>
      <c r="S438" s="80" t="n">
        <v>3</v>
      </c>
      <c r="T438" s="80" t="n">
        <v>1500</v>
      </c>
      <c r="U438" s="80">
        <f>MAX(0,MIN(100,50+((M438*0.6)+(N438*0.4))*200))</f>
        <v/>
      </c>
      <c r="V438" s="80">
        <f>MAX(20,MIN(100,50+(P438-H438)/P438*100))</f>
        <v/>
      </c>
      <c r="W438" s="80">
        <f>IFERROR(MAX(0,MIN(100,100-LOG10(T438)*16)),60)</f>
        <v/>
      </c>
      <c r="X438" s="80">
        <f>IF(C438="T2",85,IF(C438="T4",70,IF(C438="T1",65,IF(C438="T3",55,45))))</f>
        <v/>
      </c>
      <c r="Y438" s="80">
        <f>U438*0.55+W438*0.20+V438*0.15+X438*0.10+ROW()/1000000</f>
        <v/>
      </c>
      <c r="Z438" s="80">
        <f>IF(Y438&gt;=75,"STRONG BUY",IF(Y438&gt;=60,"BUY",IF(Y438&gt;=40,"HOLD",IF(Y438&gt;=25,"TRIM","SELL"))))</f>
        <v/>
      </c>
      <c r="AA438" s="80" t="inlineStr">
        <is>
          <t>https://www.tcgplayer.com/product/240090</t>
        </is>
      </c>
      <c r="AB438" s="80" t="inlineStr">
        <is>
          <t>Avery SIR.</t>
        </is>
      </c>
    </row>
    <row r="439">
      <c r="A439" s="80" t="inlineStr">
        <is>
          <t>X215</t>
        </is>
      </c>
      <c r="B439" s="80" t="inlineStr">
        <is>
          <t>Modern Chase PSA 10</t>
        </is>
      </c>
      <c r="C439" s="80" t="inlineStr">
        <is>
          <t>T2</t>
        </is>
      </c>
      <c r="D439" s="80" t="inlineStr">
        <is>
          <t>Erika's Invitation SIR (151)</t>
        </is>
      </c>
      <c r="E439" s="80" t="inlineStr">
        <is>
          <t>151</t>
        </is>
      </c>
      <c r="F439" s="80" t="inlineStr">
        <is>
          <t>203/165</t>
        </is>
      </c>
      <c r="G439" s="80" t="inlineStr">
        <is>
          <t>PSA 10</t>
        </is>
      </c>
      <c r="H439" s="80" t="n">
        <v>220</v>
      </c>
      <c r="I439" s="123" t="n">
        <v>46154</v>
      </c>
      <c r="J439" s="80" t="n">
        <v>213.98</v>
      </c>
      <c r="K439" s="80" t="n">
        <v>200</v>
      </c>
      <c r="L439" s="80" t="n">
        <v>191.54</v>
      </c>
      <c r="M439" s="80">
        <f>IFERROR((H439-J439)/J439,0)</f>
        <v/>
      </c>
      <c r="N439" s="80">
        <f>IFERROR((H439-K439)/K439,0)</f>
        <v/>
      </c>
      <c r="O439" s="80">
        <f>IFERROR((H439-L439)/L439,0)</f>
        <v/>
      </c>
      <c r="P439" s="80" t="n">
        <v>170</v>
      </c>
      <c r="Q439" s="80" t="n">
        <v>370</v>
      </c>
      <c r="R439" s="80" t="inlineStr">
        <is>
          <t>2-5yr</t>
        </is>
      </c>
      <c r="S439" s="80" t="n">
        <v>4</v>
      </c>
      <c r="T439" s="80" t="n">
        <v>1700</v>
      </c>
      <c r="U439" s="80">
        <f>MAX(0,MIN(100,50+((M439*0.6)+(N439*0.4))*200))</f>
        <v/>
      </c>
      <c r="V439" s="80">
        <f>MAX(20,MIN(100,50+(P439-H439)/P439*100))</f>
        <v/>
      </c>
      <c r="W439" s="80">
        <f>IFERROR(MAX(0,MIN(100,100-LOG10(T439)*16)),60)</f>
        <v/>
      </c>
      <c r="X439" s="80">
        <f>IF(C439="T2",85,IF(C439="T4",70,IF(C439="T1",65,IF(C439="T3",55,45))))</f>
        <v/>
      </c>
      <c r="Y439" s="80">
        <f>U439*0.55+W439*0.20+V439*0.15+X439*0.10+ROW()/1000000</f>
        <v/>
      </c>
      <c r="Z439" s="80">
        <f>IF(Y439&gt;=75,"STRONG BUY",IF(Y439&gt;=60,"BUY",IF(Y439&gt;=40,"HOLD",IF(Y439&gt;=25,"TRIM","SELL"))))</f>
        <v/>
      </c>
      <c r="AA439" s="80" t="inlineStr">
        <is>
          <t>https://www.tcgplayer.com/product/498108</t>
        </is>
      </c>
      <c r="AB439" s="80" t="inlineStr">
        <is>
          <t>Erika SIR PSA 10.</t>
        </is>
      </c>
    </row>
    <row r="440">
      <c r="A440" s="80" t="inlineStr">
        <is>
          <t>X216</t>
        </is>
      </c>
      <c r="B440" s="80" t="inlineStr">
        <is>
          <t>Modern Chase PSA 10</t>
        </is>
      </c>
      <c r="C440" s="80" t="inlineStr">
        <is>
          <t>T2</t>
        </is>
      </c>
      <c r="D440" s="80" t="inlineStr">
        <is>
          <t>Misty's Determination Full Art</t>
        </is>
      </c>
      <c r="E440" s="80" t="inlineStr">
        <is>
          <t>151 promo</t>
        </is>
      </c>
      <c r="F440" s="80" t="inlineStr">
        <is>
          <t>Promo</t>
        </is>
      </c>
      <c r="G440" s="80" t="inlineStr">
        <is>
          <t>PSA 10</t>
        </is>
      </c>
      <c r="H440" s="80" t="n">
        <v>165</v>
      </c>
      <c r="I440" s="123" t="n">
        <v>46154</v>
      </c>
      <c r="J440" s="80" t="n">
        <v>159.64</v>
      </c>
      <c r="K440" s="80" t="n">
        <v>150</v>
      </c>
      <c r="L440" s="80" t="n">
        <v>135.92</v>
      </c>
      <c r="M440" s="80">
        <f>IFERROR((H440-J440)/J440,0)</f>
        <v/>
      </c>
      <c r="N440" s="80">
        <f>IFERROR((H440-K440)/K440,0)</f>
        <v/>
      </c>
      <c r="O440" s="80">
        <f>IFERROR((H440-L440)/L440,0)</f>
        <v/>
      </c>
      <c r="P440" s="80" t="n">
        <v>125</v>
      </c>
      <c r="Q440" s="80" t="n">
        <v>280</v>
      </c>
      <c r="R440" s="80" t="inlineStr">
        <is>
          <t>3-5yr</t>
        </is>
      </c>
      <c r="S440" s="80" t="n">
        <v>3</v>
      </c>
      <c r="T440" s="80" t="n">
        <v>1400</v>
      </c>
      <c r="U440" s="80">
        <f>MAX(0,MIN(100,50+((M440*0.6)+(N440*0.4))*200))</f>
        <v/>
      </c>
      <c r="V440" s="80">
        <f>MAX(20,MIN(100,50+(P440-H440)/P440*100))</f>
        <v/>
      </c>
      <c r="W440" s="80">
        <f>IFERROR(MAX(0,MIN(100,100-LOG10(T440)*16)),60)</f>
        <v/>
      </c>
      <c r="X440" s="80">
        <f>IF(C440="T2",85,IF(C440="T4",70,IF(C440="T1",65,IF(C440="T3",55,45))))</f>
        <v/>
      </c>
      <c r="Y440" s="80">
        <f>U440*0.55+W440*0.20+V440*0.15+X440*0.10+ROW()/1000000</f>
        <v/>
      </c>
      <c r="Z440" s="80">
        <f>IF(Y440&gt;=75,"STRONG BUY",IF(Y440&gt;=60,"BUY",IF(Y440&gt;=40,"HOLD",IF(Y440&gt;=25,"TRIM","SELL"))))</f>
        <v/>
      </c>
      <c r="AA440" s="80" t="inlineStr">
        <is>
          <t>https://www.tcgplayer.com/product/498119</t>
        </is>
      </c>
      <c r="AB440" s="80" t="inlineStr">
        <is>
          <t>Misty's Determination.</t>
        </is>
      </c>
    </row>
    <row r="441">
      <c r="A441" s="80" t="inlineStr">
        <is>
          <t>X217</t>
        </is>
      </c>
      <c r="B441" s="80" t="inlineStr">
        <is>
          <t>Modern Chase PSA 10</t>
        </is>
      </c>
      <c r="C441" s="80" t="inlineStr">
        <is>
          <t>T2</t>
        </is>
      </c>
      <c r="D441" s="80" t="inlineStr">
        <is>
          <t>Sabrina FA Trainer (151)</t>
        </is>
      </c>
      <c r="E441" s="80" t="inlineStr">
        <is>
          <t>151</t>
        </is>
      </c>
      <c r="F441" s="80" t="inlineStr">
        <is>
          <t>203/165</t>
        </is>
      </c>
      <c r="G441" s="80" t="inlineStr">
        <is>
          <t>PSA 10</t>
        </is>
      </c>
      <c r="H441" s="80" t="n">
        <v>130</v>
      </c>
      <c r="I441" s="123" t="n">
        <v>46154</v>
      </c>
      <c r="J441" s="80" t="n">
        <v>127.18</v>
      </c>
      <c r="K441" s="80" t="n">
        <v>120.37</v>
      </c>
      <c r="L441" s="80" t="n">
        <v>109.67</v>
      </c>
      <c r="M441" s="80">
        <f>IFERROR((H441-J441)/J441,0)</f>
        <v/>
      </c>
      <c r="N441" s="80">
        <f>IFERROR((H441-K441)/K441,0)</f>
        <v/>
      </c>
      <c r="O441" s="80">
        <f>IFERROR((H441-L441)/L441,0)</f>
        <v/>
      </c>
      <c r="P441" s="80" t="n">
        <v>100</v>
      </c>
      <c r="Q441" s="80" t="n">
        <v>220</v>
      </c>
      <c r="R441" s="80" t="inlineStr">
        <is>
          <t>3-5yr</t>
        </is>
      </c>
      <c r="S441" s="80" t="n">
        <v>3</v>
      </c>
      <c r="T441" s="80" t="n">
        <v>1900</v>
      </c>
      <c r="U441" s="80">
        <f>MAX(0,MIN(100,50+((M441*0.6)+(N441*0.4))*200))</f>
        <v/>
      </c>
      <c r="V441" s="80">
        <f>MAX(20,MIN(100,50+(P441-H441)/P441*100))</f>
        <v/>
      </c>
      <c r="W441" s="80">
        <f>IFERROR(MAX(0,MIN(100,100-LOG10(T441)*16)),60)</f>
        <v/>
      </c>
      <c r="X441" s="80">
        <f>IF(C441="T2",85,IF(C441="T4",70,IF(C441="T1",65,IF(C441="T3",55,45))))</f>
        <v/>
      </c>
      <c r="Y441" s="80">
        <f>U441*0.55+W441*0.20+V441*0.15+X441*0.10+ROW()/1000000</f>
        <v/>
      </c>
      <c r="Z441" s="80">
        <f>IF(Y441&gt;=75,"STRONG BUY",IF(Y441&gt;=60,"BUY",IF(Y441&gt;=40,"HOLD",IF(Y441&gt;=25,"TRIM","SELL"))))</f>
        <v/>
      </c>
      <c r="AA441" s="80" t="inlineStr">
        <is>
          <t>https://www.tcgplayer.com/product/498108</t>
        </is>
      </c>
      <c r="AB441" s="80" t="inlineStr">
        <is>
          <t>Sabrina FA.</t>
        </is>
      </c>
    </row>
    <row r="442">
      <c r="A442" s="80" t="inlineStr">
        <is>
          <t>X218</t>
        </is>
      </c>
      <c r="B442" s="80" t="inlineStr">
        <is>
          <t>Modern Chase PSA 10</t>
        </is>
      </c>
      <c r="C442" s="80" t="inlineStr">
        <is>
          <t>T2</t>
        </is>
      </c>
      <c r="D442" s="80" t="inlineStr">
        <is>
          <t>Brock FA Trainer (151)</t>
        </is>
      </c>
      <c r="E442" s="80" t="inlineStr">
        <is>
          <t>151</t>
        </is>
      </c>
      <c r="F442" s="80" t="inlineStr">
        <is>
          <t>204/165</t>
        </is>
      </c>
      <c r="G442" s="80" t="inlineStr">
        <is>
          <t>PSA 10</t>
        </is>
      </c>
      <c r="H442" s="80" t="n">
        <v>115</v>
      </c>
      <c r="I442" s="123" t="n">
        <v>46154</v>
      </c>
      <c r="J442" s="80" t="n">
        <v>113.16</v>
      </c>
      <c r="K442" s="80" t="n">
        <v>107.48</v>
      </c>
      <c r="L442" s="80" t="n">
        <v>104.89</v>
      </c>
      <c r="M442" s="80">
        <f>IFERROR((H442-J442)/J442,0)</f>
        <v/>
      </c>
      <c r="N442" s="80">
        <f>IFERROR((H442-K442)/K442,0)</f>
        <v/>
      </c>
      <c r="O442" s="80">
        <f>IFERROR((H442-L442)/L442,0)</f>
        <v/>
      </c>
      <c r="P442" s="80" t="n">
        <v>90</v>
      </c>
      <c r="Q442" s="80" t="n">
        <v>195</v>
      </c>
      <c r="R442" s="80" t="inlineStr">
        <is>
          <t>3-5yr</t>
        </is>
      </c>
      <c r="S442" s="80" t="n">
        <v>3</v>
      </c>
      <c r="T442" s="80" t="n">
        <v>2100</v>
      </c>
      <c r="U442" s="80">
        <f>MAX(0,MIN(100,50+((M442*0.6)+(N442*0.4))*200))</f>
        <v/>
      </c>
      <c r="V442" s="80">
        <f>MAX(20,MIN(100,50+(P442-H442)/P442*100))</f>
        <v/>
      </c>
      <c r="W442" s="80">
        <f>IFERROR(MAX(0,MIN(100,100-LOG10(T442)*16)),60)</f>
        <v/>
      </c>
      <c r="X442" s="80">
        <f>IF(C442="T2",85,IF(C442="T4",70,IF(C442="T1",65,IF(C442="T3",55,45))))</f>
        <v/>
      </c>
      <c r="Y442" s="80">
        <f>U442*0.55+W442*0.20+V442*0.15+X442*0.10+ROW()/1000000</f>
        <v/>
      </c>
      <c r="Z442" s="80">
        <f>IF(Y442&gt;=75,"STRONG BUY",IF(Y442&gt;=60,"BUY",IF(Y442&gt;=40,"HOLD",IF(Y442&gt;=25,"TRIM","SELL"))))</f>
        <v/>
      </c>
      <c r="AA442" s="80" t="inlineStr">
        <is>
          <t>https://www.tcgplayer.com/product/498109</t>
        </is>
      </c>
      <c r="AB442" s="80" t="inlineStr">
        <is>
          <t>Brock FA.</t>
        </is>
      </c>
    </row>
    <row r="443">
      <c r="A443" s="80" t="inlineStr">
        <is>
          <t>X219</t>
        </is>
      </c>
      <c r="B443" s="80" t="inlineStr">
        <is>
          <t>Modern Chase PSA 10</t>
        </is>
      </c>
      <c r="C443" s="80" t="inlineStr">
        <is>
          <t>T2</t>
        </is>
      </c>
      <c r="D443" s="80" t="inlineStr">
        <is>
          <t>Lt Surge FA Trainer (151)</t>
        </is>
      </c>
      <c r="E443" s="80" t="inlineStr">
        <is>
          <t>151</t>
        </is>
      </c>
      <c r="F443" s="80" t="inlineStr">
        <is>
          <t>205/165</t>
        </is>
      </c>
      <c r="G443" s="80" t="inlineStr">
        <is>
          <t>PSA 10</t>
        </is>
      </c>
      <c r="H443" s="80" t="n">
        <v>100</v>
      </c>
      <c r="I443" s="123" t="n">
        <v>46154</v>
      </c>
      <c r="J443" s="80" t="n">
        <v>100</v>
      </c>
      <c r="K443" s="80" t="n">
        <v>94.34</v>
      </c>
      <c r="L443" s="80" t="n">
        <v>86.14</v>
      </c>
      <c r="M443" s="80">
        <f>IFERROR((H443-J443)/J443,0)</f>
        <v/>
      </c>
      <c r="N443" s="80">
        <f>IFERROR((H443-K443)/K443,0)</f>
        <v/>
      </c>
      <c r="O443" s="80">
        <f>IFERROR((H443-L443)/L443,0)</f>
        <v/>
      </c>
      <c r="P443" s="80" t="n">
        <v>78</v>
      </c>
      <c r="Q443" s="80" t="n">
        <v>170</v>
      </c>
      <c r="R443" s="80" t="inlineStr">
        <is>
          <t>3-5yr</t>
        </is>
      </c>
      <c r="S443" s="80" t="n">
        <v>3</v>
      </c>
      <c r="T443" s="80" t="n">
        <v>2300</v>
      </c>
      <c r="U443" s="80">
        <f>MAX(0,MIN(100,50+((M443*0.6)+(N443*0.4))*200))</f>
        <v/>
      </c>
      <c r="V443" s="80">
        <f>MAX(20,MIN(100,50+(P443-H443)/P443*100))</f>
        <v/>
      </c>
      <c r="W443" s="80">
        <f>IFERROR(MAX(0,MIN(100,100-LOG10(T443)*16)),60)</f>
        <v/>
      </c>
      <c r="X443" s="80">
        <f>IF(C443="T2",85,IF(C443="T4",70,IF(C443="T1",65,IF(C443="T3",55,45))))</f>
        <v/>
      </c>
      <c r="Y443" s="80">
        <f>U443*0.55+W443*0.20+V443*0.15+X443*0.10+ROW()/1000000</f>
        <v/>
      </c>
      <c r="Z443" s="80">
        <f>IF(Y443&gt;=75,"STRONG BUY",IF(Y443&gt;=60,"BUY",IF(Y443&gt;=40,"HOLD",IF(Y443&gt;=25,"TRIM","SELL"))))</f>
        <v/>
      </c>
      <c r="AA443" s="80" t="inlineStr">
        <is>
          <t>https://www.tcgplayer.com/product/498110</t>
        </is>
      </c>
      <c r="AB443" s="80" t="inlineStr">
        <is>
          <t>Lt. Surge FA.</t>
        </is>
      </c>
    </row>
    <row r="444">
      <c r="A444" s="80" t="inlineStr">
        <is>
          <t>X220</t>
        </is>
      </c>
      <c r="B444" s="80" t="inlineStr">
        <is>
          <t>Modern Chase PSA 10</t>
        </is>
      </c>
      <c r="C444" s="80" t="inlineStr">
        <is>
          <t>T2</t>
        </is>
      </c>
      <c r="D444" s="80" t="inlineStr">
        <is>
          <t>Giovanni FA Trainer (151)</t>
        </is>
      </c>
      <c r="E444" s="80" t="inlineStr">
        <is>
          <t>151</t>
        </is>
      </c>
      <c r="F444" s="80" t="inlineStr">
        <is>
          <t>206/165</t>
        </is>
      </c>
      <c r="G444" s="80" t="inlineStr">
        <is>
          <t>PSA 10</t>
        </is>
      </c>
      <c r="H444" s="80" t="n">
        <v>145</v>
      </c>
      <c r="I444" s="123" t="n">
        <v>46154</v>
      </c>
      <c r="J444" s="80" t="n">
        <v>144.14</v>
      </c>
      <c r="K444" s="80" t="n">
        <v>134.26</v>
      </c>
      <c r="L444" s="80" t="n">
        <v>121.62</v>
      </c>
      <c r="M444" s="80">
        <f>IFERROR((H444-J444)/J444,0)</f>
        <v/>
      </c>
      <c r="N444" s="80">
        <f>IFERROR((H444-K444)/K444,0)</f>
        <v/>
      </c>
      <c r="O444" s="80">
        <f>IFERROR((H444-L444)/L444,0)</f>
        <v/>
      </c>
      <c r="P444" s="80" t="n">
        <v>110</v>
      </c>
      <c r="Q444" s="80" t="n">
        <v>245</v>
      </c>
      <c r="R444" s="80" t="inlineStr">
        <is>
          <t>3-5yr</t>
        </is>
      </c>
      <c r="S444" s="80" t="n">
        <v>3</v>
      </c>
      <c r="T444" s="80" t="n">
        <v>2000</v>
      </c>
      <c r="U444" s="80">
        <f>MAX(0,MIN(100,50+((M444*0.6)+(N444*0.4))*200))</f>
        <v/>
      </c>
      <c r="V444" s="80">
        <f>MAX(20,MIN(100,50+(P444-H444)/P444*100))</f>
        <v/>
      </c>
      <c r="W444" s="80">
        <f>IFERROR(MAX(0,MIN(100,100-LOG10(T444)*16)),60)</f>
        <v/>
      </c>
      <c r="X444" s="80">
        <f>IF(C444="T2",85,IF(C444="T4",70,IF(C444="T1",65,IF(C444="T3",55,45))))</f>
        <v/>
      </c>
      <c r="Y444" s="80">
        <f>U444*0.55+W444*0.20+V444*0.15+X444*0.10+ROW()/1000000</f>
        <v/>
      </c>
      <c r="Z444" s="80">
        <f>IF(Y444&gt;=75,"STRONG BUY",IF(Y444&gt;=60,"BUY",IF(Y444&gt;=40,"HOLD",IF(Y444&gt;=25,"TRIM","SELL"))))</f>
        <v/>
      </c>
      <c r="AA444" s="80" t="inlineStr">
        <is>
          <t>https://www.tcgplayer.com/product/498111</t>
        </is>
      </c>
      <c r="AB444" s="80" t="inlineStr">
        <is>
          <t>Giovanni FA — antagonist premium.</t>
        </is>
      </c>
    </row>
    <row r="445">
      <c r="A445" s="80" t="inlineStr">
        <is>
          <t>X221</t>
        </is>
      </c>
      <c r="B445" s="80" t="inlineStr">
        <is>
          <t>Sealed Modern</t>
        </is>
      </c>
      <c r="C445" s="80" t="inlineStr">
        <is>
          <t>T3</t>
        </is>
      </c>
      <c r="D445" s="80" t="inlineStr">
        <is>
          <t>151 Booster Bundle</t>
        </is>
      </c>
      <c r="E445" s="80" t="inlineStr">
        <is>
          <t>151</t>
        </is>
      </c>
      <c r="F445" s="80" t="inlineStr">
        <is>
          <t>Bundle</t>
        </is>
      </c>
      <c r="G445" s="80" t="inlineStr">
        <is>
          <t>Sealed (6 packs)</t>
        </is>
      </c>
      <c r="H445" s="80" t="n">
        <v>175</v>
      </c>
      <c r="I445" s="123" t="n">
        <v>46154</v>
      </c>
      <c r="J445" s="80" t="n">
        <v>173.33</v>
      </c>
      <c r="K445" s="80" t="n">
        <v>162.04</v>
      </c>
      <c r="L445" s="80" t="n">
        <v>156.64</v>
      </c>
      <c r="M445" s="80">
        <f>IFERROR((H445-J445)/J445,0)</f>
        <v/>
      </c>
      <c r="N445" s="80">
        <f>IFERROR((H445-K445)/K445,0)</f>
        <v/>
      </c>
      <c r="O445" s="80">
        <f>IFERROR((H445-L445)/L445,0)</f>
        <v/>
      </c>
      <c r="P445" s="80" t="n">
        <v>135</v>
      </c>
      <c r="Q445" s="80" t="n">
        <v>295</v>
      </c>
      <c r="R445" s="80" t="inlineStr">
        <is>
          <t>3-5yr</t>
        </is>
      </c>
      <c r="S445" s="80" t="n">
        <v>4</v>
      </c>
      <c r="U445" s="80">
        <f>MAX(0,MIN(100,50+((M445*0.6)+(N445*0.4))*200))</f>
        <v/>
      </c>
      <c r="V445" s="80">
        <f>MAX(20,MIN(100,50+(P445-H445)/P445*100))</f>
        <v/>
      </c>
      <c r="W445" s="80">
        <f>IFERROR(MAX(0,MIN(100,100-LOG10(T445)*16)),60)</f>
        <v/>
      </c>
      <c r="X445" s="80">
        <f>IF(C445="T2",85,IF(C445="T4",70,IF(C445="T1",65,IF(C445="T3",55,45))))</f>
        <v/>
      </c>
      <c r="Y445" s="80">
        <f>U445*0.55+W445*0.20+V445*0.15+X445*0.10+ROW()/1000000</f>
        <v/>
      </c>
      <c r="Z445" s="80">
        <f>IF(Y445&gt;=75,"STRONG BUY",IF(Y445&gt;=60,"BUY",IF(Y445&gt;=40,"HOLD",IF(Y445&gt;=25,"TRIM","SELL"))))</f>
        <v/>
      </c>
      <c r="AA445" s="80" t="inlineStr">
        <is>
          <t>https://www.tcgplayer.com/product/502000</t>
        </is>
      </c>
      <c r="AB445" s="80" t="inlineStr">
        <is>
          <t>151 Bundle — $27 MSRP -&gt; $175.</t>
        </is>
      </c>
    </row>
    <row r="446">
      <c r="A446" s="80" t="inlineStr">
        <is>
          <t>X222</t>
        </is>
      </c>
      <c r="B446" s="80" t="inlineStr">
        <is>
          <t>Sealed Modern</t>
        </is>
      </c>
      <c r="C446" s="80" t="inlineStr">
        <is>
          <t>T3</t>
        </is>
      </c>
      <c r="D446" s="80" t="inlineStr">
        <is>
          <t>Hidden Fates Premium Powers Collection</t>
        </is>
      </c>
      <c r="E446" s="80" t="inlineStr">
        <is>
          <t>Hidden Fates</t>
        </is>
      </c>
      <c r="F446" s="80" t="inlineStr">
        <is>
          <t>Premium</t>
        </is>
      </c>
      <c r="G446" s="80" t="inlineStr">
        <is>
          <t>Sealed</t>
        </is>
      </c>
      <c r="H446" s="80" t="n">
        <v>220</v>
      </c>
      <c r="I446" s="123" t="n">
        <v>46154</v>
      </c>
      <c r="J446" s="80" t="n">
        <v>217.71</v>
      </c>
      <c r="K446" s="80" t="n">
        <v>211.54</v>
      </c>
      <c r="L446" s="80" t="n">
        <v>203.69</v>
      </c>
      <c r="M446" s="80">
        <f>IFERROR((H446-J446)/J446,0)</f>
        <v/>
      </c>
      <c r="N446" s="80">
        <f>IFERROR((H446-K446)/K446,0)</f>
        <v/>
      </c>
      <c r="O446" s="80">
        <f>IFERROR((H446-L446)/L446,0)</f>
        <v/>
      </c>
      <c r="P446" s="80" t="n">
        <v>170</v>
      </c>
      <c r="Q446" s="80" t="n">
        <v>370</v>
      </c>
      <c r="R446" s="80" t="inlineStr">
        <is>
          <t>3-5yr</t>
        </is>
      </c>
      <c r="S446" s="80" t="n">
        <v>3</v>
      </c>
      <c r="U446" s="80">
        <f>MAX(0,MIN(100,50+((M446*0.6)+(N446*0.4))*200))</f>
        <v/>
      </c>
      <c r="V446" s="80">
        <f>MAX(20,MIN(100,50+(P446-H446)/P446*100))</f>
        <v/>
      </c>
      <c r="W446" s="80">
        <f>IFERROR(MAX(0,MIN(100,100-LOG10(T446)*16)),60)</f>
        <v/>
      </c>
      <c r="X446" s="80">
        <f>IF(C446="T2",85,IF(C446="T4",70,IF(C446="T1",65,IF(C446="T3",55,45))))</f>
        <v/>
      </c>
      <c r="Y446" s="80">
        <f>U446*0.55+W446*0.20+V446*0.15+X446*0.10+ROW()/1000000</f>
        <v/>
      </c>
      <c r="Z446" s="80">
        <f>IF(Y446&gt;=75,"STRONG BUY",IF(Y446&gt;=60,"BUY",IF(Y446&gt;=40,"HOLD",IF(Y446&gt;=25,"TRIM","SELL"))))</f>
        <v/>
      </c>
      <c r="AA446" s="80" t="inlineStr">
        <is>
          <t>https://www.pricecharting.com/game/pokemon-hidden-fates/premium-powers</t>
        </is>
      </c>
      <c r="AB446" s="80" t="inlineStr">
        <is>
          <t>HF Premium Powers.</t>
        </is>
      </c>
    </row>
    <row r="447">
      <c r="A447" s="80" t="inlineStr">
        <is>
          <t>X223</t>
        </is>
      </c>
      <c r="B447" s="80" t="inlineStr">
        <is>
          <t>Sealed Modern</t>
        </is>
      </c>
      <c r="C447" s="80" t="inlineStr">
        <is>
          <t>T3</t>
        </is>
      </c>
      <c r="D447" s="80" t="inlineStr">
        <is>
          <t>Champion's Path Booster Bundle</t>
        </is>
      </c>
      <c r="E447" s="80" t="inlineStr">
        <is>
          <t>Champion's Path</t>
        </is>
      </c>
      <c r="F447" s="80" t="inlineStr">
        <is>
          <t>Bundle</t>
        </is>
      </c>
      <c r="G447" s="80" t="inlineStr">
        <is>
          <t>Sealed</t>
        </is>
      </c>
      <c r="H447" s="80" t="n">
        <v>105</v>
      </c>
      <c r="I447" s="123" t="n">
        <v>46154</v>
      </c>
      <c r="J447" s="80" t="n">
        <v>103.11</v>
      </c>
      <c r="K447" s="80" t="n">
        <v>99.06</v>
      </c>
      <c r="L447" s="80" t="n">
        <v>96.61</v>
      </c>
      <c r="M447" s="80">
        <f>IFERROR((H447-J447)/J447,0)</f>
        <v/>
      </c>
      <c r="N447" s="80">
        <f>IFERROR((H447-K447)/K447,0)</f>
        <v/>
      </c>
      <c r="O447" s="80">
        <f>IFERROR((H447-L447)/L447,0)</f>
        <v/>
      </c>
      <c r="P447" s="80" t="n">
        <v>80</v>
      </c>
      <c r="Q447" s="80" t="n">
        <v>175</v>
      </c>
      <c r="R447" s="80" t="inlineStr">
        <is>
          <t>3-5yr</t>
        </is>
      </c>
      <c r="S447" s="80" t="n">
        <v>3</v>
      </c>
      <c r="U447" s="80">
        <f>MAX(0,MIN(100,50+((M447*0.6)+(N447*0.4))*200))</f>
        <v/>
      </c>
      <c r="V447" s="80">
        <f>MAX(20,MIN(100,50+(P447-H447)/P447*100))</f>
        <v/>
      </c>
      <c r="W447" s="80">
        <f>IFERROR(MAX(0,MIN(100,100-LOG10(T447)*16)),60)</f>
        <v/>
      </c>
      <c r="X447" s="80">
        <f>IF(C447="T2",85,IF(C447="T4",70,IF(C447="T1",65,IF(C447="T3",55,45))))</f>
        <v/>
      </c>
      <c r="Y447" s="80">
        <f>U447*0.55+W447*0.20+V447*0.15+X447*0.10+ROW()/1000000</f>
        <v/>
      </c>
      <c r="Z447" s="80">
        <f>IF(Y447&gt;=75,"STRONG BUY",IF(Y447&gt;=60,"BUY",IF(Y447&gt;=40,"HOLD",IF(Y447&gt;=25,"TRIM","SELL"))))</f>
        <v/>
      </c>
      <c r="AA447" s="80" t="inlineStr">
        <is>
          <t>https://www.pricecharting.com/game/pokemon-champions-path/booster-bundle</t>
        </is>
      </c>
      <c r="AB447" s="80" t="inlineStr">
        <is>
          <t>CP Bundle. OOP.</t>
        </is>
      </c>
    </row>
    <row r="448">
      <c r="A448" s="80" t="inlineStr">
        <is>
          <t>X224</t>
        </is>
      </c>
      <c r="B448" s="80" t="inlineStr">
        <is>
          <t>Sealed Modern</t>
        </is>
      </c>
      <c r="C448" s="80" t="inlineStr">
        <is>
          <t>T3</t>
        </is>
      </c>
      <c r="D448" s="80" t="inlineStr">
        <is>
          <t>Shining Fates Booster Box</t>
        </is>
      </c>
      <c r="E448" s="80" t="inlineStr">
        <is>
          <t>Shining Fates</t>
        </is>
      </c>
      <c r="F448" s="80" t="inlineStr">
        <is>
          <t>Box</t>
        </is>
      </c>
      <c r="G448" s="80" t="inlineStr">
        <is>
          <t>Sealed</t>
        </is>
      </c>
      <c r="H448" s="80" t="n">
        <v>230</v>
      </c>
      <c r="I448" s="123" t="n">
        <v>46154</v>
      </c>
      <c r="J448" s="80" t="n">
        <v>223.41</v>
      </c>
      <c r="K448" s="80" t="n">
        <v>209.09</v>
      </c>
      <c r="L448" s="80" t="n">
        <v>188.43</v>
      </c>
      <c r="M448" s="80">
        <f>IFERROR((H448-J448)/J448,0)</f>
        <v/>
      </c>
      <c r="N448" s="80">
        <f>IFERROR((H448-K448)/K448,0)</f>
        <v/>
      </c>
      <c r="O448" s="80">
        <f>IFERROR((H448-L448)/L448,0)</f>
        <v/>
      </c>
      <c r="P448" s="80" t="n">
        <v>175</v>
      </c>
      <c r="Q448" s="80" t="n">
        <v>390</v>
      </c>
      <c r="R448" s="80" t="inlineStr">
        <is>
          <t>3-5yr</t>
        </is>
      </c>
      <c r="S448" s="80" t="n">
        <v>4</v>
      </c>
      <c r="U448" s="80">
        <f>MAX(0,MIN(100,50+((M448*0.6)+(N448*0.4))*200))</f>
        <v/>
      </c>
      <c r="V448" s="80">
        <f>MAX(20,MIN(100,50+(P448-H448)/P448*100))</f>
        <v/>
      </c>
      <c r="W448" s="80">
        <f>IFERROR(MAX(0,MIN(100,100-LOG10(T448)*16)),60)</f>
        <v/>
      </c>
      <c r="X448" s="80">
        <f>IF(C448="T2",85,IF(C448="T4",70,IF(C448="T1",65,IF(C448="T3",55,45))))</f>
        <v/>
      </c>
      <c r="Y448" s="80">
        <f>U448*0.55+W448*0.20+V448*0.15+X448*0.10+ROW()/1000000</f>
        <v/>
      </c>
      <c r="Z448" s="80">
        <f>IF(Y448&gt;=75,"STRONG BUY",IF(Y448&gt;=60,"BUY",IF(Y448&gt;=40,"HOLD",IF(Y448&gt;=25,"TRIM","SELL"))))</f>
        <v/>
      </c>
      <c r="AA448" s="80" t="inlineStr">
        <is>
          <t>https://www.pricecharting.com/game/pokemon-shining-fates/booster-box</t>
        </is>
      </c>
      <c r="AB448" s="80" t="inlineStr">
        <is>
          <t>SF BB. Shiny chase.</t>
        </is>
      </c>
    </row>
    <row r="449">
      <c r="A449" s="80" t="inlineStr">
        <is>
          <t>X225</t>
        </is>
      </c>
      <c r="B449" s="80" t="inlineStr">
        <is>
          <t>Sealed Modern</t>
        </is>
      </c>
      <c r="C449" s="80" t="inlineStr">
        <is>
          <t>T3</t>
        </is>
      </c>
      <c r="D449" s="80" t="inlineStr">
        <is>
          <t>Pokemon GO Premium Collection</t>
        </is>
      </c>
      <c r="E449" s="80" t="inlineStr">
        <is>
          <t>Pokemon GO</t>
        </is>
      </c>
      <c r="F449" s="80" t="inlineStr">
        <is>
          <t>Premium</t>
        </is>
      </c>
      <c r="G449" s="80" t="inlineStr">
        <is>
          <t>Sealed</t>
        </is>
      </c>
      <c r="H449" s="80" t="n">
        <v>130</v>
      </c>
      <c r="I449" s="123" t="n">
        <v>46154</v>
      </c>
      <c r="J449" s="80" t="n">
        <v>127.13</v>
      </c>
      <c r="K449" s="80" t="n">
        <v>122.64</v>
      </c>
      <c r="L449" s="80" t="n">
        <v>112.5</v>
      </c>
      <c r="M449" s="80">
        <f>IFERROR((H449-J449)/J449,0)</f>
        <v/>
      </c>
      <c r="N449" s="80">
        <f>IFERROR((H449-K449)/K449,0)</f>
        <v/>
      </c>
      <c r="O449" s="80">
        <f>IFERROR((H449-L449)/L449,0)</f>
        <v/>
      </c>
      <c r="P449" s="80" t="n">
        <v>100</v>
      </c>
      <c r="Q449" s="80" t="n">
        <v>220</v>
      </c>
      <c r="R449" s="80" t="inlineStr">
        <is>
          <t>2-3yr</t>
        </is>
      </c>
      <c r="S449" s="80" t="n">
        <v>3</v>
      </c>
      <c r="U449" s="80">
        <f>MAX(0,MIN(100,50+((M449*0.6)+(N449*0.4))*200))</f>
        <v/>
      </c>
      <c r="V449" s="80">
        <f>MAX(20,MIN(100,50+(P449-H449)/P449*100))</f>
        <v/>
      </c>
      <c r="W449" s="80">
        <f>IFERROR(MAX(0,MIN(100,100-LOG10(T449)*16)),60)</f>
        <v/>
      </c>
      <c r="X449" s="80">
        <f>IF(C449="T2",85,IF(C449="T4",70,IF(C449="T1",65,IF(C449="T3",55,45))))</f>
        <v/>
      </c>
      <c r="Y449" s="80">
        <f>U449*0.55+W449*0.20+V449*0.15+X449*0.10+ROW()/1000000</f>
        <v/>
      </c>
      <c r="Z449" s="80">
        <f>IF(Y449&gt;=75,"STRONG BUY",IF(Y449&gt;=60,"BUY",IF(Y449&gt;=40,"HOLD",IF(Y449&gt;=25,"TRIM","SELL"))))</f>
        <v/>
      </c>
      <c r="AA449" s="80" t="inlineStr">
        <is>
          <t>https://www.pricecharting.com/game/pokemon-pokemon-go/premium-collection</t>
        </is>
      </c>
      <c r="AB449" s="80" t="inlineStr">
        <is>
          <t>Pokemon GO premium.</t>
        </is>
      </c>
    </row>
    <row r="450">
      <c r="A450" s="80" t="inlineStr">
        <is>
          <t>X226</t>
        </is>
      </c>
      <c r="B450" s="80" t="inlineStr">
        <is>
          <t>Sealed Modern</t>
        </is>
      </c>
      <c r="C450" s="80" t="inlineStr">
        <is>
          <t>T3</t>
        </is>
      </c>
      <c r="D450" s="80" t="inlineStr">
        <is>
          <t>Evolving Skies Mini Tin</t>
        </is>
      </c>
      <c r="E450" s="80" t="inlineStr">
        <is>
          <t>Evolving Skies</t>
        </is>
      </c>
      <c r="F450" s="80" t="inlineStr">
        <is>
          <t>Mini Tin</t>
        </is>
      </c>
      <c r="G450" s="80" t="inlineStr">
        <is>
          <t>Sealed</t>
        </is>
      </c>
      <c r="H450" s="80" t="n">
        <v>110</v>
      </c>
      <c r="I450" s="123" t="n">
        <v>46154</v>
      </c>
      <c r="J450" s="80" t="n">
        <v>107.1</v>
      </c>
      <c r="K450" s="80" t="n">
        <v>100</v>
      </c>
      <c r="L450" s="80" t="n">
        <v>94.62</v>
      </c>
      <c r="M450" s="80">
        <f>IFERROR((H450-J450)/J450,0)</f>
        <v/>
      </c>
      <c r="N450" s="80">
        <f>IFERROR((H450-K450)/K450,0)</f>
        <v/>
      </c>
      <c r="O450" s="80">
        <f>IFERROR((H450-L450)/L450,0)</f>
        <v/>
      </c>
      <c r="P450" s="80" t="n">
        <v>85</v>
      </c>
      <c r="Q450" s="80" t="n">
        <v>185</v>
      </c>
      <c r="R450" s="80" t="inlineStr">
        <is>
          <t>3-5yr</t>
        </is>
      </c>
      <c r="S450" s="80" t="n">
        <v>4</v>
      </c>
      <c r="U450" s="80">
        <f>MAX(0,MIN(100,50+((M450*0.6)+(N450*0.4))*200))</f>
        <v/>
      </c>
      <c r="V450" s="80">
        <f>MAX(20,MIN(100,50+(P450-H450)/P450*100))</f>
        <v/>
      </c>
      <c r="W450" s="80">
        <f>IFERROR(MAX(0,MIN(100,100-LOG10(T450)*16)),60)</f>
        <v/>
      </c>
      <c r="X450" s="80">
        <f>IF(C450="T2",85,IF(C450="T4",70,IF(C450="T1",65,IF(C450="T3",55,45))))</f>
        <v/>
      </c>
      <c r="Y450" s="80">
        <f>U450*0.55+W450*0.20+V450*0.15+X450*0.10+ROW()/1000000</f>
        <v/>
      </c>
      <c r="Z450" s="80">
        <f>IF(Y450&gt;=75,"STRONG BUY",IF(Y450&gt;=60,"BUY",IF(Y450&gt;=40,"HOLD",IF(Y450&gt;=25,"TRIM","SELL"))))</f>
        <v/>
      </c>
      <c r="AA450" s="80" t="inlineStr">
        <is>
          <t>https://www.pricecharting.com/game/pokemon-evolving-skies/mini-tin</t>
        </is>
      </c>
      <c r="AB450" s="80" t="inlineStr">
        <is>
          <t>ES mini tin OOP.</t>
        </is>
      </c>
    </row>
    <row r="451">
      <c r="A451" s="80" t="inlineStr">
        <is>
          <t>X227</t>
        </is>
      </c>
      <c r="B451" s="80" t="inlineStr">
        <is>
          <t>Sealed Modern</t>
        </is>
      </c>
      <c r="C451" s="80" t="inlineStr">
        <is>
          <t>T3</t>
        </is>
      </c>
      <c r="D451" s="80" t="inlineStr">
        <is>
          <t>Brilliant Stars Booster Box</t>
        </is>
      </c>
      <c r="E451" s="80" t="inlineStr">
        <is>
          <t>Brilliant Stars</t>
        </is>
      </c>
      <c r="F451" s="80" t="inlineStr">
        <is>
          <t>Box</t>
        </is>
      </c>
      <c r="G451" s="80" t="inlineStr">
        <is>
          <t>Sealed</t>
        </is>
      </c>
      <c r="H451" s="80" t="n">
        <v>220</v>
      </c>
      <c r="I451" s="123" t="n">
        <v>46154</v>
      </c>
      <c r="J451" s="80" t="n">
        <v>219.72</v>
      </c>
      <c r="K451" s="80" t="n">
        <v>207.55</v>
      </c>
      <c r="L451" s="80" t="n">
        <v>186.87</v>
      </c>
      <c r="M451" s="80">
        <f>IFERROR((H451-J451)/J451,0)</f>
        <v/>
      </c>
      <c r="N451" s="80">
        <f>IFERROR((H451-K451)/K451,0)</f>
        <v/>
      </c>
      <c r="O451" s="80">
        <f>IFERROR((H451-L451)/L451,0)</f>
        <v/>
      </c>
      <c r="P451" s="80" t="n">
        <v>170</v>
      </c>
      <c r="Q451" s="80" t="n">
        <v>370</v>
      </c>
      <c r="R451" s="80" t="inlineStr">
        <is>
          <t>3-5yr</t>
        </is>
      </c>
      <c r="S451" s="80" t="n">
        <v>4</v>
      </c>
      <c r="U451" s="80">
        <f>MAX(0,MIN(100,50+((M451*0.6)+(N451*0.4))*200))</f>
        <v/>
      </c>
      <c r="V451" s="80">
        <f>MAX(20,MIN(100,50+(P451-H451)/P451*100))</f>
        <v/>
      </c>
      <c r="W451" s="80">
        <f>IFERROR(MAX(0,MIN(100,100-LOG10(T451)*16)),60)</f>
        <v/>
      </c>
      <c r="X451" s="80">
        <f>IF(C451="T2",85,IF(C451="T4",70,IF(C451="T1",65,IF(C451="T3",55,45))))</f>
        <v/>
      </c>
      <c r="Y451" s="80">
        <f>U451*0.55+W451*0.20+V451*0.15+X451*0.10+ROW()/1000000</f>
        <v/>
      </c>
      <c r="Z451" s="80">
        <f>IF(Y451&gt;=75,"STRONG BUY",IF(Y451&gt;=60,"BUY",IF(Y451&gt;=40,"HOLD",IF(Y451&gt;=25,"TRIM","SELL"))))</f>
        <v/>
      </c>
      <c r="AA451" s="80" t="inlineStr">
        <is>
          <t>https://www.pricecharting.com/game/pokemon-brilliant-stars/booster-box</t>
        </is>
      </c>
      <c r="AB451" s="80" t="inlineStr">
        <is>
          <t>BRS BB. OOP. Char VSTAR + Trainer Gallery.</t>
        </is>
      </c>
    </row>
    <row r="452">
      <c r="A452" s="80" t="inlineStr">
        <is>
          <t>X228</t>
        </is>
      </c>
      <c r="B452" s="80" t="inlineStr">
        <is>
          <t>Sealed Modern</t>
        </is>
      </c>
      <c r="C452" s="80" t="inlineStr">
        <is>
          <t>T3</t>
        </is>
      </c>
      <c r="D452" s="80" t="inlineStr">
        <is>
          <t>Lost Origin Booster Box</t>
        </is>
      </c>
      <c r="E452" s="80" t="inlineStr">
        <is>
          <t>Lost Origin</t>
        </is>
      </c>
      <c r="F452" s="80" t="inlineStr">
        <is>
          <t>Box</t>
        </is>
      </c>
      <c r="G452" s="80" t="inlineStr">
        <is>
          <t>Sealed</t>
        </is>
      </c>
      <c r="H452" s="80" t="n">
        <v>200</v>
      </c>
      <c r="I452" s="123" t="n">
        <v>46154</v>
      </c>
      <c r="J452" s="80" t="n">
        <v>196.83</v>
      </c>
      <c r="K452" s="80" t="n">
        <v>186.92</v>
      </c>
      <c r="L452" s="80" t="n">
        <v>172.44</v>
      </c>
      <c r="M452" s="80">
        <f>IFERROR((H452-J452)/J452,0)</f>
        <v/>
      </c>
      <c r="N452" s="80">
        <f>IFERROR((H452-K452)/K452,0)</f>
        <v/>
      </c>
      <c r="O452" s="80">
        <f>IFERROR((H452-L452)/L452,0)</f>
        <v/>
      </c>
      <c r="P452" s="80" t="n">
        <v>155</v>
      </c>
      <c r="Q452" s="80" t="n">
        <v>340</v>
      </c>
      <c r="R452" s="80" t="inlineStr">
        <is>
          <t>3-5yr</t>
        </is>
      </c>
      <c r="S452" s="80" t="n">
        <v>4</v>
      </c>
      <c r="U452" s="80">
        <f>MAX(0,MIN(100,50+((M452*0.6)+(N452*0.4))*200))</f>
        <v/>
      </c>
      <c r="V452" s="80">
        <f>MAX(20,MIN(100,50+(P452-H452)/P452*100))</f>
        <v/>
      </c>
      <c r="W452" s="80">
        <f>IFERROR(MAX(0,MIN(100,100-LOG10(T452)*16)),60)</f>
        <v/>
      </c>
      <c r="X452" s="80">
        <f>IF(C452="T2",85,IF(C452="T4",70,IF(C452="T1",65,IF(C452="T3",55,45))))</f>
        <v/>
      </c>
      <c r="Y452" s="80">
        <f>U452*0.55+W452*0.20+V452*0.15+X452*0.10+ROW()/1000000</f>
        <v/>
      </c>
      <c r="Z452" s="80">
        <f>IF(Y452&gt;=75,"STRONG BUY",IF(Y452&gt;=60,"BUY",IF(Y452&gt;=40,"HOLD",IF(Y452&gt;=25,"TRIM","SELL"))))</f>
        <v/>
      </c>
      <c r="AA452" s="80" t="inlineStr">
        <is>
          <t>https://www.pricecharting.com/game/pokemon-lost-origin/booster-box</t>
        </is>
      </c>
      <c r="AB452" s="80" t="inlineStr">
        <is>
          <t>LO BB. Giratina chase.</t>
        </is>
      </c>
    </row>
    <row r="453">
      <c r="A453" s="80" t="inlineStr">
        <is>
          <t>X229</t>
        </is>
      </c>
      <c r="B453" s="80" t="inlineStr">
        <is>
          <t>Sealed Modern</t>
        </is>
      </c>
      <c r="C453" s="80" t="inlineStr">
        <is>
          <t>T3</t>
        </is>
      </c>
      <c r="D453" s="80" t="inlineStr">
        <is>
          <t>Silver Tempest Booster Box</t>
        </is>
      </c>
      <c r="E453" s="80" t="inlineStr">
        <is>
          <t>Silver Tempest</t>
        </is>
      </c>
      <c r="F453" s="80" t="inlineStr">
        <is>
          <t>Box</t>
        </is>
      </c>
      <c r="G453" s="80" t="inlineStr">
        <is>
          <t>Sealed</t>
        </is>
      </c>
      <c r="H453" s="80" t="n">
        <v>190</v>
      </c>
      <c r="I453" s="123" t="n">
        <v>46154</v>
      </c>
      <c r="J453" s="80" t="n">
        <v>185.18</v>
      </c>
      <c r="K453" s="80" t="n">
        <v>179.25</v>
      </c>
      <c r="L453" s="80" t="n">
        <v>171.41</v>
      </c>
      <c r="M453" s="80">
        <f>IFERROR((H453-J453)/J453,0)</f>
        <v/>
      </c>
      <c r="N453" s="80">
        <f>IFERROR((H453-K453)/K453,0)</f>
        <v/>
      </c>
      <c r="O453" s="80">
        <f>IFERROR((H453-L453)/L453,0)</f>
        <v/>
      </c>
      <c r="P453" s="80" t="n">
        <v>145</v>
      </c>
      <c r="Q453" s="80" t="n">
        <v>320</v>
      </c>
      <c r="R453" s="80" t="inlineStr">
        <is>
          <t>3-5yr</t>
        </is>
      </c>
      <c r="S453" s="80" t="n">
        <v>4</v>
      </c>
      <c r="U453" s="80">
        <f>MAX(0,MIN(100,50+((M453*0.6)+(N453*0.4))*200))</f>
        <v/>
      </c>
      <c r="V453" s="80">
        <f>MAX(20,MIN(100,50+(P453-H453)/P453*100))</f>
        <v/>
      </c>
      <c r="W453" s="80">
        <f>IFERROR(MAX(0,MIN(100,100-LOG10(T453)*16)),60)</f>
        <v/>
      </c>
      <c r="X453" s="80">
        <f>IF(C453="T2",85,IF(C453="T4",70,IF(C453="T1",65,IF(C453="T3",55,45))))</f>
        <v/>
      </c>
      <c r="Y453" s="80">
        <f>U453*0.55+W453*0.20+V453*0.15+X453*0.10+ROW()/1000000</f>
        <v/>
      </c>
      <c r="Z453" s="80">
        <f>IF(Y453&gt;=75,"STRONG BUY",IF(Y453&gt;=60,"BUY",IF(Y453&gt;=40,"HOLD",IF(Y453&gt;=25,"TRIM","SELL"))))</f>
        <v/>
      </c>
      <c r="AA453" s="80" t="inlineStr">
        <is>
          <t>https://www.pricecharting.com/game/pokemon-silver-tempest/booster-box</t>
        </is>
      </c>
      <c r="AB453" s="80" t="inlineStr">
        <is>
          <t>ST BB. Lugia VSTAR chase.</t>
        </is>
      </c>
    </row>
    <row r="454">
      <c r="A454" s="80" t="inlineStr">
        <is>
          <t>X230</t>
        </is>
      </c>
      <c r="B454" s="80" t="inlineStr">
        <is>
          <t>Sealed Modern</t>
        </is>
      </c>
      <c r="C454" s="80" t="inlineStr">
        <is>
          <t>T3</t>
        </is>
      </c>
      <c r="D454" s="80" t="inlineStr">
        <is>
          <t>Astral Radiance Booster Box</t>
        </is>
      </c>
      <c r="E454" s="80" t="inlineStr">
        <is>
          <t>Astral Radiance</t>
        </is>
      </c>
      <c r="F454" s="80" t="inlineStr">
        <is>
          <t>Box</t>
        </is>
      </c>
      <c r="G454" s="80" t="inlineStr">
        <is>
          <t>Sealed</t>
        </is>
      </c>
      <c r="H454" s="80" t="n">
        <v>180</v>
      </c>
      <c r="I454" s="123" t="n">
        <v>46154</v>
      </c>
      <c r="J454" s="80" t="n">
        <v>180.28</v>
      </c>
      <c r="K454" s="80" t="n">
        <v>171.43</v>
      </c>
      <c r="L454" s="80" t="n">
        <v>160.06</v>
      </c>
      <c r="M454" s="80">
        <f>IFERROR((H454-J454)/J454,0)</f>
        <v/>
      </c>
      <c r="N454" s="80">
        <f>IFERROR((H454-K454)/K454,0)</f>
        <v/>
      </c>
      <c r="O454" s="80">
        <f>IFERROR((H454-L454)/L454,0)</f>
        <v/>
      </c>
      <c r="P454" s="80" t="n">
        <v>140</v>
      </c>
      <c r="Q454" s="80" t="n">
        <v>305</v>
      </c>
      <c r="R454" s="80" t="inlineStr">
        <is>
          <t>3-5yr</t>
        </is>
      </c>
      <c r="S454" s="80" t="n">
        <v>3</v>
      </c>
      <c r="U454" s="80">
        <f>MAX(0,MIN(100,50+((M454*0.6)+(N454*0.4))*200))</f>
        <v/>
      </c>
      <c r="V454" s="80">
        <f>MAX(20,MIN(100,50+(P454-H454)/P454*100))</f>
        <v/>
      </c>
      <c r="W454" s="80">
        <f>IFERROR(MAX(0,MIN(100,100-LOG10(T454)*16)),60)</f>
        <v/>
      </c>
      <c r="X454" s="80">
        <f>IF(C454="T2",85,IF(C454="T4",70,IF(C454="T1",65,IF(C454="T3",55,45))))</f>
        <v/>
      </c>
      <c r="Y454" s="80">
        <f>U454*0.55+W454*0.20+V454*0.15+X454*0.10+ROW()/1000000</f>
        <v/>
      </c>
      <c r="Z454" s="80">
        <f>IF(Y454&gt;=75,"STRONG BUY",IF(Y454&gt;=60,"BUY",IF(Y454&gt;=40,"HOLD",IF(Y454&gt;=25,"TRIM","SELL"))))</f>
        <v/>
      </c>
      <c r="AA454" s="80" t="inlineStr">
        <is>
          <t>https://www.pricecharting.com/game/pokemon-astral-radiance/booster-box</t>
        </is>
      </c>
      <c r="AB454" s="80" t="inlineStr">
        <is>
          <t>AR BB. Origin Forme chase.</t>
        </is>
      </c>
    </row>
    <row r="455">
      <c r="A455" s="80" t="inlineStr">
        <is>
          <t>X231</t>
        </is>
      </c>
      <c r="B455" s="80" t="inlineStr">
        <is>
          <t>Vintage Graded Singles</t>
        </is>
      </c>
      <c r="C455" s="80" t="inlineStr">
        <is>
          <t>T1</t>
        </is>
      </c>
      <c r="D455" s="80" t="inlineStr">
        <is>
          <t>Charizard Base Unlimited PSA 9</t>
        </is>
      </c>
      <c r="E455" s="80" t="inlineStr">
        <is>
          <t>Base Set</t>
        </is>
      </c>
      <c r="F455" s="80" t="inlineStr">
        <is>
          <t>4/102</t>
        </is>
      </c>
      <c r="G455" s="80" t="inlineStr">
        <is>
          <t>PSA 9</t>
        </is>
      </c>
      <c r="H455" s="80" t="n">
        <v>1800</v>
      </c>
      <c r="I455" s="123" t="n">
        <v>46154</v>
      </c>
      <c r="J455" s="80" t="n">
        <v>1775.28</v>
      </c>
      <c r="K455" s="80" t="n">
        <v>1698.11</v>
      </c>
      <c r="L455" s="80" t="n">
        <v>1562.54</v>
      </c>
      <c r="M455" s="80">
        <f>IFERROR((H455-J455)/J455,0)</f>
        <v/>
      </c>
      <c r="N455" s="80">
        <f>IFERROR((H455-K455)/K455,0)</f>
        <v/>
      </c>
      <c r="O455" s="80">
        <f>IFERROR((H455-L455)/L455,0)</f>
        <v/>
      </c>
      <c r="P455" s="80" t="n">
        <v>1450</v>
      </c>
      <c r="Q455" s="80" t="n">
        <v>3050</v>
      </c>
      <c r="R455" s="80" t="inlineStr">
        <is>
          <t>5-10yr</t>
        </is>
      </c>
      <c r="S455" s="80" t="n">
        <v>4</v>
      </c>
      <c r="T455" s="80" t="n">
        <v>4500</v>
      </c>
      <c r="U455" s="80">
        <f>MAX(0,MIN(100,50+((M455*0.6)+(N455*0.4))*200))</f>
        <v/>
      </c>
      <c r="V455" s="80">
        <f>MAX(20,MIN(100,50+(P455-H455)/P455*100))</f>
        <v/>
      </c>
      <c r="W455" s="80">
        <f>IFERROR(MAX(0,MIN(100,100-LOG10(T455)*16)),60)</f>
        <v/>
      </c>
      <c r="X455" s="80">
        <f>IF(C455="T2",85,IF(C455="T4",70,IF(C455="T1",65,IF(C455="T3",55,45))))</f>
        <v/>
      </c>
      <c r="Y455" s="80">
        <f>U455*0.55+W455*0.20+V455*0.15+X455*0.10+ROW()/1000000</f>
        <v/>
      </c>
      <c r="Z455" s="80">
        <f>IF(Y455&gt;=75,"STRONG BUY",IF(Y455&gt;=60,"BUY",IF(Y455&gt;=40,"HOLD",IF(Y455&gt;=25,"TRIM","SELL"))))</f>
        <v/>
      </c>
      <c r="AA455" s="80" t="inlineStr">
        <is>
          <t>https://www.pricecharting.com/game/pokemon-base-set/charizard-4</t>
        </is>
      </c>
      <c r="AB455" s="80" t="inlineStr">
        <is>
          <t>PSA 9 Base Char.</t>
        </is>
      </c>
    </row>
    <row r="456">
      <c r="A456" s="80" t="inlineStr">
        <is>
          <t>X232</t>
        </is>
      </c>
      <c r="B456" s="80" t="inlineStr">
        <is>
          <t>Vintage Graded Singles</t>
        </is>
      </c>
      <c r="C456" s="80" t="inlineStr">
        <is>
          <t>T1</t>
        </is>
      </c>
      <c r="D456" s="80" t="inlineStr">
        <is>
          <t>Dragonite Fossil Unlimited PSA 9</t>
        </is>
      </c>
      <c r="E456" s="80" t="inlineStr">
        <is>
          <t>Fossil</t>
        </is>
      </c>
      <c r="F456" s="80" t="inlineStr">
        <is>
          <t>4/62</t>
        </is>
      </c>
      <c r="G456" s="80" t="inlineStr">
        <is>
          <t>PSA 9</t>
        </is>
      </c>
      <c r="H456" s="80" t="n">
        <v>240</v>
      </c>
      <c r="I456" s="123" t="n">
        <v>46154</v>
      </c>
      <c r="J456" s="80" t="n">
        <v>233.21</v>
      </c>
      <c r="K456" s="80" t="n">
        <v>226.42</v>
      </c>
      <c r="L456" s="80" t="n">
        <v>211.31</v>
      </c>
      <c r="M456" s="80">
        <f>IFERROR((H456-J456)/J456,0)</f>
        <v/>
      </c>
      <c r="N456" s="80">
        <f>IFERROR((H456-K456)/K456,0)</f>
        <v/>
      </c>
      <c r="O456" s="80">
        <f>IFERROR((H456-L456)/L456,0)</f>
        <v/>
      </c>
      <c r="P456" s="80" t="n">
        <v>185</v>
      </c>
      <c r="Q456" s="80" t="n">
        <v>405</v>
      </c>
      <c r="R456" s="80" t="inlineStr">
        <is>
          <t>5-10yr</t>
        </is>
      </c>
      <c r="S456" s="80" t="n">
        <v>3</v>
      </c>
      <c r="T456" s="80" t="n">
        <v>1100</v>
      </c>
      <c r="U456" s="80">
        <f>MAX(0,MIN(100,50+((M456*0.6)+(N456*0.4))*200))</f>
        <v/>
      </c>
      <c r="V456" s="80">
        <f>MAX(20,MIN(100,50+(P456-H456)/P456*100))</f>
        <v/>
      </c>
      <c r="W456" s="80">
        <f>IFERROR(MAX(0,MIN(100,100-LOG10(T456)*16)),60)</f>
        <v/>
      </c>
      <c r="X456" s="80">
        <f>IF(C456="T2",85,IF(C456="T4",70,IF(C456="T1",65,IF(C456="T3",55,45))))</f>
        <v/>
      </c>
      <c r="Y456" s="80">
        <f>U456*0.55+W456*0.20+V456*0.15+X456*0.10+ROW()/1000000</f>
        <v/>
      </c>
      <c r="Z456" s="80">
        <f>IF(Y456&gt;=75,"STRONG BUY",IF(Y456&gt;=60,"BUY",IF(Y456&gt;=40,"HOLD",IF(Y456&gt;=25,"TRIM","SELL"))))</f>
        <v/>
      </c>
      <c r="AA456" s="80" t="inlineStr">
        <is>
          <t>https://www.pricecharting.com/game/pokemon-fossil/dragonite-4</t>
        </is>
      </c>
      <c r="AB456" s="80" t="inlineStr">
        <is>
          <t>Fossil Dragonite PSA 9.</t>
        </is>
      </c>
    </row>
    <row r="457">
      <c r="A457" s="80" t="inlineStr">
        <is>
          <t>X233</t>
        </is>
      </c>
      <c r="B457" s="80" t="inlineStr">
        <is>
          <t>Vintage Graded Singles</t>
        </is>
      </c>
      <c r="C457" s="80" t="inlineStr">
        <is>
          <t>T1</t>
        </is>
      </c>
      <c r="D457" s="80" t="inlineStr">
        <is>
          <t>Gengar Fossil Unlimited PSA 9</t>
        </is>
      </c>
      <c r="E457" s="80" t="inlineStr">
        <is>
          <t>Fossil</t>
        </is>
      </c>
      <c r="F457" s="80" t="inlineStr">
        <is>
          <t>5/62</t>
        </is>
      </c>
      <c r="G457" s="80" t="inlineStr">
        <is>
          <t>PSA 9</t>
        </is>
      </c>
      <c r="H457" s="80" t="n">
        <v>220</v>
      </c>
      <c r="I457" s="123" t="n">
        <v>46154</v>
      </c>
      <c r="J457" s="80" t="n">
        <v>216.17</v>
      </c>
      <c r="K457" s="80" t="n">
        <v>205.61</v>
      </c>
      <c r="L457" s="80" t="n">
        <v>187.47</v>
      </c>
      <c r="M457" s="80">
        <f>IFERROR((H457-J457)/J457,0)</f>
        <v/>
      </c>
      <c r="N457" s="80">
        <f>IFERROR((H457-K457)/K457,0)</f>
        <v/>
      </c>
      <c r="O457" s="80">
        <f>IFERROR((H457-L457)/L457,0)</f>
        <v/>
      </c>
      <c r="P457" s="80" t="n">
        <v>170</v>
      </c>
      <c r="Q457" s="80" t="n">
        <v>370</v>
      </c>
      <c r="R457" s="80" t="inlineStr">
        <is>
          <t>5-10yr</t>
        </is>
      </c>
      <c r="S457" s="80" t="n">
        <v>4</v>
      </c>
      <c r="T457" s="80" t="n">
        <v>950</v>
      </c>
      <c r="U457" s="80">
        <f>MAX(0,MIN(100,50+((M457*0.6)+(N457*0.4))*200))</f>
        <v/>
      </c>
      <c r="V457" s="80">
        <f>MAX(20,MIN(100,50+(P457-H457)/P457*100))</f>
        <v/>
      </c>
      <c r="W457" s="80">
        <f>IFERROR(MAX(0,MIN(100,100-LOG10(T457)*16)),60)</f>
        <v/>
      </c>
      <c r="X457" s="80">
        <f>IF(C457="T2",85,IF(C457="T4",70,IF(C457="T1",65,IF(C457="T3",55,45))))</f>
        <v/>
      </c>
      <c r="Y457" s="80">
        <f>U457*0.55+W457*0.20+V457*0.15+X457*0.10+ROW()/1000000</f>
        <v/>
      </c>
      <c r="Z457" s="80">
        <f>IF(Y457&gt;=75,"STRONG BUY",IF(Y457&gt;=60,"BUY",IF(Y457&gt;=40,"HOLD",IF(Y457&gt;=25,"TRIM","SELL"))))</f>
        <v/>
      </c>
      <c r="AA457" s="80" t="inlineStr">
        <is>
          <t>https://www.pricecharting.com/game/pokemon-fossil/gengar-5</t>
        </is>
      </c>
      <c r="AB457" s="80" t="inlineStr">
        <is>
          <t>Fossil Gengar PSA 9. Mega Gengar tailwind.</t>
        </is>
      </c>
    </row>
    <row r="458">
      <c r="A458" s="80" t="inlineStr">
        <is>
          <t>X234</t>
        </is>
      </c>
      <c r="B458" s="80" t="inlineStr">
        <is>
          <t>Vintage Graded Singles</t>
        </is>
      </c>
      <c r="C458" s="80" t="inlineStr">
        <is>
          <t>T1</t>
        </is>
      </c>
      <c r="D458" s="80" t="inlineStr">
        <is>
          <t>Articuno Fossil Unlimited PSA 9</t>
        </is>
      </c>
      <c r="E458" s="80" t="inlineStr">
        <is>
          <t>Fossil</t>
        </is>
      </c>
      <c r="F458" s="80" t="inlineStr">
        <is>
          <t>2/62</t>
        </is>
      </c>
      <c r="G458" s="80" t="inlineStr">
        <is>
          <t>PSA 9</t>
        </is>
      </c>
      <c r="H458" s="80" t="n">
        <v>130</v>
      </c>
      <c r="I458" s="123" t="n">
        <v>46154</v>
      </c>
      <c r="J458" s="80" t="n">
        <v>127.36</v>
      </c>
      <c r="K458" s="80" t="n">
        <v>125</v>
      </c>
      <c r="L458" s="80" t="n">
        <v>112.89</v>
      </c>
      <c r="M458" s="80">
        <f>IFERROR((H458-J458)/J458,0)</f>
        <v/>
      </c>
      <c r="N458" s="80">
        <f>IFERROR((H458-K458)/K458,0)</f>
        <v/>
      </c>
      <c r="O458" s="80">
        <f>IFERROR((H458-L458)/L458,0)</f>
        <v/>
      </c>
      <c r="P458" s="80" t="n">
        <v>100</v>
      </c>
      <c r="Q458" s="80" t="n">
        <v>220</v>
      </c>
      <c r="R458" s="80" t="inlineStr">
        <is>
          <t>5-10yr</t>
        </is>
      </c>
      <c r="S458" s="80" t="n">
        <v>3</v>
      </c>
      <c r="T458" s="80" t="n">
        <v>1300</v>
      </c>
      <c r="U458" s="80">
        <f>MAX(0,MIN(100,50+((M458*0.6)+(N458*0.4))*200))</f>
        <v/>
      </c>
      <c r="V458" s="80">
        <f>MAX(20,MIN(100,50+(P458-H458)/P458*100))</f>
        <v/>
      </c>
      <c r="W458" s="80">
        <f>IFERROR(MAX(0,MIN(100,100-LOG10(T458)*16)),60)</f>
        <v/>
      </c>
      <c r="X458" s="80">
        <f>IF(C458="T2",85,IF(C458="T4",70,IF(C458="T1",65,IF(C458="T3",55,45))))</f>
        <v/>
      </c>
      <c r="Y458" s="80">
        <f>U458*0.55+W458*0.20+V458*0.15+X458*0.10+ROW()/1000000</f>
        <v/>
      </c>
      <c r="Z458" s="80">
        <f>IF(Y458&gt;=75,"STRONG BUY",IF(Y458&gt;=60,"BUY",IF(Y458&gt;=40,"HOLD",IF(Y458&gt;=25,"TRIM","SELL"))))</f>
        <v/>
      </c>
      <c r="AA458" s="80" t="inlineStr">
        <is>
          <t>https://www.pricecharting.com/game/pokemon-fossil/articuno-2</t>
        </is>
      </c>
      <c r="AB458" s="80" t="inlineStr">
        <is>
          <t>Articuno Fossil PSA 9.</t>
        </is>
      </c>
    </row>
    <row r="459">
      <c r="A459" s="80" t="inlineStr">
        <is>
          <t>X235</t>
        </is>
      </c>
      <c r="B459" s="80" t="inlineStr">
        <is>
          <t>Vintage Graded Singles</t>
        </is>
      </c>
      <c r="C459" s="80" t="inlineStr">
        <is>
          <t>T1</t>
        </is>
      </c>
      <c r="D459" s="80" t="inlineStr">
        <is>
          <t>Moltres Fossil Unlimited PSA 9</t>
        </is>
      </c>
      <c r="E459" s="80" t="inlineStr">
        <is>
          <t>Fossil</t>
        </is>
      </c>
      <c r="F459" s="80" t="inlineStr">
        <is>
          <t>12/62</t>
        </is>
      </c>
      <c r="G459" s="80" t="inlineStr">
        <is>
          <t>PSA 9</t>
        </is>
      </c>
      <c r="H459" s="80" t="n">
        <v>140</v>
      </c>
      <c r="I459" s="123" t="n">
        <v>46154</v>
      </c>
      <c r="J459" s="80" t="n">
        <v>136.84</v>
      </c>
      <c r="K459" s="80" t="n">
        <v>134.62</v>
      </c>
      <c r="L459" s="80" t="n">
        <v>129.92</v>
      </c>
      <c r="M459" s="80">
        <f>IFERROR((H459-J459)/J459,0)</f>
        <v/>
      </c>
      <c r="N459" s="80">
        <f>IFERROR((H459-K459)/K459,0)</f>
        <v/>
      </c>
      <c r="O459" s="80">
        <f>IFERROR((H459-L459)/L459,0)</f>
        <v/>
      </c>
      <c r="P459" s="80" t="n">
        <v>110</v>
      </c>
      <c r="Q459" s="80" t="n">
        <v>235</v>
      </c>
      <c r="R459" s="80" t="inlineStr">
        <is>
          <t>5-10yr</t>
        </is>
      </c>
      <c r="S459" s="80" t="n">
        <v>3</v>
      </c>
      <c r="T459" s="80" t="n">
        <v>1200</v>
      </c>
      <c r="U459" s="80">
        <f>MAX(0,MIN(100,50+((M459*0.6)+(N459*0.4))*200))</f>
        <v/>
      </c>
      <c r="V459" s="80">
        <f>MAX(20,MIN(100,50+(P459-H459)/P459*100))</f>
        <v/>
      </c>
      <c r="W459" s="80">
        <f>IFERROR(MAX(0,MIN(100,100-LOG10(T459)*16)),60)</f>
        <v/>
      </c>
      <c r="X459" s="80">
        <f>IF(C459="T2",85,IF(C459="T4",70,IF(C459="T1",65,IF(C459="T3",55,45))))</f>
        <v/>
      </c>
      <c r="Y459" s="80">
        <f>U459*0.55+W459*0.20+V459*0.15+X459*0.10+ROW()/1000000</f>
        <v/>
      </c>
      <c r="Z459" s="80">
        <f>IF(Y459&gt;=75,"STRONG BUY",IF(Y459&gt;=60,"BUY",IF(Y459&gt;=40,"HOLD",IF(Y459&gt;=25,"TRIM","SELL"))))</f>
        <v/>
      </c>
      <c r="AA459" s="80" t="inlineStr">
        <is>
          <t>https://www.pricecharting.com/game/pokemon-fossil/moltres-12</t>
        </is>
      </c>
      <c r="AB459" s="80" t="inlineStr">
        <is>
          <t>Moltres Fossil PSA 9.</t>
        </is>
      </c>
    </row>
    <row r="460">
      <c r="A460" s="80" t="inlineStr">
        <is>
          <t>X236</t>
        </is>
      </c>
      <c r="B460" s="80" t="inlineStr">
        <is>
          <t>Vintage Graded Singles</t>
        </is>
      </c>
      <c r="C460" s="80" t="inlineStr">
        <is>
          <t>T1</t>
        </is>
      </c>
      <c r="D460" s="80" t="inlineStr">
        <is>
          <t>Zapdos Fossil Unlimited PSA 9</t>
        </is>
      </c>
      <c r="E460" s="80" t="inlineStr">
        <is>
          <t>Fossil</t>
        </is>
      </c>
      <c r="F460" s="80" t="inlineStr">
        <is>
          <t>15/62</t>
        </is>
      </c>
      <c r="G460" s="80" t="inlineStr">
        <is>
          <t>PSA 9</t>
        </is>
      </c>
      <c r="H460" s="80" t="n">
        <v>130</v>
      </c>
      <c r="I460" s="123" t="n">
        <v>46154</v>
      </c>
      <c r="J460" s="80" t="n">
        <v>129.07</v>
      </c>
      <c r="K460" s="80" t="n">
        <v>125</v>
      </c>
      <c r="L460" s="80" t="n">
        <v>115.75</v>
      </c>
      <c r="M460" s="80">
        <f>IFERROR((H460-J460)/J460,0)</f>
        <v/>
      </c>
      <c r="N460" s="80">
        <f>IFERROR((H460-K460)/K460,0)</f>
        <v/>
      </c>
      <c r="O460" s="80">
        <f>IFERROR((H460-L460)/L460,0)</f>
        <v/>
      </c>
      <c r="P460" s="80" t="n">
        <v>100</v>
      </c>
      <c r="Q460" s="80" t="n">
        <v>220</v>
      </c>
      <c r="R460" s="80" t="inlineStr">
        <is>
          <t>5-10yr</t>
        </is>
      </c>
      <c r="S460" s="80" t="n">
        <v>3</v>
      </c>
      <c r="T460" s="80" t="n">
        <v>1200</v>
      </c>
      <c r="U460" s="80">
        <f>MAX(0,MIN(100,50+((M460*0.6)+(N460*0.4))*200))</f>
        <v/>
      </c>
      <c r="V460" s="80">
        <f>MAX(20,MIN(100,50+(P460-H460)/P460*100))</f>
        <v/>
      </c>
      <c r="W460" s="80">
        <f>IFERROR(MAX(0,MIN(100,100-LOG10(T460)*16)),60)</f>
        <v/>
      </c>
      <c r="X460" s="80">
        <f>IF(C460="T2",85,IF(C460="T4",70,IF(C460="T1",65,IF(C460="T3",55,45))))</f>
        <v/>
      </c>
      <c r="Y460" s="80">
        <f>U460*0.55+W460*0.20+V460*0.15+X460*0.10+ROW()/1000000</f>
        <v/>
      </c>
      <c r="Z460" s="80">
        <f>IF(Y460&gt;=75,"STRONG BUY",IF(Y460&gt;=60,"BUY",IF(Y460&gt;=40,"HOLD",IF(Y460&gt;=25,"TRIM","SELL"))))</f>
        <v/>
      </c>
      <c r="AA460" s="80" t="inlineStr">
        <is>
          <t>https://www.pricecharting.com/game/pokemon-fossil/zapdos-15</t>
        </is>
      </c>
      <c r="AB460" s="80" t="inlineStr">
        <is>
          <t>Zapdos Fossil PSA 9.</t>
        </is>
      </c>
    </row>
    <row r="461">
      <c r="A461" s="80" t="inlineStr">
        <is>
          <t>X237</t>
        </is>
      </c>
      <c r="B461" s="80" t="inlineStr">
        <is>
          <t>Vintage Graded Singles</t>
        </is>
      </c>
      <c r="C461" s="80" t="inlineStr">
        <is>
          <t>T1</t>
        </is>
      </c>
      <c r="D461" s="80" t="inlineStr">
        <is>
          <t>Mewtwo Fossil Unlimited PSA 9</t>
        </is>
      </c>
      <c r="E461" s="80" t="inlineStr">
        <is>
          <t>Fossil</t>
        </is>
      </c>
      <c r="F461" s="80" t="inlineStr">
        <is>
          <t>10/62</t>
        </is>
      </c>
      <c r="G461" s="80" t="inlineStr">
        <is>
          <t>PSA 9</t>
        </is>
      </c>
      <c r="H461" s="80" t="n">
        <v>170</v>
      </c>
      <c r="I461" s="123" t="n">
        <v>46154</v>
      </c>
      <c r="J461" s="80" t="n">
        <v>166.52</v>
      </c>
      <c r="K461" s="80" t="n">
        <v>161.9</v>
      </c>
      <c r="L461" s="80" t="n">
        <v>157.11</v>
      </c>
      <c r="M461" s="80">
        <f>IFERROR((H461-J461)/J461,0)</f>
        <v/>
      </c>
      <c r="N461" s="80">
        <f>IFERROR((H461-K461)/K461,0)</f>
        <v/>
      </c>
      <c r="O461" s="80">
        <f>IFERROR((H461-L461)/L461,0)</f>
        <v/>
      </c>
      <c r="P461" s="80" t="n">
        <v>130</v>
      </c>
      <c r="Q461" s="80" t="n">
        <v>290</v>
      </c>
      <c r="R461" s="80" t="inlineStr">
        <is>
          <t>5-10yr</t>
        </is>
      </c>
      <c r="S461" s="80" t="n">
        <v>3</v>
      </c>
      <c r="T461" s="80" t="n">
        <v>1100</v>
      </c>
      <c r="U461" s="80">
        <f>MAX(0,MIN(100,50+((M461*0.6)+(N461*0.4))*200))</f>
        <v/>
      </c>
      <c r="V461" s="80">
        <f>MAX(20,MIN(100,50+(P461-H461)/P461*100))</f>
        <v/>
      </c>
      <c r="W461" s="80">
        <f>IFERROR(MAX(0,MIN(100,100-LOG10(T461)*16)),60)</f>
        <v/>
      </c>
      <c r="X461" s="80">
        <f>IF(C461="T2",85,IF(C461="T4",70,IF(C461="T1",65,IF(C461="T3",55,45))))</f>
        <v/>
      </c>
      <c r="Y461" s="80">
        <f>U461*0.55+W461*0.20+V461*0.15+X461*0.10+ROW()/1000000</f>
        <v/>
      </c>
      <c r="Z461" s="80">
        <f>IF(Y461&gt;=75,"STRONG BUY",IF(Y461&gt;=60,"BUY",IF(Y461&gt;=40,"HOLD",IF(Y461&gt;=25,"TRIM","SELL"))))</f>
        <v/>
      </c>
      <c r="AA461" s="80" t="inlineStr">
        <is>
          <t>https://www.pricecharting.com/game/pokemon-fossil/mewtwo-10</t>
        </is>
      </c>
      <c r="AB461" s="80" t="inlineStr">
        <is>
          <t>Mewtwo Fossil PSA 9.</t>
        </is>
      </c>
    </row>
    <row r="462">
      <c r="A462" s="80" t="inlineStr">
        <is>
          <t>X238</t>
        </is>
      </c>
      <c r="B462" s="80" t="inlineStr">
        <is>
          <t>Vintage Graded Singles</t>
        </is>
      </c>
      <c r="C462" s="80" t="inlineStr">
        <is>
          <t>T1</t>
        </is>
      </c>
      <c r="D462" s="80" t="inlineStr">
        <is>
          <t>Mew Holo Promo PSA 9</t>
        </is>
      </c>
      <c r="E462" s="80" t="inlineStr">
        <is>
          <t>Black Star Promo</t>
        </is>
      </c>
      <c r="F462" s="80" t="inlineStr">
        <is>
          <t>8</t>
        </is>
      </c>
      <c r="G462" s="80" t="inlineStr">
        <is>
          <t>PSA 9</t>
        </is>
      </c>
      <c r="H462" s="80" t="n">
        <v>220</v>
      </c>
      <c r="I462" s="123" t="n">
        <v>46154</v>
      </c>
      <c r="J462" s="80" t="n">
        <v>219.83</v>
      </c>
      <c r="K462" s="80" t="n">
        <v>209.52</v>
      </c>
      <c r="L462" s="80" t="n">
        <v>201.21</v>
      </c>
      <c r="M462" s="80">
        <f>IFERROR((H462-J462)/J462,0)</f>
        <v/>
      </c>
      <c r="N462" s="80">
        <f>IFERROR((H462-K462)/K462,0)</f>
        <v/>
      </c>
      <c r="O462" s="80">
        <f>IFERROR((H462-L462)/L462,0)</f>
        <v/>
      </c>
      <c r="P462" s="80" t="n">
        <v>170</v>
      </c>
      <c r="Q462" s="80" t="n">
        <v>370</v>
      </c>
      <c r="R462" s="80" t="inlineStr">
        <is>
          <t>5-10yr</t>
        </is>
      </c>
      <c r="S462" s="80" t="n">
        <v>3</v>
      </c>
      <c r="T462" s="80" t="n">
        <v>800</v>
      </c>
      <c r="U462" s="80">
        <f>MAX(0,MIN(100,50+((M462*0.6)+(N462*0.4))*200))</f>
        <v/>
      </c>
      <c r="V462" s="80">
        <f>MAX(20,MIN(100,50+(P462-H462)/P462*100))</f>
        <v/>
      </c>
      <c r="W462" s="80">
        <f>IFERROR(MAX(0,MIN(100,100-LOG10(T462)*16)),60)</f>
        <v/>
      </c>
      <c r="X462" s="80">
        <f>IF(C462="T2",85,IF(C462="T4",70,IF(C462="T1",65,IF(C462="T3",55,45))))</f>
        <v/>
      </c>
      <c r="Y462" s="80">
        <f>U462*0.55+W462*0.20+V462*0.15+X462*0.10+ROW()/1000000</f>
        <v/>
      </c>
      <c r="Z462" s="80">
        <f>IF(Y462&gt;=75,"STRONG BUY",IF(Y462&gt;=60,"BUY",IF(Y462&gt;=40,"HOLD",IF(Y462&gt;=25,"TRIM","SELL"))))</f>
        <v/>
      </c>
      <c r="AA462" s="80" t="inlineStr">
        <is>
          <t>https://www.pricecharting.com/game/pokemon-promo/mew-holo-8</t>
        </is>
      </c>
      <c r="AB462" s="80" t="inlineStr">
        <is>
          <t>OG Mew promo PSA 9.</t>
        </is>
      </c>
    </row>
    <row r="463">
      <c r="A463" s="80" t="inlineStr">
        <is>
          <t>X239</t>
        </is>
      </c>
      <c r="B463" s="80" t="inlineStr">
        <is>
          <t>Vintage Graded Singles</t>
        </is>
      </c>
      <c r="C463" s="80" t="inlineStr">
        <is>
          <t>T1</t>
        </is>
      </c>
      <c r="D463" s="80" t="inlineStr">
        <is>
          <t>Lugia Neo Genesis Unlimited PSA 9</t>
        </is>
      </c>
      <c r="E463" s="80" t="inlineStr">
        <is>
          <t>Neo Genesis</t>
        </is>
      </c>
      <c r="F463" s="80" t="inlineStr">
        <is>
          <t>9/111</t>
        </is>
      </c>
      <c r="G463" s="80" t="inlineStr">
        <is>
          <t>PSA 9</t>
        </is>
      </c>
      <c r="H463" s="80" t="n">
        <v>1100</v>
      </c>
      <c r="I463" s="123" t="n">
        <v>46154</v>
      </c>
      <c r="J463" s="80" t="n">
        <v>1086.62</v>
      </c>
      <c r="K463" s="80" t="n">
        <v>1037.74</v>
      </c>
      <c r="L463" s="80" t="n">
        <v>965.5599999999999</v>
      </c>
      <c r="M463" s="80">
        <f>IFERROR((H463-J463)/J463,0)</f>
        <v/>
      </c>
      <c r="N463" s="80">
        <f>IFERROR((H463-K463)/K463,0)</f>
        <v/>
      </c>
      <c r="O463" s="80">
        <f>IFERROR((H463-L463)/L463,0)</f>
        <v/>
      </c>
      <c r="P463" s="80" t="n">
        <v>850</v>
      </c>
      <c r="Q463" s="80" t="n">
        <v>1860</v>
      </c>
      <c r="R463" s="80" t="inlineStr">
        <is>
          <t>5-10yr</t>
        </is>
      </c>
      <c r="S463" s="80" t="n">
        <v>4</v>
      </c>
      <c r="T463" s="80" t="n">
        <v>700</v>
      </c>
      <c r="U463" s="80">
        <f>MAX(0,MIN(100,50+((M463*0.6)+(N463*0.4))*200))</f>
        <v/>
      </c>
      <c r="V463" s="80">
        <f>MAX(20,MIN(100,50+(P463-H463)/P463*100))</f>
        <v/>
      </c>
      <c r="W463" s="80">
        <f>IFERROR(MAX(0,MIN(100,100-LOG10(T463)*16)),60)</f>
        <v/>
      </c>
      <c r="X463" s="80">
        <f>IF(C463="T2",85,IF(C463="T4",70,IF(C463="T1",65,IF(C463="T3",55,45))))</f>
        <v/>
      </c>
      <c r="Y463" s="80">
        <f>U463*0.55+W463*0.20+V463*0.15+X463*0.10+ROW()/1000000</f>
        <v/>
      </c>
      <c r="Z463" s="80">
        <f>IF(Y463&gt;=75,"STRONG BUY",IF(Y463&gt;=60,"BUY",IF(Y463&gt;=40,"HOLD",IF(Y463&gt;=25,"TRIM","SELL"))))</f>
        <v/>
      </c>
      <c r="AA463" s="80" t="inlineStr">
        <is>
          <t>https://www.pricecharting.com/game/pokemon-neo-genesis/lugia-9</t>
        </is>
      </c>
      <c r="AB463" s="80" t="inlineStr">
        <is>
          <t>Unlimited Lugia PSA 9 — cheaper than 1st Ed.</t>
        </is>
      </c>
    </row>
    <row r="464">
      <c r="A464" s="80" t="inlineStr">
        <is>
          <t>X240</t>
        </is>
      </c>
      <c r="B464" s="80" t="inlineStr">
        <is>
          <t>Vintage Graded Singles</t>
        </is>
      </c>
      <c r="C464" s="80" t="inlineStr">
        <is>
          <t>T1</t>
        </is>
      </c>
      <c r="D464" s="80" t="inlineStr">
        <is>
          <t>Houndoom Neo Discovery PSA 9</t>
        </is>
      </c>
      <c r="E464" s="80" t="inlineStr">
        <is>
          <t>Neo Discovery</t>
        </is>
      </c>
      <c r="F464" s="80" t="inlineStr">
        <is>
          <t>12/75</t>
        </is>
      </c>
      <c r="G464" s="80" t="inlineStr">
        <is>
          <t>PSA 9</t>
        </is>
      </c>
      <c r="H464" s="80" t="n">
        <v>180</v>
      </c>
      <c r="I464" s="123" t="n">
        <v>46154</v>
      </c>
      <c r="J464" s="80" t="n">
        <v>177.76</v>
      </c>
      <c r="K464" s="80" t="n">
        <v>173.08</v>
      </c>
      <c r="L464" s="80" t="n">
        <v>161.53</v>
      </c>
      <c r="M464" s="80">
        <f>IFERROR((H464-J464)/J464,0)</f>
        <v/>
      </c>
      <c r="N464" s="80">
        <f>IFERROR((H464-K464)/K464,0)</f>
        <v/>
      </c>
      <c r="O464" s="80">
        <f>IFERROR((H464-L464)/L464,0)</f>
        <v/>
      </c>
      <c r="P464" s="80" t="n">
        <v>140</v>
      </c>
      <c r="Q464" s="80" t="n">
        <v>305</v>
      </c>
      <c r="R464" s="80" t="inlineStr">
        <is>
          <t>5-10yr</t>
        </is>
      </c>
      <c r="S464" s="80" t="n">
        <v>3</v>
      </c>
      <c r="T464" s="80" t="n">
        <v>850</v>
      </c>
      <c r="U464" s="80">
        <f>MAX(0,MIN(100,50+((M464*0.6)+(N464*0.4))*200))</f>
        <v/>
      </c>
      <c r="V464" s="80">
        <f>MAX(20,MIN(100,50+(P464-H464)/P464*100))</f>
        <v/>
      </c>
      <c r="W464" s="80">
        <f>IFERROR(MAX(0,MIN(100,100-LOG10(T464)*16)),60)</f>
        <v/>
      </c>
      <c r="X464" s="80">
        <f>IF(C464="T2",85,IF(C464="T4",70,IF(C464="T1",65,IF(C464="T3",55,45))))</f>
        <v/>
      </c>
      <c r="Y464" s="80">
        <f>U464*0.55+W464*0.20+V464*0.15+X464*0.10+ROW()/1000000</f>
        <v/>
      </c>
      <c r="Z464" s="80">
        <f>IF(Y464&gt;=75,"STRONG BUY",IF(Y464&gt;=60,"BUY",IF(Y464&gt;=40,"HOLD",IF(Y464&gt;=25,"TRIM","SELL"))))</f>
        <v/>
      </c>
      <c r="AA464" s="80" t="inlineStr">
        <is>
          <t>https://www.pricecharting.com/game/pokemon-neo-discovery/houndoom-12</t>
        </is>
      </c>
      <c r="AB464" s="80" t="inlineStr">
        <is>
          <t>Underrated Neo holo.</t>
        </is>
      </c>
    </row>
    <row r="465">
      <c r="A465" s="80" t="inlineStr">
        <is>
          <t>X241</t>
        </is>
      </c>
      <c r="B465" s="80" t="inlineStr">
        <is>
          <t>Vintage Graded Singles</t>
        </is>
      </c>
      <c r="C465" s="80" t="inlineStr">
        <is>
          <t>T1</t>
        </is>
      </c>
      <c r="D465" s="80" t="inlineStr">
        <is>
          <t>Jolteon Aquapolis Crystal</t>
        </is>
      </c>
      <c r="E465" s="80" t="inlineStr">
        <is>
          <t>Aquapolis</t>
        </is>
      </c>
      <c r="F465" s="80" t="inlineStr">
        <is>
          <t>148/147</t>
        </is>
      </c>
      <c r="G465" s="80" t="inlineStr">
        <is>
          <t>PSA 8</t>
        </is>
      </c>
      <c r="H465" s="80" t="n">
        <v>240</v>
      </c>
      <c r="I465" s="123" t="n">
        <v>46154</v>
      </c>
      <c r="J465" s="80" t="n">
        <v>237.76</v>
      </c>
      <c r="K465" s="80" t="n">
        <v>230.77</v>
      </c>
      <c r="L465" s="80" t="n">
        <v>208.9</v>
      </c>
      <c r="M465" s="80">
        <f>IFERROR((H465-J465)/J465,0)</f>
        <v/>
      </c>
      <c r="N465" s="80">
        <f>IFERROR((H465-K465)/K465,0)</f>
        <v/>
      </c>
      <c r="O465" s="80">
        <f>IFERROR((H465-L465)/L465,0)</f>
        <v/>
      </c>
      <c r="P465" s="80" t="n">
        <v>185</v>
      </c>
      <c r="Q465" s="80" t="n">
        <v>405</v>
      </c>
      <c r="R465" s="80" t="inlineStr">
        <is>
          <t>5-10yr</t>
        </is>
      </c>
      <c r="S465" s="80" t="n">
        <v>3</v>
      </c>
      <c r="T465" s="80" t="n">
        <v>320</v>
      </c>
      <c r="U465" s="80">
        <f>MAX(0,MIN(100,50+((M465*0.6)+(N465*0.4))*200))</f>
        <v/>
      </c>
      <c r="V465" s="80">
        <f>MAX(20,MIN(100,50+(P465-H465)/P465*100))</f>
        <v/>
      </c>
      <c r="W465" s="80">
        <f>IFERROR(MAX(0,MIN(100,100-LOG10(T465)*16)),60)</f>
        <v/>
      </c>
      <c r="X465" s="80">
        <f>IF(C465="T2",85,IF(C465="T4",70,IF(C465="T1",65,IF(C465="T3",55,45))))</f>
        <v/>
      </c>
      <c r="Y465" s="80">
        <f>U465*0.55+W465*0.20+V465*0.15+X465*0.10+ROW()/1000000</f>
        <v/>
      </c>
      <c r="Z465" s="80">
        <f>IF(Y465&gt;=75,"STRONG BUY",IF(Y465&gt;=60,"BUY",IF(Y465&gt;=40,"HOLD",IF(Y465&gt;=25,"TRIM","SELL"))))</f>
        <v/>
      </c>
      <c r="AA465" s="80" t="inlineStr">
        <is>
          <t>https://www.pricecharting.com/game/pokemon-aquapolis/crystal-jolteon</t>
        </is>
      </c>
      <c r="AB465" s="80" t="inlineStr">
        <is>
          <t>Crystal Jolteon PSA 8 — Crystal Type rarity.</t>
        </is>
      </c>
    </row>
    <row r="466">
      <c r="A466" s="80" t="inlineStr">
        <is>
          <t>X242</t>
        </is>
      </c>
      <c r="B466" s="80" t="inlineStr">
        <is>
          <t>Vintage Graded Singles</t>
        </is>
      </c>
      <c r="C466" s="80" t="inlineStr">
        <is>
          <t>T1</t>
        </is>
      </c>
      <c r="D466" s="80" t="inlineStr">
        <is>
          <t>Crystal Kingdra Aquapolis PSA 8</t>
        </is>
      </c>
      <c r="E466" s="80" t="inlineStr">
        <is>
          <t>Aquapolis</t>
        </is>
      </c>
      <c r="F466" s="80" t="inlineStr">
        <is>
          <t>148/147</t>
        </is>
      </c>
      <c r="G466" s="80" t="inlineStr">
        <is>
          <t>PSA 8</t>
        </is>
      </c>
      <c r="H466" s="80" t="n">
        <v>180</v>
      </c>
      <c r="I466" s="123" t="n">
        <v>46154</v>
      </c>
      <c r="J466" s="80" t="n">
        <v>176.6</v>
      </c>
      <c r="K466" s="80" t="n">
        <v>173.08</v>
      </c>
      <c r="L466" s="80" t="n">
        <v>159.7</v>
      </c>
      <c r="M466" s="80">
        <f>IFERROR((H466-J466)/J466,0)</f>
        <v/>
      </c>
      <c r="N466" s="80">
        <f>IFERROR((H466-K466)/K466,0)</f>
        <v/>
      </c>
      <c r="O466" s="80">
        <f>IFERROR((H466-L466)/L466,0)</f>
        <v/>
      </c>
      <c r="P466" s="80" t="n">
        <v>140</v>
      </c>
      <c r="Q466" s="80" t="n">
        <v>305</v>
      </c>
      <c r="R466" s="80" t="inlineStr">
        <is>
          <t>5-10yr</t>
        </is>
      </c>
      <c r="S466" s="80" t="n">
        <v>3</v>
      </c>
      <c r="T466" s="80" t="n">
        <v>280</v>
      </c>
      <c r="U466" s="80">
        <f>MAX(0,MIN(100,50+((M466*0.6)+(N466*0.4))*200))</f>
        <v/>
      </c>
      <c r="V466" s="80">
        <f>MAX(20,MIN(100,50+(P466-H466)/P466*100))</f>
        <v/>
      </c>
      <c r="W466" s="80">
        <f>IFERROR(MAX(0,MIN(100,100-LOG10(T466)*16)),60)</f>
        <v/>
      </c>
      <c r="X466" s="80">
        <f>IF(C466="T2",85,IF(C466="T4",70,IF(C466="T1",65,IF(C466="T3",55,45))))</f>
        <v/>
      </c>
      <c r="Y466" s="80">
        <f>U466*0.55+W466*0.20+V466*0.15+X466*0.10+ROW()/1000000</f>
        <v/>
      </c>
      <c r="Z466" s="80">
        <f>IF(Y466&gt;=75,"STRONG BUY",IF(Y466&gt;=60,"BUY",IF(Y466&gt;=40,"HOLD",IF(Y466&gt;=25,"TRIM","SELL"))))</f>
        <v/>
      </c>
      <c r="AA466" s="80" t="inlineStr">
        <is>
          <t>https://www.pricecharting.com/game/pokemon-aquapolis/crystal-kingdra</t>
        </is>
      </c>
      <c r="AB466" s="80" t="inlineStr">
        <is>
          <t>Crystal Kingdra. Niche cult.</t>
        </is>
      </c>
    </row>
    <row r="467">
      <c r="A467" s="80" t="inlineStr">
        <is>
          <t>X243</t>
        </is>
      </c>
      <c r="B467" s="80" t="inlineStr">
        <is>
          <t>Vintage Graded Singles</t>
        </is>
      </c>
      <c r="C467" s="80" t="inlineStr">
        <is>
          <t>T1</t>
        </is>
      </c>
      <c r="D467" s="80" t="inlineStr">
        <is>
          <t>Crystal Lugia Aquapolis PSA 8</t>
        </is>
      </c>
      <c r="E467" s="80" t="inlineStr">
        <is>
          <t>Aquapolis</t>
        </is>
      </c>
      <c r="F467" s="80" t="inlineStr">
        <is>
          <t>149/147</t>
        </is>
      </c>
      <c r="G467" s="80" t="inlineStr">
        <is>
          <t>PSA 8</t>
        </is>
      </c>
      <c r="H467" s="80" t="n">
        <v>220</v>
      </c>
      <c r="I467" s="123" t="n">
        <v>46154</v>
      </c>
      <c r="J467" s="80" t="n">
        <v>215.53</v>
      </c>
      <c r="K467" s="80" t="n">
        <v>209.52</v>
      </c>
      <c r="L467" s="80" t="n">
        <v>198.7</v>
      </c>
      <c r="M467" s="80">
        <f>IFERROR((H467-J467)/J467,0)</f>
        <v/>
      </c>
      <c r="N467" s="80">
        <f>IFERROR((H467-K467)/K467,0)</f>
        <v/>
      </c>
      <c r="O467" s="80">
        <f>IFERROR((H467-L467)/L467,0)</f>
        <v/>
      </c>
      <c r="P467" s="80" t="n">
        <v>170</v>
      </c>
      <c r="Q467" s="80" t="n">
        <v>370</v>
      </c>
      <c r="R467" s="80" t="inlineStr">
        <is>
          <t>5-10yr</t>
        </is>
      </c>
      <c r="S467" s="80" t="n">
        <v>4</v>
      </c>
      <c r="T467" s="80" t="n">
        <v>240</v>
      </c>
      <c r="U467" s="80">
        <f>MAX(0,MIN(100,50+((M467*0.6)+(N467*0.4))*200))</f>
        <v/>
      </c>
      <c r="V467" s="80">
        <f>MAX(20,MIN(100,50+(P467-H467)/P467*100))</f>
        <v/>
      </c>
      <c r="W467" s="80">
        <f>IFERROR(MAX(0,MIN(100,100-LOG10(T467)*16)),60)</f>
        <v/>
      </c>
      <c r="X467" s="80">
        <f>IF(C467="T2",85,IF(C467="T4",70,IF(C467="T1",65,IF(C467="T3",55,45))))</f>
        <v/>
      </c>
      <c r="Y467" s="80">
        <f>U467*0.55+W467*0.20+V467*0.15+X467*0.10+ROW()/1000000</f>
        <v/>
      </c>
      <c r="Z467" s="80">
        <f>IF(Y467&gt;=75,"STRONG BUY",IF(Y467&gt;=60,"BUY",IF(Y467&gt;=40,"HOLD",IF(Y467&gt;=25,"TRIM","SELL"))))</f>
        <v/>
      </c>
      <c r="AA467" s="80" t="inlineStr">
        <is>
          <t>https://www.pricecharting.com/game/pokemon-aquapolis/crystal-lugia</t>
        </is>
      </c>
      <c r="AB467" s="80" t="inlineStr">
        <is>
          <t>Crystal Lugia PSA 8.</t>
        </is>
      </c>
    </row>
    <row r="468">
      <c r="A468" s="80" t="inlineStr">
        <is>
          <t>X301</t>
        </is>
      </c>
      <c r="B468" s="80" t="inlineStr">
        <is>
          <t>Modern Chase PSA 10</t>
        </is>
      </c>
      <c r="C468" s="80" t="inlineStr">
        <is>
          <t>T2</t>
        </is>
      </c>
      <c r="D468" s="80" t="inlineStr">
        <is>
          <t>Charizard VSTAR Rainbow (BRS) PSA 10</t>
        </is>
      </c>
      <c r="E468" s="80" t="inlineStr">
        <is>
          <t>Brilliant Stars</t>
        </is>
      </c>
      <c r="F468" s="80" t="inlineStr">
        <is>
          <t>174/172</t>
        </is>
      </c>
      <c r="G468" s="80" t="inlineStr">
        <is>
          <t>PSA 10</t>
        </is>
      </c>
      <c r="H468" s="80" t="n">
        <v>480</v>
      </c>
      <c r="I468" s="123" t="n">
        <v>46154</v>
      </c>
      <c r="J468" s="80" t="n">
        <v>472.87</v>
      </c>
      <c r="K468" s="80" t="n">
        <v>444.44</v>
      </c>
      <c r="L468" s="80" t="n">
        <v>424.89</v>
      </c>
      <c r="M468" s="80">
        <f>IFERROR((H468-J468)/J468,0)</f>
        <v/>
      </c>
      <c r="N468" s="80">
        <f>IFERROR((H468-K468)/K468,0)</f>
        <v/>
      </c>
      <c r="O468" s="80">
        <f>IFERROR((H468-L468)/L468,0)</f>
        <v/>
      </c>
      <c r="P468" s="80" t="n">
        <v>370</v>
      </c>
      <c r="Q468" s="80" t="n">
        <v>810</v>
      </c>
      <c r="R468" s="80" t="inlineStr">
        <is>
          <t>3-5yr</t>
        </is>
      </c>
      <c r="S468" s="80" t="n">
        <v>4</v>
      </c>
      <c r="T468" s="80" t="n">
        <v>3200</v>
      </c>
      <c r="U468" s="80">
        <f>MAX(0,MIN(100,50+((M468*0.6)+(N468*0.4))*200))</f>
        <v/>
      </c>
      <c r="V468" s="80">
        <f>MAX(20,MIN(100,50+(P468-H468)/P468*100))</f>
        <v/>
      </c>
      <c r="W468" s="80">
        <f>IFERROR(MAX(0,MIN(100,100-LOG10(T468)*16)),60)</f>
        <v/>
      </c>
      <c r="X468" s="80">
        <f>IF(C468="T2",85,IF(C468="T4",70,IF(C468="T1",65,IF(C468="T3",55,45))))</f>
        <v/>
      </c>
      <c r="Y468" s="80">
        <f>U468*0.55+W468*0.20+V468*0.15+X468*0.10+ROW()/1000000</f>
        <v/>
      </c>
      <c r="Z468" s="80">
        <f>IF(Y468&gt;=75,"STRONG BUY",IF(Y468&gt;=60,"BUY",IF(Y468&gt;=40,"HOLD",IF(Y468&gt;=25,"TRIM","SELL"))))</f>
        <v/>
      </c>
      <c r="AA468" s="80" t="inlineStr">
        <is>
          <t>https://www.tcgplayer.com/product/261975</t>
        </is>
      </c>
      <c r="AB468" s="80" t="inlineStr">
        <is>
          <t>BRS Char VSTAR Rainbow. Stable mid-cap.</t>
        </is>
      </c>
    </row>
    <row r="469">
      <c r="A469" s="80" t="inlineStr">
        <is>
          <t>X302</t>
        </is>
      </c>
      <c r="B469" s="80" t="inlineStr">
        <is>
          <t>Modern Chase PSA 10</t>
        </is>
      </c>
      <c r="C469" s="80" t="inlineStr">
        <is>
          <t>T2</t>
        </is>
      </c>
      <c r="D469" s="80" t="inlineStr">
        <is>
          <t>Lugia VSTAR Alt Art (ST) PSA 10</t>
        </is>
      </c>
      <c r="E469" s="80" t="inlineStr">
        <is>
          <t>Silver Tempest</t>
        </is>
      </c>
      <c r="F469" s="80" t="inlineStr">
        <is>
          <t>TG30/TG30</t>
        </is>
      </c>
      <c r="G469" s="80" t="inlineStr">
        <is>
          <t>PSA 10</t>
        </is>
      </c>
      <c r="H469" s="80" t="n">
        <v>470</v>
      </c>
      <c r="I469" s="123" t="n">
        <v>46154</v>
      </c>
      <c r="J469" s="80" t="n">
        <v>458.01</v>
      </c>
      <c r="K469" s="80" t="n">
        <v>435.19</v>
      </c>
      <c r="L469" s="80" t="n">
        <v>400.31</v>
      </c>
      <c r="M469" s="80">
        <f>IFERROR((H469-J469)/J469,0)</f>
        <v/>
      </c>
      <c r="N469" s="80">
        <f>IFERROR((H469-K469)/K469,0)</f>
        <v/>
      </c>
      <c r="O469" s="80">
        <f>IFERROR((H469-L469)/L469,0)</f>
        <v/>
      </c>
      <c r="P469" s="80" t="n">
        <v>360</v>
      </c>
      <c r="Q469" s="80" t="n">
        <v>795</v>
      </c>
      <c r="R469" s="80" t="inlineStr">
        <is>
          <t>3-5yr</t>
        </is>
      </c>
      <c r="S469" s="80" t="n">
        <v>4</v>
      </c>
      <c r="T469" s="80" t="n">
        <v>3800</v>
      </c>
      <c r="U469" s="80">
        <f>MAX(0,MIN(100,50+((M469*0.6)+(N469*0.4))*200))</f>
        <v/>
      </c>
      <c r="V469" s="80">
        <f>MAX(20,MIN(100,50+(P469-H469)/P469*100))</f>
        <v/>
      </c>
      <c r="W469" s="80">
        <f>IFERROR(MAX(0,MIN(100,100-LOG10(T469)*16)),60)</f>
        <v/>
      </c>
      <c r="X469" s="80">
        <f>IF(C469="T2",85,IF(C469="T4",70,IF(C469="T1",65,IF(C469="T3",55,45))))</f>
        <v/>
      </c>
      <c r="Y469" s="80">
        <f>U469*0.55+W469*0.20+V469*0.15+X469*0.10+ROW()/1000000</f>
        <v/>
      </c>
      <c r="Z469" s="80">
        <f>IF(Y469&gt;=75,"STRONG BUY",IF(Y469&gt;=60,"BUY",IF(Y469&gt;=40,"HOLD",IF(Y469&gt;=25,"TRIM","SELL"))))</f>
        <v/>
      </c>
      <c r="AA469" s="80" t="inlineStr">
        <is>
          <t>https://www.tcgplayer.com/product/278920</t>
        </is>
      </c>
      <c r="AB469" s="80" t="inlineStr">
        <is>
          <t>ST Lugia alt.</t>
        </is>
      </c>
    </row>
    <row r="470">
      <c r="A470" s="80" t="inlineStr">
        <is>
          <t>X303</t>
        </is>
      </c>
      <c r="B470" s="80" t="inlineStr">
        <is>
          <t>Modern Chase PSA 10</t>
        </is>
      </c>
      <c r="C470" s="80" t="inlineStr">
        <is>
          <t>T2</t>
        </is>
      </c>
      <c r="D470" s="80" t="inlineStr">
        <is>
          <t>Charizard ex SIR (OF) PSA 10</t>
        </is>
      </c>
      <c r="E470" s="80" t="inlineStr">
        <is>
          <t>Obsidian Flames</t>
        </is>
      </c>
      <c r="F470" s="80" t="inlineStr">
        <is>
          <t>228/197</t>
        </is>
      </c>
      <c r="G470" s="80" t="inlineStr">
        <is>
          <t>PSA 10</t>
        </is>
      </c>
      <c r="H470" s="80" t="n">
        <v>320</v>
      </c>
      <c r="I470" s="123" t="n">
        <v>46154</v>
      </c>
      <c r="J470" s="80" t="n">
        <v>309.5</v>
      </c>
      <c r="K470" s="80" t="n">
        <v>296.3</v>
      </c>
      <c r="L470" s="80" t="n">
        <v>279.51</v>
      </c>
      <c r="M470" s="80">
        <f>IFERROR((H470-J470)/J470,0)</f>
        <v/>
      </c>
      <c r="N470" s="80">
        <f>IFERROR((H470-K470)/K470,0)</f>
        <v/>
      </c>
      <c r="O470" s="80">
        <f>IFERROR((H470-L470)/L470,0)</f>
        <v/>
      </c>
      <c r="P470" s="80" t="n">
        <v>250</v>
      </c>
      <c r="Q470" s="80" t="n">
        <v>540</v>
      </c>
      <c r="R470" s="80" t="inlineStr">
        <is>
          <t>3-5yr</t>
        </is>
      </c>
      <c r="S470" s="80" t="n">
        <v>4</v>
      </c>
      <c r="T470" s="80" t="n">
        <v>2200</v>
      </c>
      <c r="U470" s="80">
        <f>MAX(0,MIN(100,50+((M470*0.6)+(N470*0.4))*200))</f>
        <v/>
      </c>
      <c r="V470" s="80">
        <f>MAX(20,MIN(100,50+(P470-H470)/P470*100))</f>
        <v/>
      </c>
      <c r="W470" s="80">
        <f>IFERROR(MAX(0,MIN(100,100-LOG10(T470)*16)),60)</f>
        <v/>
      </c>
      <c r="X470" s="80">
        <f>IF(C470="T2",85,IF(C470="T4",70,IF(C470="T1",65,IF(C470="T3",55,45))))</f>
        <v/>
      </c>
      <c r="Y470" s="80">
        <f>U470*0.55+W470*0.20+V470*0.15+X470*0.10+ROW()/1000000</f>
        <v/>
      </c>
      <c r="Z470" s="80">
        <f>IF(Y470&gt;=75,"STRONG BUY",IF(Y470&gt;=60,"BUY",IF(Y470&gt;=40,"HOLD",IF(Y470&gt;=25,"TRIM","SELL"))))</f>
        <v/>
      </c>
      <c r="AA470" s="80" t="inlineStr">
        <is>
          <t>https://www.tcgplayer.com/product/521988</t>
        </is>
      </c>
      <c r="AB470" s="80" t="inlineStr">
        <is>
          <t>OF Char ex SIR — bullish set.</t>
        </is>
      </c>
    </row>
    <row r="471">
      <c r="A471" s="80" t="inlineStr">
        <is>
          <t>X304</t>
        </is>
      </c>
      <c r="B471" s="80" t="inlineStr">
        <is>
          <t>Modern Chase PSA 10</t>
        </is>
      </c>
      <c r="C471" s="80" t="inlineStr">
        <is>
          <t>T2</t>
        </is>
      </c>
      <c r="D471" s="80" t="inlineStr">
        <is>
          <t>Greninja ex SIR (TWM) PSA 10</t>
        </is>
      </c>
      <c r="E471" s="80" t="inlineStr">
        <is>
          <t>Twilight Masquerade</t>
        </is>
      </c>
      <c r="F471" s="80" t="inlineStr">
        <is>
          <t>232/167</t>
        </is>
      </c>
      <c r="G471" s="80" t="inlineStr">
        <is>
          <t>PSA 10</t>
        </is>
      </c>
      <c r="H471" s="80" t="n">
        <v>410</v>
      </c>
      <c r="I471" s="123" t="n">
        <v>46154</v>
      </c>
      <c r="J471" s="80" t="n">
        <v>405.88</v>
      </c>
      <c r="K471" s="80" t="n">
        <v>372.73</v>
      </c>
      <c r="L471" s="80" t="n">
        <v>335.57</v>
      </c>
      <c r="M471" s="80">
        <f>IFERROR((H471-J471)/J471,0)</f>
        <v/>
      </c>
      <c r="N471" s="80">
        <f>IFERROR((H471-K471)/K471,0)</f>
        <v/>
      </c>
      <c r="O471" s="80">
        <f>IFERROR((H471-L471)/L471,0)</f>
        <v/>
      </c>
      <c r="P471" s="80" t="n">
        <v>320</v>
      </c>
      <c r="Q471" s="80" t="n">
        <v>700</v>
      </c>
      <c r="R471" s="80" t="inlineStr">
        <is>
          <t>3-5yr</t>
        </is>
      </c>
      <c r="S471" s="80" t="n">
        <v>4</v>
      </c>
      <c r="T471" s="80" t="n">
        <v>1900</v>
      </c>
      <c r="U471" s="80">
        <f>MAX(0,MIN(100,50+((M471*0.6)+(N471*0.4))*200))</f>
        <v/>
      </c>
      <c r="V471" s="80">
        <f>MAX(20,MIN(100,50+(P471-H471)/P471*100))</f>
        <v/>
      </c>
      <c r="W471" s="80">
        <f>IFERROR(MAX(0,MIN(100,100-LOG10(T471)*16)),60)</f>
        <v/>
      </c>
      <c r="X471" s="80">
        <f>IF(C471="T2",85,IF(C471="T4",70,IF(C471="T1",65,IF(C471="T3",55,45))))</f>
        <v/>
      </c>
      <c r="Y471" s="80">
        <f>U471*0.55+W471*0.20+V471*0.15+X471*0.10+ROW()/1000000</f>
        <v/>
      </c>
      <c r="Z471" s="80">
        <f>IF(Y471&gt;=75,"STRONG BUY",IF(Y471&gt;=60,"BUY",IF(Y471&gt;=40,"HOLD",IF(Y471&gt;=25,"TRIM","SELL"))))</f>
        <v/>
      </c>
      <c r="AA471" s="80" t="inlineStr">
        <is>
          <t>https://www.tcgplayer.com/product/567103</t>
        </is>
      </c>
      <c r="AB471" s="80" t="inlineStr">
        <is>
          <t>TWM Greninja.</t>
        </is>
      </c>
    </row>
    <row r="472">
      <c r="A472" s="80" t="inlineStr">
        <is>
          <t>X305</t>
        </is>
      </c>
      <c r="B472" s="80" t="inlineStr">
        <is>
          <t>Modern Chase PSA 10</t>
        </is>
      </c>
      <c r="C472" s="80" t="inlineStr">
        <is>
          <t>T2</t>
        </is>
      </c>
      <c r="D472" s="80" t="inlineStr">
        <is>
          <t>Iono SIR (PE) PSA 10</t>
        </is>
      </c>
      <c r="E472" s="80" t="inlineStr">
        <is>
          <t>Paldea Evolved</t>
        </is>
      </c>
      <c r="F472" s="80" t="inlineStr">
        <is>
          <t>269/193</t>
        </is>
      </c>
      <c r="G472" s="80" t="inlineStr">
        <is>
          <t>PSA 10</t>
        </is>
      </c>
      <c r="H472" s="80" t="n">
        <v>410</v>
      </c>
      <c r="I472" s="123" t="n">
        <v>46154</v>
      </c>
      <c r="J472" s="80" t="n">
        <v>394.5</v>
      </c>
      <c r="K472" s="80" t="n">
        <v>372.73</v>
      </c>
      <c r="L472" s="80" t="n">
        <v>358.92</v>
      </c>
      <c r="M472" s="80">
        <f>IFERROR((H472-J472)/J472,0)</f>
        <v/>
      </c>
      <c r="N472" s="80">
        <f>IFERROR((H472-K472)/K472,0)</f>
        <v/>
      </c>
      <c r="O472" s="80">
        <f>IFERROR((H472-L472)/L472,0)</f>
        <v/>
      </c>
      <c r="P472" s="80" t="n">
        <v>320</v>
      </c>
      <c r="Q472" s="80" t="n">
        <v>700</v>
      </c>
      <c r="R472" s="80" t="inlineStr">
        <is>
          <t>3-5yr</t>
        </is>
      </c>
      <c r="S472" s="80" t="n">
        <v>4</v>
      </c>
      <c r="T472" s="80" t="n">
        <v>2400</v>
      </c>
      <c r="U472" s="80">
        <f>MAX(0,MIN(100,50+((M472*0.6)+(N472*0.4))*200))</f>
        <v/>
      </c>
      <c r="V472" s="80">
        <f>MAX(20,MIN(100,50+(P472-H472)/P472*100))</f>
        <v/>
      </c>
      <c r="W472" s="80">
        <f>IFERROR(MAX(0,MIN(100,100-LOG10(T472)*16)),60)</f>
        <v/>
      </c>
      <c r="X472" s="80">
        <f>IF(C472="T2",85,IF(C472="T4",70,IF(C472="T1",65,IF(C472="T3",55,45))))</f>
        <v/>
      </c>
      <c r="Y472" s="80">
        <f>U472*0.55+W472*0.20+V472*0.15+X472*0.10+ROW()/1000000</f>
        <v/>
      </c>
      <c r="Z472" s="80">
        <f>IF(Y472&gt;=75,"STRONG BUY",IF(Y472&gt;=60,"BUY",IF(Y472&gt;=40,"HOLD",IF(Y472&gt;=25,"TRIM","SELL"))))</f>
        <v/>
      </c>
      <c r="AA472" s="80" t="inlineStr">
        <is>
          <t>https://www.pricecharting.com/game/pokemon-paldea-evolved/iono-237</t>
        </is>
      </c>
      <c r="AB472" s="80" t="inlineStr">
        <is>
          <t>Iono SIR. Top waifu trainer.</t>
        </is>
      </c>
    </row>
    <row r="473">
      <c r="A473" s="80" t="inlineStr">
        <is>
          <t>X306</t>
        </is>
      </c>
      <c r="B473" s="80" t="inlineStr">
        <is>
          <t>Modern Chase PSA 10</t>
        </is>
      </c>
      <c r="C473" s="80" t="inlineStr">
        <is>
          <t>T2</t>
        </is>
      </c>
      <c r="D473" s="80" t="inlineStr">
        <is>
          <t>Marnie SIR (JT) PSA 10</t>
        </is>
      </c>
      <c r="E473" s="80" t="inlineStr">
        <is>
          <t>Journey Together</t>
        </is>
      </c>
      <c r="F473" s="80" t="inlineStr">
        <is>
          <t>180/159</t>
        </is>
      </c>
      <c r="G473" s="80" t="inlineStr">
        <is>
          <t>PSA 10</t>
        </is>
      </c>
      <c r="H473" s="80" t="n">
        <v>360</v>
      </c>
      <c r="I473" s="123" t="n">
        <v>46154</v>
      </c>
      <c r="J473" s="80" t="n">
        <v>348.46</v>
      </c>
      <c r="K473" s="80" t="n">
        <v>327.27</v>
      </c>
      <c r="L473" s="80" t="n">
        <v>296.29</v>
      </c>
      <c r="M473" s="80">
        <f>IFERROR((H473-J473)/J473,0)</f>
        <v/>
      </c>
      <c r="N473" s="80">
        <f>IFERROR((H473-K473)/K473,0)</f>
        <v/>
      </c>
      <c r="O473" s="80">
        <f>IFERROR((H473-L473)/L473,0)</f>
        <v/>
      </c>
      <c r="P473" s="80" t="n">
        <v>280</v>
      </c>
      <c r="Q473" s="80" t="n">
        <v>615</v>
      </c>
      <c r="R473" s="80" t="inlineStr">
        <is>
          <t>2-5yr</t>
        </is>
      </c>
      <c r="S473" s="80" t="n">
        <v>4</v>
      </c>
      <c r="T473" s="80" t="n">
        <v>1700</v>
      </c>
      <c r="U473" s="80">
        <f>MAX(0,MIN(100,50+((M473*0.6)+(N473*0.4))*200))</f>
        <v/>
      </c>
      <c r="V473" s="80">
        <f>MAX(20,MIN(100,50+(P473-H473)/P473*100))</f>
        <v/>
      </c>
      <c r="W473" s="80">
        <f>IFERROR(MAX(0,MIN(100,100-LOG10(T473)*16)),60)</f>
        <v/>
      </c>
      <c r="X473" s="80">
        <f>IF(C473="T2",85,IF(C473="T4",70,IF(C473="T1",65,IF(C473="T3",55,45))))</f>
        <v/>
      </c>
      <c r="Y473" s="80">
        <f>U473*0.55+W473*0.20+V473*0.15+X473*0.10+ROW()/1000000</f>
        <v/>
      </c>
      <c r="Z473" s="80">
        <f>IF(Y473&gt;=75,"STRONG BUY",IF(Y473&gt;=60,"BUY",IF(Y473&gt;=40,"HOLD",IF(Y473&gt;=25,"TRIM","SELL"))))</f>
        <v/>
      </c>
      <c r="AA473" s="80" t="inlineStr">
        <is>
          <t>https://www.tcgplayer.com/product/645321</t>
        </is>
      </c>
      <c r="AB473" s="80" t="inlineStr">
        <is>
          <t>Marnie reprint chase.</t>
        </is>
      </c>
    </row>
    <row r="474">
      <c r="A474" s="80" t="inlineStr">
        <is>
          <t>X307</t>
        </is>
      </c>
      <c r="B474" s="80" t="inlineStr">
        <is>
          <t>Modern Chase PSA 10</t>
        </is>
      </c>
      <c r="C474" s="80" t="inlineStr">
        <is>
          <t>T2</t>
        </is>
      </c>
      <c r="D474" s="80" t="inlineStr">
        <is>
          <t>Charizard ex SIR (151) PSA 10</t>
        </is>
      </c>
      <c r="E474" s="80" t="inlineStr">
        <is>
          <t>151</t>
        </is>
      </c>
      <c r="F474" s="80" t="inlineStr">
        <is>
          <t>199/165</t>
        </is>
      </c>
      <c r="G474" s="80" t="inlineStr">
        <is>
          <t>PSA 10</t>
        </is>
      </c>
      <c r="H474" s="80" t="n">
        <v>480</v>
      </c>
      <c r="I474" s="123" t="n">
        <v>46154</v>
      </c>
      <c r="J474" s="80" t="n">
        <v>473.48</v>
      </c>
      <c r="K474" s="80" t="n">
        <v>436.36</v>
      </c>
      <c r="L474" s="80" t="n">
        <v>396.94</v>
      </c>
      <c r="M474" s="80">
        <f>IFERROR((H474-J474)/J474,0)</f>
        <v/>
      </c>
      <c r="N474" s="80">
        <f>IFERROR((H474-K474)/K474,0)</f>
        <v/>
      </c>
      <c r="O474" s="80">
        <f>IFERROR((H474-L474)/L474,0)</f>
        <v/>
      </c>
      <c r="P474" s="80" t="n">
        <v>370</v>
      </c>
      <c r="Q474" s="80" t="n">
        <v>815</v>
      </c>
      <c r="R474" s="80" t="inlineStr">
        <is>
          <t>3-5yr</t>
        </is>
      </c>
      <c r="S474" s="80" t="n">
        <v>4</v>
      </c>
      <c r="T474" s="80" t="n">
        <v>1900</v>
      </c>
      <c r="U474" s="80">
        <f>MAX(0,MIN(100,50+((M474*0.6)+(N474*0.4))*200))</f>
        <v/>
      </c>
      <c r="V474" s="80">
        <f>MAX(20,MIN(100,50+(P474-H474)/P474*100))</f>
        <v/>
      </c>
      <c r="W474" s="80">
        <f>IFERROR(MAX(0,MIN(100,100-LOG10(T474)*16)),60)</f>
        <v/>
      </c>
      <c r="X474" s="80">
        <f>IF(C474="T2",85,IF(C474="T4",70,IF(C474="T1",65,IF(C474="T3",55,45))))</f>
        <v/>
      </c>
      <c r="Y474" s="80">
        <f>U474*0.55+W474*0.20+V474*0.15+X474*0.10+ROW()/1000000</f>
        <v/>
      </c>
      <c r="Z474" s="80">
        <f>IF(Y474&gt;=75,"STRONG BUY",IF(Y474&gt;=60,"BUY",IF(Y474&gt;=40,"HOLD",IF(Y474&gt;=25,"TRIM","SELL"))))</f>
        <v/>
      </c>
      <c r="AA474" s="80" t="inlineStr">
        <is>
          <t>https://www.tcgplayer.com/product/498100</t>
        </is>
      </c>
      <c r="AB474" s="80" t="inlineStr">
        <is>
          <t>151 Char ex SIR. Most-flipped 151 card.</t>
        </is>
      </c>
    </row>
    <row r="475">
      <c r="A475" s="80" t="inlineStr">
        <is>
          <t>X308</t>
        </is>
      </c>
      <c r="B475" s="80" t="inlineStr">
        <is>
          <t>Modern Chase PSA 10</t>
        </is>
      </c>
      <c r="C475" s="80" t="inlineStr">
        <is>
          <t>T2</t>
        </is>
      </c>
      <c r="D475" s="80" t="inlineStr">
        <is>
          <t>Charizard ex 199 Alt (151) PSA 10</t>
        </is>
      </c>
      <c r="E475" s="80" t="inlineStr">
        <is>
          <t>151</t>
        </is>
      </c>
      <c r="F475" s="80" t="inlineStr">
        <is>
          <t>183/165</t>
        </is>
      </c>
      <c r="G475" s="80" t="inlineStr">
        <is>
          <t>PSA 10</t>
        </is>
      </c>
      <c r="H475" s="80" t="n">
        <v>350</v>
      </c>
      <c r="I475" s="123" t="n">
        <v>46154</v>
      </c>
      <c r="J475" s="80" t="n">
        <v>341.63</v>
      </c>
      <c r="K475" s="80" t="n">
        <v>324.07</v>
      </c>
      <c r="L475" s="80" t="n">
        <v>313.5</v>
      </c>
      <c r="M475" s="80">
        <f>IFERROR((H475-J475)/J475,0)</f>
        <v/>
      </c>
      <c r="N475" s="80">
        <f>IFERROR((H475-K475)/K475,0)</f>
        <v/>
      </c>
      <c r="O475" s="80">
        <f>IFERROR((H475-L475)/L475,0)</f>
        <v/>
      </c>
      <c r="P475" s="80" t="n">
        <v>270</v>
      </c>
      <c r="Q475" s="80" t="n">
        <v>595</v>
      </c>
      <c r="R475" s="80" t="inlineStr">
        <is>
          <t>3-5yr</t>
        </is>
      </c>
      <c r="S475" s="80" t="n">
        <v>4</v>
      </c>
      <c r="T475" s="80" t="n">
        <v>2400</v>
      </c>
      <c r="U475" s="80">
        <f>MAX(0,MIN(100,50+((M475*0.6)+(N475*0.4))*200))</f>
        <v/>
      </c>
      <c r="V475" s="80">
        <f>MAX(20,MIN(100,50+(P475-H475)/P475*100))</f>
        <v/>
      </c>
      <c r="W475" s="80">
        <f>IFERROR(MAX(0,MIN(100,100-LOG10(T475)*16)),60)</f>
        <v/>
      </c>
      <c r="X475" s="80">
        <f>IF(C475="T2",85,IF(C475="T4",70,IF(C475="T1",65,IF(C475="T3",55,45))))</f>
        <v/>
      </c>
      <c r="Y475" s="80">
        <f>U475*0.55+W475*0.20+V475*0.15+X475*0.10+ROW()/1000000</f>
        <v/>
      </c>
      <c r="Z475" s="80">
        <f>IF(Y475&gt;=75,"STRONG BUY",IF(Y475&gt;=60,"BUY",IF(Y475&gt;=40,"HOLD",IF(Y475&gt;=25,"TRIM","SELL"))))</f>
        <v/>
      </c>
      <c r="AA475" s="80" t="inlineStr">
        <is>
          <t>https://www.tcgplayer.com/product/498084</t>
        </is>
      </c>
      <c r="AB475" s="80" t="inlineStr">
        <is>
          <t>151 Char Full Art.</t>
        </is>
      </c>
    </row>
    <row r="476">
      <c r="A476" s="80" t="inlineStr">
        <is>
          <t>X309</t>
        </is>
      </c>
      <c r="B476" s="80" t="inlineStr">
        <is>
          <t>Modern Chase PSA 10</t>
        </is>
      </c>
      <c r="C476" s="80" t="inlineStr">
        <is>
          <t>T2</t>
        </is>
      </c>
      <c r="D476" s="80" t="inlineStr">
        <is>
          <t>Mew ex SIR (151) PSA 10</t>
        </is>
      </c>
      <c r="E476" s="80" t="inlineStr">
        <is>
          <t>151</t>
        </is>
      </c>
      <c r="F476" s="80" t="inlineStr">
        <is>
          <t>205/165</t>
        </is>
      </c>
      <c r="G476" s="80" t="inlineStr">
        <is>
          <t>PSA 10</t>
        </is>
      </c>
      <c r="H476" s="80" t="n">
        <v>340</v>
      </c>
      <c r="I476" s="123" t="n">
        <v>46154</v>
      </c>
      <c r="J476" s="80" t="n">
        <v>334.9</v>
      </c>
      <c r="K476" s="80" t="n">
        <v>309.09</v>
      </c>
      <c r="L476" s="80" t="n">
        <v>285.51</v>
      </c>
      <c r="M476" s="80">
        <f>IFERROR((H476-J476)/J476,0)</f>
        <v/>
      </c>
      <c r="N476" s="80">
        <f>IFERROR((H476-K476)/K476,0)</f>
        <v/>
      </c>
      <c r="O476" s="80">
        <f>IFERROR((H476-L476)/L476,0)</f>
        <v/>
      </c>
      <c r="P476" s="80" t="n">
        <v>260</v>
      </c>
      <c r="Q476" s="80" t="n">
        <v>580</v>
      </c>
      <c r="R476" s="80" t="inlineStr">
        <is>
          <t>3-5yr</t>
        </is>
      </c>
      <c r="S476" s="80" t="n">
        <v>4</v>
      </c>
      <c r="T476" s="80" t="n">
        <v>1700</v>
      </c>
      <c r="U476" s="80">
        <f>MAX(0,MIN(100,50+((M476*0.6)+(N476*0.4))*200))</f>
        <v/>
      </c>
      <c r="V476" s="80">
        <f>MAX(20,MIN(100,50+(P476-H476)/P476*100))</f>
        <v/>
      </c>
      <c r="W476" s="80">
        <f>IFERROR(MAX(0,MIN(100,100-LOG10(T476)*16)),60)</f>
        <v/>
      </c>
      <c r="X476" s="80">
        <f>IF(C476="T2",85,IF(C476="T4",70,IF(C476="T1",65,IF(C476="T3",55,45))))</f>
        <v/>
      </c>
      <c r="Y476" s="80">
        <f>U476*0.55+W476*0.20+V476*0.15+X476*0.10+ROW()/1000000</f>
        <v/>
      </c>
      <c r="Z476" s="80">
        <f>IF(Y476&gt;=75,"STRONG BUY",IF(Y476&gt;=60,"BUY",IF(Y476&gt;=40,"HOLD",IF(Y476&gt;=25,"TRIM","SELL"))))</f>
        <v/>
      </c>
      <c r="AA476" s="80" t="inlineStr">
        <is>
          <t>https://www.tcgplayer.com/product/498106</t>
        </is>
      </c>
      <c r="AB476" s="80" t="inlineStr">
        <is>
          <t>151 Mew SIR.</t>
        </is>
      </c>
    </row>
    <row r="477">
      <c r="A477" s="80" t="inlineStr">
        <is>
          <t>X310</t>
        </is>
      </c>
      <c r="B477" s="80" t="inlineStr">
        <is>
          <t>Modern Chase PSA 10</t>
        </is>
      </c>
      <c r="C477" s="80" t="inlineStr">
        <is>
          <t>T2</t>
        </is>
      </c>
      <c r="D477" s="80" t="inlineStr">
        <is>
          <t>Marnie Sword &amp; Shield Full Art PSA 10</t>
        </is>
      </c>
      <c r="E477" s="80" t="inlineStr">
        <is>
          <t>Sword &amp; Shield</t>
        </is>
      </c>
      <c r="F477" s="80" t="inlineStr">
        <is>
          <t>200/202</t>
        </is>
      </c>
      <c r="G477" s="80" t="inlineStr">
        <is>
          <t>PSA 10</t>
        </is>
      </c>
      <c r="H477" s="80" t="n">
        <v>320</v>
      </c>
      <c r="I477" s="123" t="n">
        <v>46154</v>
      </c>
      <c r="J477" s="80" t="n">
        <v>316.27</v>
      </c>
      <c r="K477" s="80" t="n">
        <v>301.89</v>
      </c>
      <c r="L477" s="80" t="n">
        <v>272.01</v>
      </c>
      <c r="M477" s="80">
        <f>IFERROR((H477-J477)/J477,0)</f>
        <v/>
      </c>
      <c r="N477" s="80">
        <f>IFERROR((H477-K477)/K477,0)</f>
        <v/>
      </c>
      <c r="O477" s="80">
        <f>IFERROR((H477-L477)/L477,0)</f>
        <v/>
      </c>
      <c r="P477" s="80" t="n">
        <v>250</v>
      </c>
      <c r="Q477" s="80" t="n">
        <v>540</v>
      </c>
      <c r="R477" s="80" t="inlineStr">
        <is>
          <t>3-5yr</t>
        </is>
      </c>
      <c r="S477" s="80" t="n">
        <v>4</v>
      </c>
      <c r="T477" s="80" t="n">
        <v>1400</v>
      </c>
      <c r="U477" s="80">
        <f>MAX(0,MIN(100,50+((M477*0.6)+(N477*0.4))*200))</f>
        <v/>
      </c>
      <c r="V477" s="80">
        <f>MAX(20,MIN(100,50+(P477-H477)/P477*100))</f>
        <v/>
      </c>
      <c r="W477" s="80">
        <f>IFERROR(MAX(0,MIN(100,100-LOG10(T477)*16)),60)</f>
        <v/>
      </c>
      <c r="X477" s="80">
        <f>IF(C477="T2",85,IF(C477="T4",70,IF(C477="T1",65,IF(C477="T3",55,45))))</f>
        <v/>
      </c>
      <c r="Y477" s="80">
        <f>U477*0.55+W477*0.20+V477*0.15+X477*0.10+ROW()/1000000</f>
        <v/>
      </c>
      <c r="Z477" s="80">
        <f>IF(Y477&gt;=75,"STRONG BUY",IF(Y477&gt;=60,"BUY",IF(Y477&gt;=40,"HOLD",IF(Y477&gt;=25,"TRIM","SELL"))))</f>
        <v/>
      </c>
      <c r="AA477" s="80" t="inlineStr">
        <is>
          <t>https://www.pricecharting.com/game/pokemon-sword-and-shield/marnie-full-art-200</t>
        </is>
      </c>
      <c r="AB477" s="80" t="inlineStr">
        <is>
          <t>OG Marnie. Prototype trainer waifu.</t>
        </is>
      </c>
    </row>
    <row r="478">
      <c r="A478" s="80" t="inlineStr">
        <is>
          <t>X311</t>
        </is>
      </c>
      <c r="B478" s="80" t="inlineStr">
        <is>
          <t>Modern Chase PSA 10</t>
        </is>
      </c>
      <c r="C478" s="80" t="inlineStr">
        <is>
          <t>T2</t>
        </is>
      </c>
      <c r="D478" s="80" t="inlineStr">
        <is>
          <t>Cynthia Full Art (UP) PSA 10</t>
        </is>
      </c>
      <c r="E478" s="80" t="inlineStr">
        <is>
          <t>Ultra Prism</t>
        </is>
      </c>
      <c r="F478" s="80" t="inlineStr">
        <is>
          <t>148/156</t>
        </is>
      </c>
      <c r="G478" s="80" t="inlineStr">
        <is>
          <t>PSA 10</t>
        </is>
      </c>
      <c r="H478" s="80" t="n">
        <v>460</v>
      </c>
      <c r="I478" s="123" t="n">
        <v>46154</v>
      </c>
      <c r="J478" s="80" t="n">
        <v>455.22</v>
      </c>
      <c r="K478" s="80" t="n">
        <v>433.96</v>
      </c>
      <c r="L478" s="80" t="n">
        <v>425.01</v>
      </c>
      <c r="M478" s="80">
        <f>IFERROR((H478-J478)/J478,0)</f>
        <v/>
      </c>
      <c r="N478" s="80">
        <f>IFERROR((H478-K478)/K478,0)</f>
        <v/>
      </c>
      <c r="O478" s="80">
        <f>IFERROR((H478-L478)/L478,0)</f>
        <v/>
      </c>
      <c r="P478" s="80" t="n">
        <v>360</v>
      </c>
      <c r="Q478" s="80" t="n">
        <v>780</v>
      </c>
      <c r="R478" s="80" t="inlineStr">
        <is>
          <t>5-10yr</t>
        </is>
      </c>
      <c r="S478" s="80" t="n">
        <v>4</v>
      </c>
      <c r="T478" s="80" t="n">
        <v>800</v>
      </c>
      <c r="U478" s="80">
        <f>MAX(0,MIN(100,50+((M478*0.6)+(N478*0.4))*200))</f>
        <v/>
      </c>
      <c r="V478" s="80">
        <f>MAX(20,MIN(100,50+(P478-H478)/P478*100))</f>
        <v/>
      </c>
      <c r="W478" s="80">
        <f>IFERROR(MAX(0,MIN(100,100-LOG10(T478)*16)),60)</f>
        <v/>
      </c>
      <c r="X478" s="80">
        <f>IF(C478="T2",85,IF(C478="T4",70,IF(C478="T1",65,IF(C478="T3",55,45))))</f>
        <v/>
      </c>
      <c r="Y478" s="80">
        <f>U478*0.55+W478*0.20+V478*0.15+X478*0.10+ROW()/1000000</f>
        <v/>
      </c>
      <c r="Z478" s="80">
        <f>IF(Y478&gt;=75,"STRONG BUY",IF(Y478&gt;=60,"BUY",IF(Y478&gt;=40,"HOLD",IF(Y478&gt;=25,"TRIM","SELL"))))</f>
        <v/>
      </c>
      <c r="AA478" s="80" t="inlineStr">
        <is>
          <t>https://www.pricecharting.com/game/pokemon-ultra-prism/cynthia-full-art-148</t>
        </is>
      </c>
      <c r="AB478" s="80" t="inlineStr">
        <is>
          <t>Sinnoh champion. Premium price.</t>
        </is>
      </c>
    </row>
    <row r="479">
      <c r="A479" s="80" t="inlineStr">
        <is>
          <t>X312</t>
        </is>
      </c>
      <c r="B479" s="80" t="inlineStr">
        <is>
          <t>Modern Chase PSA 10</t>
        </is>
      </c>
      <c r="C479" s="80" t="inlineStr">
        <is>
          <t>T2</t>
        </is>
      </c>
      <c r="D479" s="80" t="inlineStr">
        <is>
          <t>Charizard VMAX Rainbow CP PSA 10</t>
        </is>
      </c>
      <c r="E479" s="80" t="inlineStr">
        <is>
          <t>Champion's Path</t>
        </is>
      </c>
      <c r="F479" s="80" t="inlineStr">
        <is>
          <t>74/73</t>
        </is>
      </c>
      <c r="G479" s="80" t="inlineStr">
        <is>
          <t>PSA 10</t>
        </is>
      </c>
      <c r="H479" s="80" t="n">
        <v>320</v>
      </c>
      <c r="I479" s="123" t="n">
        <v>46154</v>
      </c>
      <c r="J479" s="80" t="n">
        <v>319.04</v>
      </c>
      <c r="K479" s="80" t="n">
        <v>304.76</v>
      </c>
      <c r="L479" s="80" t="n">
        <v>291.37</v>
      </c>
      <c r="M479" s="80">
        <f>IFERROR((H479-J479)/J479,0)</f>
        <v/>
      </c>
      <c r="N479" s="80">
        <f>IFERROR((H479-K479)/K479,0)</f>
        <v/>
      </c>
      <c r="O479" s="80">
        <f>IFERROR((H479-L479)/L479,0)</f>
        <v/>
      </c>
      <c r="P479" s="80" t="n">
        <v>250</v>
      </c>
      <c r="Q479" s="80" t="n">
        <v>540</v>
      </c>
      <c r="R479" s="80" t="inlineStr">
        <is>
          <t>5-10yr</t>
        </is>
      </c>
      <c r="S479" s="80" t="n">
        <v>4</v>
      </c>
      <c r="T479" s="80" t="n">
        <v>4000</v>
      </c>
      <c r="U479" s="80">
        <f>MAX(0,MIN(100,50+((M479*0.6)+(N479*0.4))*200))</f>
        <v/>
      </c>
      <c r="V479" s="80">
        <f>MAX(20,MIN(100,50+(P479-H479)/P479*100))</f>
        <v/>
      </c>
      <c r="W479" s="80">
        <f>IFERROR(MAX(0,MIN(100,100-LOG10(T479)*16)),60)</f>
        <v/>
      </c>
      <c r="X479" s="80">
        <f>IF(C479="T2",85,IF(C479="T4",70,IF(C479="T1",65,IF(C479="T3",55,45))))</f>
        <v/>
      </c>
      <c r="Y479" s="80">
        <f>U479*0.55+W479*0.20+V479*0.15+X479*0.10+ROW()/1000000</f>
        <v/>
      </c>
      <c r="Z479" s="80">
        <f>IF(Y479&gt;=75,"STRONG BUY",IF(Y479&gt;=60,"BUY",IF(Y479&gt;=40,"HOLD",IF(Y479&gt;=25,"TRIM","SELL"))))</f>
        <v/>
      </c>
      <c r="AA479" s="80" t="inlineStr">
        <is>
          <t>https://www.tcgplayer.com/product/223073</t>
        </is>
      </c>
      <c r="AB479" s="80" t="inlineStr">
        <is>
          <t>Modern Charizard floor.</t>
        </is>
      </c>
    </row>
    <row r="480">
      <c r="A480" s="80" t="inlineStr">
        <is>
          <t>X313</t>
        </is>
      </c>
      <c r="B480" s="80" t="inlineStr">
        <is>
          <t>Sealed Modern</t>
        </is>
      </c>
      <c r="C480" s="80" t="inlineStr">
        <is>
          <t>T3</t>
        </is>
      </c>
      <c r="D480" s="80" t="inlineStr">
        <is>
          <t>151 ETB</t>
        </is>
      </c>
      <c r="E480" s="80" t="inlineStr">
        <is>
          <t>151</t>
        </is>
      </c>
      <c r="F480" s="80" t="inlineStr">
        <is>
          <t>ETB</t>
        </is>
      </c>
      <c r="G480" s="80" t="inlineStr">
        <is>
          <t>Sealed</t>
        </is>
      </c>
      <c r="H480" s="80" t="n">
        <v>280</v>
      </c>
      <c r="I480" s="123" t="n">
        <v>46154</v>
      </c>
      <c r="J480" s="80" t="n">
        <v>274.37</v>
      </c>
      <c r="K480" s="80" t="n">
        <v>254.55</v>
      </c>
      <c r="L480" s="80" t="n">
        <v>230.33</v>
      </c>
      <c r="M480" s="80">
        <f>IFERROR((H480-J480)/J480,0)</f>
        <v/>
      </c>
      <c r="N480" s="80">
        <f>IFERROR((H480-K480)/K480,0)</f>
        <v/>
      </c>
      <c r="O480" s="80">
        <f>IFERROR((H480-L480)/L480,0)</f>
        <v/>
      </c>
      <c r="P480" s="80" t="n">
        <v>215</v>
      </c>
      <c r="Q480" s="80" t="n">
        <v>475</v>
      </c>
      <c r="R480" s="80" t="inlineStr">
        <is>
          <t>3-5yr</t>
        </is>
      </c>
      <c r="S480" s="80" t="n">
        <v>5</v>
      </c>
      <c r="U480" s="80">
        <f>MAX(0,MIN(100,50+((M480*0.6)+(N480*0.4))*200))</f>
        <v/>
      </c>
      <c r="V480" s="80">
        <f>MAX(20,MIN(100,50+(P480-H480)/P480*100))</f>
        <v/>
      </c>
      <c r="W480" s="80">
        <f>IFERROR(MAX(0,MIN(100,100-LOG10(T480)*16)),60)</f>
        <v/>
      </c>
      <c r="X480" s="80">
        <f>IF(C480="T2",85,IF(C480="T4",70,IF(C480="T1",65,IF(C480="T3",55,45))))</f>
        <v/>
      </c>
      <c r="Y480" s="80">
        <f>U480*0.55+W480*0.20+V480*0.15+X480*0.10+ROW()/1000000</f>
        <v/>
      </c>
      <c r="Z480" s="80">
        <f>IF(Y480&gt;=75,"STRONG BUY",IF(Y480&gt;=60,"BUY",IF(Y480&gt;=40,"HOLD",IF(Y480&gt;=25,"TRIM","SELL"))))</f>
        <v/>
      </c>
      <c r="AA480" s="80" t="inlineStr">
        <is>
          <t>https://www.pricecharting.com/game/pokemon-scarlet-violet-151/elite-trainer-box</t>
        </is>
      </c>
      <c r="AB480" s="80" t="inlineStr">
        <is>
          <t>151 ETB. Hottest modern ETB.</t>
        </is>
      </c>
    </row>
    <row r="481">
      <c r="A481" s="80" t="inlineStr">
        <is>
          <t>X314</t>
        </is>
      </c>
      <c r="B481" s="80" t="inlineStr">
        <is>
          <t>Sealed Modern</t>
        </is>
      </c>
      <c r="C481" s="80" t="inlineStr">
        <is>
          <t>T3</t>
        </is>
      </c>
      <c r="D481" s="80" t="inlineStr">
        <is>
          <t>151 Ultra Premium Collection</t>
        </is>
      </c>
      <c r="E481" s="80" t="inlineStr">
        <is>
          <t>151</t>
        </is>
      </c>
      <c r="F481" s="80" t="inlineStr">
        <is>
          <t>UPC</t>
        </is>
      </c>
      <c r="G481" s="80" t="inlineStr">
        <is>
          <t>Sealed</t>
        </is>
      </c>
      <c r="H481" s="80" t="n">
        <v>380</v>
      </c>
      <c r="I481" s="123" t="n">
        <v>46154</v>
      </c>
      <c r="J481" s="80" t="n">
        <v>366.33</v>
      </c>
      <c r="K481" s="80" t="n">
        <v>345.45</v>
      </c>
      <c r="L481" s="80" t="n">
        <v>335.36</v>
      </c>
      <c r="M481" s="80">
        <f>IFERROR((H481-J481)/J481,0)</f>
        <v/>
      </c>
      <c r="N481" s="80">
        <f>IFERROR((H481-K481)/K481,0)</f>
        <v/>
      </c>
      <c r="O481" s="80">
        <f>IFERROR((H481-L481)/L481,0)</f>
        <v/>
      </c>
      <c r="P481" s="80" t="n">
        <v>295</v>
      </c>
      <c r="Q481" s="80" t="n">
        <v>645</v>
      </c>
      <c r="R481" s="80" t="inlineStr">
        <is>
          <t>3-5yr</t>
        </is>
      </c>
      <c r="S481" s="80" t="n">
        <v>5</v>
      </c>
      <c r="U481" s="80">
        <f>MAX(0,MIN(100,50+((M481*0.6)+(N481*0.4))*200))</f>
        <v/>
      </c>
      <c r="V481" s="80">
        <f>MAX(20,MIN(100,50+(P481-H481)/P481*100))</f>
        <v/>
      </c>
      <c r="W481" s="80">
        <f>IFERROR(MAX(0,MIN(100,100-LOG10(T481)*16)),60)</f>
        <v/>
      </c>
      <c r="X481" s="80">
        <f>IF(C481="T2",85,IF(C481="T4",70,IF(C481="T1",65,IF(C481="T3",55,45))))</f>
        <v/>
      </c>
      <c r="Y481" s="80">
        <f>U481*0.55+W481*0.20+V481*0.15+X481*0.10+ROW()/1000000</f>
        <v/>
      </c>
      <c r="Z481" s="80">
        <f>IF(Y481&gt;=75,"STRONG BUY",IF(Y481&gt;=60,"BUY",IF(Y481&gt;=40,"HOLD",IF(Y481&gt;=25,"TRIM","SELL"))))</f>
        <v/>
      </c>
      <c r="AA481" s="80" t="inlineStr">
        <is>
          <t>https://www.pricecharting.com/game/pokemon-scarlet-violet-151/upc</t>
        </is>
      </c>
      <c r="AB481" s="80" t="inlineStr">
        <is>
          <t>151 UPC. Top SV product.</t>
        </is>
      </c>
    </row>
    <row r="482">
      <c r="A482" s="80" t="inlineStr">
        <is>
          <t>X315</t>
        </is>
      </c>
      <c r="B482" s="80" t="inlineStr">
        <is>
          <t>Sealed Modern</t>
        </is>
      </c>
      <c r="C482" s="80" t="inlineStr">
        <is>
          <t>T3</t>
        </is>
      </c>
      <c r="D482" s="80" t="inlineStr">
        <is>
          <t>Hidden Fates Booster Box</t>
        </is>
      </c>
      <c r="E482" s="80" t="inlineStr">
        <is>
          <t>Hidden Fates</t>
        </is>
      </c>
      <c r="F482" s="80" t="inlineStr">
        <is>
          <t>Box</t>
        </is>
      </c>
      <c r="G482" s="80" t="inlineStr">
        <is>
          <t>Sealed</t>
        </is>
      </c>
      <c r="H482" s="80" t="n">
        <v>380</v>
      </c>
      <c r="I482" s="123" t="n">
        <v>46154</v>
      </c>
      <c r="J482" s="80" t="n">
        <v>369.82</v>
      </c>
      <c r="K482" s="80" t="n">
        <v>358.49</v>
      </c>
      <c r="L482" s="80" t="n">
        <v>335.45</v>
      </c>
      <c r="M482" s="80">
        <f>IFERROR((H482-J482)/J482,0)</f>
        <v/>
      </c>
      <c r="N482" s="80">
        <f>IFERROR((H482-K482)/K482,0)</f>
        <v/>
      </c>
      <c r="O482" s="80">
        <f>IFERROR((H482-L482)/L482,0)</f>
        <v/>
      </c>
      <c r="P482" s="80" t="n">
        <v>295</v>
      </c>
      <c r="Q482" s="80" t="n">
        <v>645</v>
      </c>
      <c r="R482" s="80" t="inlineStr">
        <is>
          <t>5-10yr</t>
        </is>
      </c>
      <c r="S482" s="80" t="n">
        <v>4</v>
      </c>
      <c r="U482" s="80">
        <f>MAX(0,MIN(100,50+((M482*0.6)+(N482*0.4))*200))</f>
        <v/>
      </c>
      <c r="V482" s="80">
        <f>MAX(20,MIN(100,50+(P482-H482)/P482*100))</f>
        <v/>
      </c>
      <c r="W482" s="80">
        <f>IFERROR(MAX(0,MIN(100,100-LOG10(T482)*16)),60)</f>
        <v/>
      </c>
      <c r="X482" s="80">
        <f>IF(C482="T2",85,IF(C482="T4",70,IF(C482="T1",65,IF(C482="T3",55,45))))</f>
        <v/>
      </c>
      <c r="Y482" s="80">
        <f>U482*0.55+W482*0.20+V482*0.15+X482*0.10+ROW()/1000000</f>
        <v/>
      </c>
      <c r="Z482" s="80">
        <f>IF(Y482&gt;=75,"STRONG BUY",IF(Y482&gt;=60,"BUY",IF(Y482&gt;=40,"HOLD",IF(Y482&gt;=25,"TRIM","SELL"))))</f>
        <v/>
      </c>
      <c r="AA482" s="80" t="inlineStr">
        <is>
          <t>https://www.pricecharting.com/game/pokemon-hidden-fates/booster-box</t>
        </is>
      </c>
      <c r="AB482" s="80" t="inlineStr">
        <is>
          <t>HF BB. Vintage modern.</t>
        </is>
      </c>
    </row>
    <row r="483">
      <c r="A483" s="80" t="inlineStr">
        <is>
          <t>X316</t>
        </is>
      </c>
      <c r="B483" s="80" t="inlineStr">
        <is>
          <t>Sealed Modern</t>
        </is>
      </c>
      <c r="C483" s="80" t="inlineStr">
        <is>
          <t>T3</t>
        </is>
      </c>
      <c r="D483" s="80" t="inlineStr">
        <is>
          <t>Shining Fates Premium Collection</t>
        </is>
      </c>
      <c r="E483" s="80" t="inlineStr">
        <is>
          <t>Shining Fates</t>
        </is>
      </c>
      <c r="F483" s="80" t="inlineStr">
        <is>
          <t>Premium</t>
        </is>
      </c>
      <c r="G483" s="80" t="inlineStr">
        <is>
          <t>Sealed</t>
        </is>
      </c>
      <c r="H483" s="80" t="n">
        <v>290</v>
      </c>
      <c r="I483" s="123" t="n">
        <v>46154</v>
      </c>
      <c r="J483" s="80" t="n">
        <v>283.67</v>
      </c>
      <c r="K483" s="80" t="n">
        <v>273.58</v>
      </c>
      <c r="L483" s="80" t="n">
        <v>254.88</v>
      </c>
      <c r="M483" s="80">
        <f>IFERROR((H483-J483)/J483,0)</f>
        <v/>
      </c>
      <c r="N483" s="80">
        <f>IFERROR((H483-K483)/K483,0)</f>
        <v/>
      </c>
      <c r="O483" s="80">
        <f>IFERROR((H483-L483)/L483,0)</f>
        <v/>
      </c>
      <c r="P483" s="80" t="n">
        <v>225</v>
      </c>
      <c r="Q483" s="80" t="n">
        <v>490</v>
      </c>
      <c r="R483" s="80" t="inlineStr">
        <is>
          <t>3-5yr</t>
        </is>
      </c>
      <c r="S483" s="80" t="n">
        <v>4</v>
      </c>
      <c r="U483" s="80">
        <f>MAX(0,MIN(100,50+((M483*0.6)+(N483*0.4))*200))</f>
        <v/>
      </c>
      <c r="V483" s="80">
        <f>MAX(20,MIN(100,50+(P483-H483)/P483*100))</f>
        <v/>
      </c>
      <c r="W483" s="80">
        <f>IFERROR(MAX(0,MIN(100,100-LOG10(T483)*16)),60)</f>
        <v/>
      </c>
      <c r="X483" s="80">
        <f>IF(C483="T2",85,IF(C483="T4",70,IF(C483="T1",65,IF(C483="T3",55,45))))</f>
        <v/>
      </c>
      <c r="Y483" s="80">
        <f>U483*0.55+W483*0.20+V483*0.15+X483*0.10+ROW()/1000000</f>
        <v/>
      </c>
      <c r="Z483" s="80">
        <f>IF(Y483&gt;=75,"STRONG BUY",IF(Y483&gt;=60,"BUY",IF(Y483&gt;=40,"HOLD",IF(Y483&gt;=25,"TRIM","SELL"))))</f>
        <v/>
      </c>
      <c r="AA483" s="80" t="inlineStr">
        <is>
          <t>https://www.pricecharting.com/game/pokemon-shining-fates/premium-collection</t>
        </is>
      </c>
      <c r="AB483" s="80" t="inlineStr">
        <is>
          <t>SF premium box.</t>
        </is>
      </c>
    </row>
    <row r="484">
      <c r="A484" s="80" t="inlineStr">
        <is>
          <t>X317</t>
        </is>
      </c>
      <c r="B484" s="80" t="inlineStr">
        <is>
          <t>Sealed Modern</t>
        </is>
      </c>
      <c r="C484" s="80" t="inlineStr">
        <is>
          <t>T3</t>
        </is>
      </c>
      <c r="D484" s="80" t="inlineStr">
        <is>
          <t>Crown Zenith Booster Box</t>
        </is>
      </c>
      <c r="E484" s="80" t="inlineStr">
        <is>
          <t>Crown Zenith</t>
        </is>
      </c>
      <c r="F484" s="80" t="inlineStr">
        <is>
          <t>Box</t>
        </is>
      </c>
      <c r="G484" s="80" t="inlineStr">
        <is>
          <t>Sealed</t>
        </is>
      </c>
      <c r="H484" s="80" t="n">
        <v>320</v>
      </c>
      <c r="I484" s="123" t="n">
        <v>46154</v>
      </c>
      <c r="J484" s="80" t="n">
        <v>314.09</v>
      </c>
      <c r="K484" s="80" t="n">
        <v>290.91</v>
      </c>
      <c r="L484" s="80" t="n">
        <v>280.35</v>
      </c>
      <c r="M484" s="80">
        <f>IFERROR((H484-J484)/J484,0)</f>
        <v/>
      </c>
      <c r="N484" s="80">
        <f>IFERROR((H484-K484)/K484,0)</f>
        <v/>
      </c>
      <c r="O484" s="80">
        <f>IFERROR((H484-L484)/L484,0)</f>
        <v/>
      </c>
      <c r="P484" s="80" t="n">
        <v>250</v>
      </c>
      <c r="Q484" s="80" t="n">
        <v>540</v>
      </c>
      <c r="R484" s="80" t="inlineStr">
        <is>
          <t>3-5yr</t>
        </is>
      </c>
      <c r="S484" s="80" t="n">
        <v>4</v>
      </c>
      <c r="U484" s="80">
        <f>MAX(0,MIN(100,50+((M484*0.6)+(N484*0.4))*200))</f>
        <v/>
      </c>
      <c r="V484" s="80">
        <f>MAX(20,MIN(100,50+(P484-H484)/P484*100))</f>
        <v/>
      </c>
      <c r="W484" s="80">
        <f>IFERROR(MAX(0,MIN(100,100-LOG10(T484)*16)),60)</f>
        <v/>
      </c>
      <c r="X484" s="80">
        <f>IF(C484="T2",85,IF(C484="T4",70,IF(C484="T1",65,IF(C484="T3",55,45))))</f>
        <v/>
      </c>
      <c r="Y484" s="80">
        <f>U484*0.55+W484*0.20+V484*0.15+X484*0.10+ROW()/1000000</f>
        <v/>
      </c>
      <c r="Z484" s="80">
        <f>IF(Y484&gt;=75,"STRONG BUY",IF(Y484&gt;=60,"BUY",IF(Y484&gt;=40,"HOLD",IF(Y484&gt;=25,"TRIM","SELL"))))</f>
        <v/>
      </c>
      <c r="AA484" s="80" t="inlineStr">
        <is>
          <t>https://www.pricecharting.com/game/pokemon-crown-zenith/booster-box</t>
        </is>
      </c>
      <c r="AB484" s="80" t="inlineStr">
        <is>
          <t>CZ BB. Hard to find.</t>
        </is>
      </c>
    </row>
    <row r="485">
      <c r="A485" s="80" t="inlineStr">
        <is>
          <t>X318</t>
        </is>
      </c>
      <c r="B485" s="80" t="inlineStr">
        <is>
          <t>Sealed Modern</t>
        </is>
      </c>
      <c r="C485" s="80" t="inlineStr">
        <is>
          <t>T3</t>
        </is>
      </c>
      <c r="D485" s="80" t="inlineStr">
        <is>
          <t>Pokemon GO Booster Box</t>
        </is>
      </c>
      <c r="E485" s="80" t="inlineStr">
        <is>
          <t>Pokemon GO</t>
        </is>
      </c>
      <c r="F485" s="80" t="inlineStr">
        <is>
          <t>Box</t>
        </is>
      </c>
      <c r="G485" s="80" t="inlineStr">
        <is>
          <t>Sealed</t>
        </is>
      </c>
      <c r="H485" s="80" t="n">
        <v>290</v>
      </c>
      <c r="I485" s="123" t="n">
        <v>46154</v>
      </c>
      <c r="J485" s="80" t="n">
        <v>286.82</v>
      </c>
      <c r="K485" s="80" t="n">
        <v>273.58</v>
      </c>
      <c r="L485" s="80" t="n">
        <v>262.34</v>
      </c>
      <c r="M485" s="80">
        <f>IFERROR((H485-J485)/J485,0)</f>
        <v/>
      </c>
      <c r="N485" s="80">
        <f>IFERROR((H485-K485)/K485,0)</f>
        <v/>
      </c>
      <c r="O485" s="80">
        <f>IFERROR((H485-L485)/L485,0)</f>
        <v/>
      </c>
      <c r="P485" s="80" t="n">
        <v>225</v>
      </c>
      <c r="Q485" s="80" t="n">
        <v>490</v>
      </c>
      <c r="R485" s="80" t="inlineStr">
        <is>
          <t>2-3yr</t>
        </is>
      </c>
      <c r="S485" s="80" t="n">
        <v>3</v>
      </c>
      <c r="U485" s="80">
        <f>MAX(0,MIN(100,50+((M485*0.6)+(N485*0.4))*200))</f>
        <v/>
      </c>
      <c r="V485" s="80">
        <f>MAX(20,MIN(100,50+(P485-H485)/P485*100))</f>
        <v/>
      </c>
      <c r="W485" s="80">
        <f>IFERROR(MAX(0,MIN(100,100-LOG10(T485)*16)),60)</f>
        <v/>
      </c>
      <c r="X485" s="80">
        <f>IF(C485="T2",85,IF(C485="T4",70,IF(C485="T1",65,IF(C485="T3",55,45))))</f>
        <v/>
      </c>
      <c r="Y485" s="80">
        <f>U485*0.55+W485*0.20+V485*0.15+X485*0.10+ROW()/1000000</f>
        <v/>
      </c>
      <c r="Z485" s="80">
        <f>IF(Y485&gt;=75,"STRONG BUY",IF(Y485&gt;=60,"BUY",IF(Y485&gt;=40,"HOLD",IF(Y485&gt;=25,"TRIM","SELL"))))</f>
        <v/>
      </c>
      <c r="AA485" s="80" t="inlineStr">
        <is>
          <t>https://www.pricecharting.com/game/pokemon-pokemon-go/booster-box</t>
        </is>
      </c>
      <c r="AB485" s="80" t="inlineStr">
        <is>
          <t>GO BB.</t>
        </is>
      </c>
    </row>
    <row r="486">
      <c r="A486" s="80" t="inlineStr">
        <is>
          <t>X319</t>
        </is>
      </c>
      <c r="B486" s="80" t="inlineStr">
        <is>
          <t>Sealed Modern</t>
        </is>
      </c>
      <c r="C486" s="80" t="inlineStr">
        <is>
          <t>T3</t>
        </is>
      </c>
      <c r="D486" s="80" t="inlineStr">
        <is>
          <t>Champion's Path ETB</t>
        </is>
      </c>
      <c r="E486" s="80" t="inlineStr">
        <is>
          <t>Champion's Path</t>
        </is>
      </c>
      <c r="F486" s="80" t="inlineStr">
        <is>
          <t>ETB</t>
        </is>
      </c>
      <c r="G486" s="80" t="inlineStr">
        <is>
          <t>Sealed</t>
        </is>
      </c>
      <c r="H486" s="80" t="n">
        <v>270</v>
      </c>
      <c r="I486" s="123" t="n">
        <v>46154</v>
      </c>
      <c r="J486" s="80" t="n">
        <v>266.53</v>
      </c>
      <c r="K486" s="80" t="n">
        <v>257.14</v>
      </c>
      <c r="L486" s="80" t="n">
        <v>233.38</v>
      </c>
      <c r="M486" s="80">
        <f>IFERROR((H486-J486)/J486,0)</f>
        <v/>
      </c>
      <c r="N486" s="80">
        <f>IFERROR((H486-K486)/K486,0)</f>
        <v/>
      </c>
      <c r="O486" s="80">
        <f>IFERROR((H486-L486)/L486,0)</f>
        <v/>
      </c>
      <c r="P486" s="80" t="n">
        <v>210</v>
      </c>
      <c r="Q486" s="80" t="n">
        <v>460</v>
      </c>
      <c r="R486" s="80" t="inlineStr">
        <is>
          <t>5-10yr</t>
        </is>
      </c>
      <c r="S486" s="80" t="n">
        <v>4</v>
      </c>
      <c r="U486" s="80">
        <f>MAX(0,MIN(100,50+((M486*0.6)+(N486*0.4))*200))</f>
        <v/>
      </c>
      <c r="V486" s="80">
        <f>MAX(20,MIN(100,50+(P486-H486)/P486*100))</f>
        <v/>
      </c>
      <c r="W486" s="80">
        <f>IFERROR(MAX(0,MIN(100,100-LOG10(T486)*16)),60)</f>
        <v/>
      </c>
      <c r="X486" s="80">
        <f>IF(C486="T2",85,IF(C486="T4",70,IF(C486="T1",65,IF(C486="T3",55,45))))</f>
        <v/>
      </c>
      <c r="Y486" s="80">
        <f>U486*0.55+W486*0.20+V486*0.15+X486*0.10+ROW()/1000000</f>
        <v/>
      </c>
      <c r="Z486" s="80">
        <f>IF(Y486&gt;=75,"STRONG BUY",IF(Y486&gt;=60,"BUY",IF(Y486&gt;=40,"HOLD",IF(Y486&gt;=25,"TRIM","SELL"))))</f>
        <v/>
      </c>
      <c r="AA486" s="80" t="inlineStr">
        <is>
          <t>https://www.pricecharting.com/game/pokemon-champions-path/etb</t>
        </is>
      </c>
      <c r="AB486" s="80" t="inlineStr">
        <is>
          <t>CP ETB. OOP. Charizard chase.</t>
        </is>
      </c>
    </row>
    <row r="487">
      <c r="A487" s="80" t="inlineStr">
        <is>
          <t>X320</t>
        </is>
      </c>
      <c r="B487" s="80" t="inlineStr">
        <is>
          <t>Sealed Modern</t>
        </is>
      </c>
      <c r="C487" s="80" t="inlineStr">
        <is>
          <t>T3</t>
        </is>
      </c>
      <c r="D487" s="80" t="inlineStr">
        <is>
          <t>Evolving Skies Premium Collection</t>
        </is>
      </c>
      <c r="E487" s="80" t="inlineStr">
        <is>
          <t>Evolving Skies</t>
        </is>
      </c>
      <c r="F487" s="80" t="inlineStr">
        <is>
          <t>Premium</t>
        </is>
      </c>
      <c r="G487" s="80" t="inlineStr">
        <is>
          <t>Sealed</t>
        </is>
      </c>
      <c r="H487" s="80" t="n">
        <v>360</v>
      </c>
      <c r="I487" s="123" t="n">
        <v>46154</v>
      </c>
      <c r="J487" s="80" t="n">
        <v>354.74</v>
      </c>
      <c r="K487" s="80" t="n">
        <v>327.27</v>
      </c>
      <c r="L487" s="80" t="n">
        <v>318.31</v>
      </c>
      <c r="M487" s="80">
        <f>IFERROR((H487-J487)/J487,0)</f>
        <v/>
      </c>
      <c r="N487" s="80">
        <f>IFERROR((H487-K487)/K487,0)</f>
        <v/>
      </c>
      <c r="O487" s="80">
        <f>IFERROR((H487-L487)/L487,0)</f>
        <v/>
      </c>
      <c r="P487" s="80" t="n">
        <v>280</v>
      </c>
      <c r="Q487" s="80" t="n">
        <v>615</v>
      </c>
      <c r="R487" s="80" t="inlineStr">
        <is>
          <t>5-10yr</t>
        </is>
      </c>
      <c r="S487" s="80" t="n">
        <v>4</v>
      </c>
      <c r="U487" s="80">
        <f>MAX(0,MIN(100,50+((M487*0.6)+(N487*0.4))*200))</f>
        <v/>
      </c>
      <c r="V487" s="80">
        <f>MAX(20,MIN(100,50+(P487-H487)/P487*100))</f>
        <v/>
      </c>
      <c r="W487" s="80">
        <f>IFERROR(MAX(0,MIN(100,100-LOG10(T487)*16)),60)</f>
        <v/>
      </c>
      <c r="X487" s="80">
        <f>IF(C487="T2",85,IF(C487="T4",70,IF(C487="T1",65,IF(C487="T3",55,45))))</f>
        <v/>
      </c>
      <c r="Y487" s="80">
        <f>U487*0.55+W487*0.20+V487*0.15+X487*0.10+ROW()/1000000</f>
        <v/>
      </c>
      <c r="Z487" s="80">
        <f>IF(Y487&gt;=75,"STRONG BUY",IF(Y487&gt;=60,"BUY",IF(Y487&gt;=40,"HOLD",IF(Y487&gt;=25,"TRIM","SELL"))))</f>
        <v/>
      </c>
      <c r="AA487" s="80" t="inlineStr">
        <is>
          <t>https://www.pricecharting.com/game/pokemon-evolving-skies/premium-collection</t>
        </is>
      </c>
      <c r="AB487" s="80" t="inlineStr">
        <is>
          <t>ES Premium.</t>
        </is>
      </c>
    </row>
    <row r="488">
      <c r="A488" s="80" t="inlineStr">
        <is>
          <t>X321</t>
        </is>
      </c>
      <c r="B488" s="80" t="inlineStr">
        <is>
          <t>Vintage Graded Singles</t>
        </is>
      </c>
      <c r="C488" s="80" t="inlineStr">
        <is>
          <t>T1</t>
        </is>
      </c>
      <c r="D488" s="80" t="inlineStr">
        <is>
          <t>Charizard Base Shadowless PSA 8</t>
        </is>
      </c>
      <c r="E488" s="80" t="inlineStr">
        <is>
          <t>Base Set Shadowless</t>
        </is>
      </c>
      <c r="F488" s="80" t="inlineStr">
        <is>
          <t>4/102</t>
        </is>
      </c>
      <c r="G488" s="80" t="inlineStr">
        <is>
          <t>PSA 8</t>
        </is>
      </c>
      <c r="H488" s="80" t="n">
        <v>480</v>
      </c>
      <c r="I488" s="123" t="n">
        <v>46154</v>
      </c>
      <c r="J488" s="80" t="n">
        <v>471.7</v>
      </c>
      <c r="K488" s="80" t="n">
        <v>452.83</v>
      </c>
      <c r="L488" s="80" t="n">
        <v>433.75</v>
      </c>
      <c r="M488" s="80">
        <f>IFERROR((H488-J488)/J488,0)</f>
        <v/>
      </c>
      <c r="N488" s="80">
        <f>IFERROR((H488-K488)/K488,0)</f>
        <v/>
      </c>
      <c r="O488" s="80">
        <f>IFERROR((H488-L488)/L488,0)</f>
        <v/>
      </c>
      <c r="P488" s="80" t="n">
        <v>370</v>
      </c>
      <c r="Q488" s="80" t="n">
        <v>815</v>
      </c>
      <c r="R488" s="80" t="inlineStr">
        <is>
          <t>5-10yr</t>
        </is>
      </c>
      <c r="S488" s="80" t="n">
        <v>4</v>
      </c>
      <c r="T488" s="80" t="n">
        <v>2400</v>
      </c>
      <c r="U488" s="80">
        <f>MAX(0,MIN(100,50+((M488*0.6)+(N488*0.4))*200))</f>
        <v/>
      </c>
      <c r="V488" s="80">
        <f>MAX(20,MIN(100,50+(P488-H488)/P488*100))</f>
        <v/>
      </c>
      <c r="W488" s="80">
        <f>IFERROR(MAX(0,MIN(100,100-LOG10(T488)*16)),60)</f>
        <v/>
      </c>
      <c r="X488" s="80">
        <f>IF(C488="T2",85,IF(C488="T4",70,IF(C488="T1",65,IF(C488="T3",55,45))))</f>
        <v/>
      </c>
      <c r="Y488" s="80">
        <f>U488*0.55+W488*0.20+V488*0.15+X488*0.10+ROW()/1000000</f>
        <v/>
      </c>
      <c r="Z488" s="80">
        <f>IF(Y488&gt;=75,"STRONG BUY",IF(Y488&gt;=60,"BUY",IF(Y488&gt;=40,"HOLD",IF(Y488&gt;=25,"TRIM","SELL"))))</f>
        <v/>
      </c>
      <c r="AA488" s="80" t="inlineStr">
        <is>
          <t>https://www.pricecharting.com/game/pokemon-base-set/charizard-shadowless-4</t>
        </is>
      </c>
      <c r="AB488" s="80" t="inlineStr">
        <is>
          <t>Shadowless Char PSA 8.</t>
        </is>
      </c>
    </row>
    <row r="489">
      <c r="A489" s="80" t="inlineStr">
        <is>
          <t>X322</t>
        </is>
      </c>
      <c r="B489" s="80" t="inlineStr">
        <is>
          <t>Vintage Graded Singles</t>
        </is>
      </c>
      <c r="C489" s="80" t="inlineStr">
        <is>
          <t>T1</t>
        </is>
      </c>
      <c r="D489" s="80" t="inlineStr">
        <is>
          <t>Blastoise Base Shadowless PSA 8</t>
        </is>
      </c>
      <c r="E489" s="80" t="inlineStr">
        <is>
          <t>Base Set Shadowless</t>
        </is>
      </c>
      <c r="F489" s="80" t="inlineStr">
        <is>
          <t>2/102</t>
        </is>
      </c>
      <c r="G489" s="80" t="inlineStr">
        <is>
          <t>PSA 8</t>
        </is>
      </c>
      <c r="H489" s="80" t="n">
        <v>290</v>
      </c>
      <c r="I489" s="123" t="n">
        <v>46154</v>
      </c>
      <c r="J489" s="80" t="n">
        <v>282.78</v>
      </c>
      <c r="K489" s="80" t="n">
        <v>278.85</v>
      </c>
      <c r="L489" s="80" t="n">
        <v>256.07</v>
      </c>
      <c r="M489" s="80">
        <f>IFERROR((H489-J489)/J489,0)</f>
        <v/>
      </c>
      <c r="N489" s="80">
        <f>IFERROR((H489-K489)/K489,0)</f>
        <v/>
      </c>
      <c r="O489" s="80">
        <f>IFERROR((H489-L489)/L489,0)</f>
        <v/>
      </c>
      <c r="P489" s="80" t="n">
        <v>225</v>
      </c>
      <c r="Q489" s="80" t="n">
        <v>495</v>
      </c>
      <c r="R489" s="80" t="inlineStr">
        <is>
          <t>5-10yr</t>
        </is>
      </c>
      <c r="S489" s="80" t="n">
        <v>3</v>
      </c>
      <c r="T489" s="80" t="n">
        <v>1900</v>
      </c>
      <c r="U489" s="80">
        <f>MAX(0,MIN(100,50+((M489*0.6)+(N489*0.4))*200))</f>
        <v/>
      </c>
      <c r="V489" s="80">
        <f>MAX(20,MIN(100,50+(P489-H489)/P489*100))</f>
        <v/>
      </c>
      <c r="W489" s="80">
        <f>IFERROR(MAX(0,MIN(100,100-LOG10(T489)*16)),60)</f>
        <v/>
      </c>
      <c r="X489" s="80">
        <f>IF(C489="T2",85,IF(C489="T4",70,IF(C489="T1",65,IF(C489="T3",55,45))))</f>
        <v/>
      </c>
      <c r="Y489" s="80">
        <f>U489*0.55+W489*0.20+V489*0.15+X489*0.10+ROW()/1000000</f>
        <v/>
      </c>
      <c r="Z489" s="80">
        <f>IF(Y489&gt;=75,"STRONG BUY",IF(Y489&gt;=60,"BUY",IF(Y489&gt;=40,"HOLD",IF(Y489&gt;=25,"TRIM","SELL"))))</f>
        <v/>
      </c>
      <c r="AA489" s="80" t="inlineStr">
        <is>
          <t>https://www.pricecharting.com/game/pokemon-base-set/blastoise-shadowless-2</t>
        </is>
      </c>
      <c r="AB489" s="80" t="inlineStr">
        <is>
          <t>Shadowless Blastoise PSA 8.</t>
        </is>
      </c>
    </row>
    <row r="490">
      <c r="A490" s="80" t="inlineStr">
        <is>
          <t>X323</t>
        </is>
      </c>
      <c r="B490" s="80" t="inlineStr">
        <is>
          <t>Vintage Graded Singles</t>
        </is>
      </c>
      <c r="C490" s="80" t="inlineStr">
        <is>
          <t>T1</t>
        </is>
      </c>
      <c r="D490" s="80" t="inlineStr">
        <is>
          <t>Charizard 1st Edition PSA 7</t>
        </is>
      </c>
      <c r="E490" s="80" t="inlineStr">
        <is>
          <t>Base Set 1st Edition</t>
        </is>
      </c>
      <c r="F490" s="80" t="inlineStr">
        <is>
          <t>4/102</t>
        </is>
      </c>
      <c r="G490" s="80" t="inlineStr">
        <is>
          <t>PSA 7</t>
        </is>
      </c>
      <c r="H490" s="80" t="n">
        <v>380</v>
      </c>
      <c r="I490" s="123" t="n">
        <v>46154</v>
      </c>
      <c r="J490" s="80" t="n">
        <v>375.86</v>
      </c>
      <c r="K490" s="80" t="n">
        <v>358.49</v>
      </c>
      <c r="L490" s="80" t="n">
        <v>343.81</v>
      </c>
      <c r="M490" s="80">
        <f>IFERROR((H490-J490)/J490,0)</f>
        <v/>
      </c>
      <c r="N490" s="80">
        <f>IFERROR((H490-K490)/K490,0)</f>
        <v/>
      </c>
      <c r="O490" s="80">
        <f>IFERROR((H490-L490)/L490,0)</f>
        <v/>
      </c>
      <c r="P490" s="80" t="n">
        <v>295</v>
      </c>
      <c r="Q490" s="80" t="n">
        <v>645</v>
      </c>
      <c r="R490" s="80" t="inlineStr">
        <is>
          <t>5-10yr</t>
        </is>
      </c>
      <c r="S490" s="80" t="n">
        <v>3</v>
      </c>
      <c r="T490" s="80" t="n">
        <v>1800</v>
      </c>
      <c r="U490" s="80">
        <f>MAX(0,MIN(100,50+((M490*0.6)+(N490*0.4))*200))</f>
        <v/>
      </c>
      <c r="V490" s="80">
        <f>MAX(20,MIN(100,50+(P490-H490)/P490*100))</f>
        <v/>
      </c>
      <c r="W490" s="80">
        <f>IFERROR(MAX(0,MIN(100,100-LOG10(T490)*16)),60)</f>
        <v/>
      </c>
      <c r="X490" s="80">
        <f>IF(C490="T2",85,IF(C490="T4",70,IF(C490="T1",65,IF(C490="T3",55,45))))</f>
        <v/>
      </c>
      <c r="Y490" s="80">
        <f>U490*0.55+W490*0.20+V490*0.15+X490*0.10+ROW()/1000000</f>
        <v/>
      </c>
      <c r="Z490" s="80">
        <f>IF(Y490&gt;=75,"STRONG BUY",IF(Y490&gt;=60,"BUY",IF(Y490&gt;=40,"HOLD",IF(Y490&gt;=25,"TRIM","SELL"))))</f>
        <v/>
      </c>
      <c r="AA490" s="80" t="inlineStr">
        <is>
          <t>https://www.pricecharting.com/game/pokemon-base-set/charizard-1st-edition-4</t>
        </is>
      </c>
      <c r="AB490" s="80" t="inlineStr">
        <is>
          <t>1st Ed Char PSA 7 — cheap entry.</t>
        </is>
      </c>
    </row>
    <row r="491">
      <c r="A491" s="80" t="inlineStr">
        <is>
          <t>X324</t>
        </is>
      </c>
      <c r="B491" s="80" t="inlineStr">
        <is>
          <t>Vintage Graded Singles</t>
        </is>
      </c>
      <c r="C491" s="80" t="inlineStr">
        <is>
          <t>T1</t>
        </is>
      </c>
      <c r="D491" s="80" t="inlineStr">
        <is>
          <t>Pikachu Promo Birthday PSA 8</t>
        </is>
      </c>
      <c r="E491" s="80" t="inlineStr">
        <is>
          <t>Black Star Promo</t>
        </is>
      </c>
      <c r="F491" s="80" t="inlineStr">
        <is>
          <t>24</t>
        </is>
      </c>
      <c r="G491" s="80" t="inlineStr">
        <is>
          <t>PSA 8</t>
        </is>
      </c>
      <c r="H491" s="80" t="n">
        <v>270</v>
      </c>
      <c r="I491" s="123" t="n">
        <v>46154</v>
      </c>
      <c r="J491" s="80" t="n">
        <v>269.25</v>
      </c>
      <c r="K491" s="80" t="n">
        <v>259.62</v>
      </c>
      <c r="L491" s="80" t="n">
        <v>242.97</v>
      </c>
      <c r="M491" s="80">
        <f>IFERROR((H491-J491)/J491,0)</f>
        <v/>
      </c>
      <c r="N491" s="80">
        <f>IFERROR((H491-K491)/K491,0)</f>
        <v/>
      </c>
      <c r="O491" s="80">
        <f>IFERROR((H491-L491)/L491,0)</f>
        <v/>
      </c>
      <c r="P491" s="80" t="n">
        <v>210</v>
      </c>
      <c r="Q491" s="80" t="n">
        <v>460</v>
      </c>
      <c r="R491" s="80" t="inlineStr">
        <is>
          <t>5-10yr</t>
        </is>
      </c>
      <c r="S491" s="80" t="n">
        <v>3</v>
      </c>
      <c r="T491" s="80" t="n">
        <v>700</v>
      </c>
      <c r="U491" s="80">
        <f>MAX(0,MIN(100,50+((M491*0.6)+(N491*0.4))*200))</f>
        <v/>
      </c>
      <c r="V491" s="80">
        <f>MAX(20,MIN(100,50+(P491-H491)/P491*100))</f>
        <v/>
      </c>
      <c r="W491" s="80">
        <f>IFERROR(MAX(0,MIN(100,100-LOG10(T491)*16)),60)</f>
        <v/>
      </c>
      <c r="X491" s="80">
        <f>IF(C491="T2",85,IF(C491="T4",70,IF(C491="T1",65,IF(C491="T3",55,45))))</f>
        <v/>
      </c>
      <c r="Y491" s="80">
        <f>U491*0.55+W491*0.20+V491*0.15+X491*0.10+ROW()/1000000</f>
        <v/>
      </c>
      <c r="Z491" s="80">
        <f>IF(Y491&gt;=75,"STRONG BUY",IF(Y491&gt;=60,"BUY",IF(Y491&gt;=40,"HOLD",IF(Y491&gt;=25,"TRIM","SELL"))))</f>
        <v/>
      </c>
      <c r="AA491" s="80" t="inlineStr">
        <is>
          <t>https://www.pricecharting.com/game/pokemon-promo/birthday-pikachu-24</t>
        </is>
      </c>
      <c r="AB491" s="80" t="inlineStr">
        <is>
          <t>Birthday Pika PSA 8.</t>
        </is>
      </c>
    </row>
    <row r="492">
      <c r="A492" s="80" t="inlineStr">
        <is>
          <t>X325</t>
        </is>
      </c>
      <c r="B492" s="80" t="inlineStr">
        <is>
          <t>Vintage Graded Singles</t>
        </is>
      </c>
      <c r="C492" s="80" t="inlineStr">
        <is>
          <t>T1</t>
        </is>
      </c>
      <c r="D492" s="80" t="inlineStr">
        <is>
          <t>Charizard Base 2 PSA 9</t>
        </is>
      </c>
      <c r="E492" s="80" t="inlineStr">
        <is>
          <t>Base Set 2</t>
        </is>
      </c>
      <c r="F492" s="80" t="inlineStr">
        <is>
          <t>4/130</t>
        </is>
      </c>
      <c r="G492" s="80" t="inlineStr">
        <is>
          <t>PSA 9</t>
        </is>
      </c>
      <c r="H492" s="80" t="n">
        <v>340</v>
      </c>
      <c r="I492" s="123" t="n">
        <v>46154</v>
      </c>
      <c r="J492" s="80" t="n">
        <v>335.86</v>
      </c>
      <c r="K492" s="80" t="n">
        <v>326.92</v>
      </c>
      <c r="L492" s="80" t="n">
        <v>320.13</v>
      </c>
      <c r="M492" s="80">
        <f>IFERROR((H492-J492)/J492,0)</f>
        <v/>
      </c>
      <c r="N492" s="80">
        <f>IFERROR((H492-K492)/K492,0)</f>
        <v/>
      </c>
      <c r="O492" s="80">
        <f>IFERROR((H492-L492)/L492,0)</f>
        <v/>
      </c>
      <c r="P492" s="80" t="n">
        <v>265</v>
      </c>
      <c r="Q492" s="80" t="n">
        <v>580</v>
      </c>
      <c r="R492" s="80" t="inlineStr">
        <is>
          <t>5-10yr</t>
        </is>
      </c>
      <c r="S492" s="80" t="n">
        <v>3</v>
      </c>
      <c r="T492" s="80" t="n">
        <v>1100</v>
      </c>
      <c r="U492" s="80">
        <f>MAX(0,MIN(100,50+((M492*0.6)+(N492*0.4))*200))</f>
        <v/>
      </c>
      <c r="V492" s="80">
        <f>MAX(20,MIN(100,50+(P492-H492)/P492*100))</f>
        <v/>
      </c>
      <c r="W492" s="80">
        <f>IFERROR(MAX(0,MIN(100,100-LOG10(T492)*16)),60)</f>
        <v/>
      </c>
      <c r="X492" s="80">
        <f>IF(C492="T2",85,IF(C492="T4",70,IF(C492="T1",65,IF(C492="T3",55,45))))</f>
        <v/>
      </c>
      <c r="Y492" s="80">
        <f>U492*0.55+W492*0.20+V492*0.15+X492*0.10+ROW()/1000000</f>
        <v/>
      </c>
      <c r="Z492" s="80">
        <f>IF(Y492&gt;=75,"STRONG BUY",IF(Y492&gt;=60,"BUY",IF(Y492&gt;=40,"HOLD",IF(Y492&gt;=25,"TRIM","SELL"))))</f>
        <v/>
      </c>
      <c r="AA492" s="80" t="inlineStr">
        <is>
          <t>https://www.pricecharting.com/game/pokemon-base-set-2/charizard-4</t>
        </is>
      </c>
      <c r="AB492" s="80" t="inlineStr">
        <is>
          <t>Base 2 Char PSA 9 — bridge tier.</t>
        </is>
      </c>
    </row>
    <row r="493">
      <c r="A493" s="80" t="inlineStr">
        <is>
          <t>X326</t>
        </is>
      </c>
      <c r="B493" s="80" t="inlineStr">
        <is>
          <t>Vintage Graded Singles</t>
        </is>
      </c>
      <c r="C493" s="80" t="inlineStr">
        <is>
          <t>T1</t>
        </is>
      </c>
      <c r="D493" s="80" t="inlineStr">
        <is>
          <t>Shining Charizard Neo Destiny PSA 8</t>
        </is>
      </c>
      <c r="E493" s="80" t="inlineStr">
        <is>
          <t>Neo Destiny</t>
        </is>
      </c>
      <c r="F493" s="80" t="inlineStr">
        <is>
          <t>107/105</t>
        </is>
      </c>
      <c r="G493" s="80" t="inlineStr">
        <is>
          <t>PSA 8</t>
        </is>
      </c>
      <c r="H493" s="80" t="n">
        <v>480</v>
      </c>
      <c r="I493" s="123" t="n">
        <v>46154</v>
      </c>
      <c r="J493" s="80" t="n">
        <v>467.88</v>
      </c>
      <c r="K493" s="80" t="n">
        <v>457.14</v>
      </c>
      <c r="L493" s="80" t="n">
        <v>415.7</v>
      </c>
      <c r="M493" s="80">
        <f>IFERROR((H493-J493)/J493,0)</f>
        <v/>
      </c>
      <c r="N493" s="80">
        <f>IFERROR((H493-K493)/K493,0)</f>
        <v/>
      </c>
      <c r="O493" s="80">
        <f>IFERROR((H493-L493)/L493,0)</f>
        <v/>
      </c>
      <c r="P493" s="80" t="n">
        <v>370</v>
      </c>
      <c r="Q493" s="80" t="n">
        <v>815</v>
      </c>
      <c r="R493" s="80" t="inlineStr">
        <is>
          <t>5-10yr</t>
        </is>
      </c>
      <c r="S493" s="80" t="n">
        <v>4</v>
      </c>
      <c r="T493" s="80" t="n">
        <v>600</v>
      </c>
      <c r="U493" s="80">
        <f>MAX(0,MIN(100,50+((M493*0.6)+(N493*0.4))*200))</f>
        <v/>
      </c>
      <c r="V493" s="80">
        <f>MAX(20,MIN(100,50+(P493-H493)/P493*100))</f>
        <v/>
      </c>
      <c r="W493" s="80">
        <f>IFERROR(MAX(0,MIN(100,100-LOG10(T493)*16)),60)</f>
        <v/>
      </c>
      <c r="X493" s="80">
        <f>IF(C493="T2",85,IF(C493="T4",70,IF(C493="T1",65,IF(C493="T3",55,45))))</f>
        <v/>
      </c>
      <c r="Y493" s="80">
        <f>U493*0.55+W493*0.20+V493*0.15+X493*0.10+ROW()/1000000</f>
        <v/>
      </c>
      <c r="Z493" s="80">
        <f>IF(Y493&gt;=75,"STRONG BUY",IF(Y493&gt;=60,"BUY",IF(Y493&gt;=40,"HOLD",IF(Y493&gt;=25,"TRIM","SELL"))))</f>
        <v/>
      </c>
      <c r="AA493" s="80" t="inlineStr">
        <is>
          <t>https://www.pricecharting.com/game/pokemon-neo-destiny/shining-charizard-107</t>
        </is>
      </c>
      <c r="AB493" s="80" t="inlineStr">
        <is>
          <t>Shining Char PSA 8.</t>
        </is>
      </c>
    </row>
    <row r="494">
      <c r="A494" s="80" t="inlineStr">
        <is>
          <t>X327</t>
        </is>
      </c>
      <c r="B494" s="80" t="inlineStr">
        <is>
          <t>Vintage Graded Singles</t>
        </is>
      </c>
      <c r="C494" s="80" t="inlineStr">
        <is>
          <t>T1</t>
        </is>
      </c>
      <c r="D494" s="80" t="inlineStr">
        <is>
          <t>Shining Magikarp Neo Revelation</t>
        </is>
      </c>
      <c r="E494" s="80" t="inlineStr">
        <is>
          <t>Neo Revelation</t>
        </is>
      </c>
      <c r="F494" s="80" t="inlineStr">
        <is>
          <t>66/64</t>
        </is>
      </c>
      <c r="G494" s="80" t="inlineStr">
        <is>
          <t>PSA 9</t>
        </is>
      </c>
      <c r="H494" s="80" t="n">
        <v>320</v>
      </c>
      <c r="I494" s="123" t="n">
        <v>46154</v>
      </c>
      <c r="J494" s="80" t="n">
        <v>320.68</v>
      </c>
      <c r="K494" s="80" t="n">
        <v>307.69</v>
      </c>
      <c r="L494" s="80" t="n">
        <v>288.11</v>
      </c>
      <c r="M494" s="80">
        <f>IFERROR((H494-J494)/J494,0)</f>
        <v/>
      </c>
      <c r="N494" s="80">
        <f>IFERROR((H494-K494)/K494,0)</f>
        <v/>
      </c>
      <c r="O494" s="80">
        <f>IFERROR((H494-L494)/L494,0)</f>
        <v/>
      </c>
      <c r="P494" s="80" t="n">
        <v>250</v>
      </c>
      <c r="Q494" s="80" t="n">
        <v>540</v>
      </c>
      <c r="R494" s="80" t="inlineStr">
        <is>
          <t>5-10yr</t>
        </is>
      </c>
      <c r="S494" s="80" t="n">
        <v>3</v>
      </c>
      <c r="T494" s="80" t="n">
        <v>250</v>
      </c>
      <c r="U494" s="80">
        <f>MAX(0,MIN(100,50+((M494*0.6)+(N494*0.4))*200))</f>
        <v/>
      </c>
      <c r="V494" s="80">
        <f>MAX(20,MIN(100,50+(P494-H494)/P494*100))</f>
        <v/>
      </c>
      <c r="W494" s="80">
        <f>IFERROR(MAX(0,MIN(100,100-LOG10(T494)*16)),60)</f>
        <v/>
      </c>
      <c r="X494" s="80">
        <f>IF(C494="T2",85,IF(C494="T4",70,IF(C494="T1",65,IF(C494="T3",55,45))))</f>
        <v/>
      </c>
      <c r="Y494" s="80">
        <f>U494*0.55+W494*0.20+V494*0.15+X494*0.10+ROW()/1000000</f>
        <v/>
      </c>
      <c r="Z494" s="80">
        <f>IF(Y494&gt;=75,"STRONG BUY",IF(Y494&gt;=60,"BUY",IF(Y494&gt;=40,"HOLD",IF(Y494&gt;=25,"TRIM","SELL"))))</f>
        <v/>
      </c>
      <c r="AA494" s="80" t="inlineStr">
        <is>
          <t>https://www.pricecharting.com/game/pokemon-neo-revelation/shining-magikarp-66</t>
        </is>
      </c>
      <c r="AB494" s="80" t="inlineStr">
        <is>
          <t>Shining Magikarp PSA 9.</t>
        </is>
      </c>
    </row>
    <row r="495">
      <c r="A495" s="80" t="inlineStr">
        <is>
          <t>X328</t>
        </is>
      </c>
      <c r="B495" s="80" t="inlineStr">
        <is>
          <t>Vintage Graded Singles</t>
        </is>
      </c>
      <c r="C495" s="80" t="inlineStr">
        <is>
          <t>T1</t>
        </is>
      </c>
      <c r="D495" s="80" t="inlineStr">
        <is>
          <t>Shining Gyarados Neo Revelation PSA 9</t>
        </is>
      </c>
      <c r="E495" s="80" t="inlineStr">
        <is>
          <t>Neo Revelation</t>
        </is>
      </c>
      <c r="F495" s="80" t="inlineStr">
        <is>
          <t>65/64</t>
        </is>
      </c>
      <c r="G495" s="80" t="inlineStr">
        <is>
          <t>PSA 9</t>
        </is>
      </c>
      <c r="H495" s="80" t="n">
        <v>410</v>
      </c>
      <c r="I495" s="123" t="n">
        <v>46154</v>
      </c>
      <c r="J495" s="80" t="n">
        <v>408.99</v>
      </c>
      <c r="K495" s="80" t="n">
        <v>390.48</v>
      </c>
      <c r="L495" s="80" t="n">
        <v>364.47</v>
      </c>
      <c r="M495" s="80">
        <f>IFERROR((H495-J495)/J495,0)</f>
        <v/>
      </c>
      <c r="N495" s="80">
        <f>IFERROR((H495-K495)/K495,0)</f>
        <v/>
      </c>
      <c r="O495" s="80">
        <f>IFERROR((H495-L495)/L495,0)</f>
        <v/>
      </c>
      <c r="P495" s="80" t="n">
        <v>320</v>
      </c>
      <c r="Q495" s="80" t="n">
        <v>695</v>
      </c>
      <c r="R495" s="80" t="inlineStr">
        <is>
          <t>5-10yr</t>
        </is>
      </c>
      <c r="S495" s="80" t="n">
        <v>3</v>
      </c>
      <c r="T495" s="80" t="n">
        <v>200</v>
      </c>
      <c r="U495" s="80">
        <f>MAX(0,MIN(100,50+((M495*0.6)+(N495*0.4))*200))</f>
        <v/>
      </c>
      <c r="V495" s="80">
        <f>MAX(20,MIN(100,50+(P495-H495)/P495*100))</f>
        <v/>
      </c>
      <c r="W495" s="80">
        <f>IFERROR(MAX(0,MIN(100,100-LOG10(T495)*16)),60)</f>
        <v/>
      </c>
      <c r="X495" s="80">
        <f>IF(C495="T2",85,IF(C495="T4",70,IF(C495="T1",65,IF(C495="T3",55,45))))</f>
        <v/>
      </c>
      <c r="Y495" s="80">
        <f>U495*0.55+W495*0.20+V495*0.15+X495*0.10+ROW()/1000000</f>
        <v/>
      </c>
      <c r="Z495" s="80">
        <f>IF(Y495&gt;=75,"STRONG BUY",IF(Y495&gt;=60,"BUY",IF(Y495&gt;=40,"HOLD",IF(Y495&gt;=25,"TRIM","SELL"))))</f>
        <v/>
      </c>
      <c r="AA495" s="80" t="inlineStr">
        <is>
          <t>https://www.pricecharting.com/game/pokemon-neo-revelation/shining-gyarados-65</t>
        </is>
      </c>
      <c r="AB495" s="80" t="inlineStr">
        <is>
          <t>Shining Gyarados PSA 9.</t>
        </is>
      </c>
    </row>
    <row r="496">
      <c r="A496" s="80" t="inlineStr">
        <is>
          <t>X329</t>
        </is>
      </c>
      <c r="B496" s="80" t="inlineStr">
        <is>
          <t>Vintage Graded Singles</t>
        </is>
      </c>
      <c r="C496" s="80" t="inlineStr">
        <is>
          <t>T1</t>
        </is>
      </c>
      <c r="D496" s="80" t="inlineStr">
        <is>
          <t>Crystal Charizard Skyridge PSA 7</t>
        </is>
      </c>
      <c r="E496" s="80" t="inlineStr">
        <is>
          <t>Skyridge</t>
        </is>
      </c>
      <c r="F496" s="80" t="inlineStr">
        <is>
          <t>146/144</t>
        </is>
      </c>
      <c r="G496" s="80" t="inlineStr">
        <is>
          <t>PSA 7</t>
        </is>
      </c>
      <c r="H496" s="80" t="n">
        <v>380</v>
      </c>
      <c r="I496" s="123" t="n">
        <v>46154</v>
      </c>
      <c r="J496" s="80" t="n">
        <v>371.24</v>
      </c>
      <c r="K496" s="80" t="n">
        <v>361.9</v>
      </c>
      <c r="L496" s="80" t="n">
        <v>350.98</v>
      </c>
      <c r="M496" s="80">
        <f>IFERROR((H496-J496)/J496,0)</f>
        <v/>
      </c>
      <c r="N496" s="80">
        <f>IFERROR((H496-K496)/K496,0)</f>
        <v/>
      </c>
      <c r="O496" s="80">
        <f>IFERROR((H496-L496)/L496,0)</f>
        <v/>
      </c>
      <c r="P496" s="80" t="n">
        <v>295</v>
      </c>
      <c r="Q496" s="80" t="n">
        <v>645</v>
      </c>
      <c r="R496" s="80" t="inlineStr">
        <is>
          <t>5-10yr</t>
        </is>
      </c>
      <c r="S496" s="80" t="n">
        <v>3</v>
      </c>
      <c r="T496" s="80" t="n">
        <v>110</v>
      </c>
      <c r="U496" s="80">
        <f>MAX(0,MIN(100,50+((M496*0.6)+(N496*0.4))*200))</f>
        <v/>
      </c>
      <c r="V496" s="80">
        <f>MAX(20,MIN(100,50+(P496-H496)/P496*100))</f>
        <v/>
      </c>
      <c r="W496" s="80">
        <f>IFERROR(MAX(0,MIN(100,100-LOG10(T496)*16)),60)</f>
        <v/>
      </c>
      <c r="X496" s="80">
        <f>IF(C496="T2",85,IF(C496="T4",70,IF(C496="T1",65,IF(C496="T3",55,45))))</f>
        <v/>
      </c>
      <c r="Y496" s="80">
        <f>U496*0.55+W496*0.20+V496*0.15+X496*0.10+ROW()/1000000</f>
        <v/>
      </c>
      <c r="Z496" s="80">
        <f>IF(Y496&gt;=75,"STRONG BUY",IF(Y496&gt;=60,"BUY",IF(Y496&gt;=40,"HOLD",IF(Y496&gt;=25,"TRIM","SELL"))))</f>
        <v/>
      </c>
      <c r="AA496" s="80" t="inlineStr">
        <is>
          <t>https://www.pricecharting.com/game/pokemon-skyridge/crystal-charizard-146</t>
        </is>
      </c>
      <c r="AB496" s="80" t="inlineStr">
        <is>
          <t>Crystal Char PSA 7 entry.</t>
        </is>
      </c>
    </row>
    <row r="497">
      <c r="A497" s="80" t="inlineStr">
        <is>
          <t>X401</t>
        </is>
      </c>
      <c r="B497" s="80" t="inlineStr">
        <is>
          <t>Modern Chase PSA 10</t>
        </is>
      </c>
      <c r="C497" s="80" t="inlineStr">
        <is>
          <t>T2</t>
        </is>
      </c>
      <c r="D497" s="80" t="inlineStr">
        <is>
          <t>Moonbreon Alt Art PSA 9</t>
        </is>
      </c>
      <c r="E497" s="80" t="inlineStr">
        <is>
          <t>Evolving Skies</t>
        </is>
      </c>
      <c r="F497" s="80" t="inlineStr">
        <is>
          <t>215/203</t>
        </is>
      </c>
      <c r="G497" s="80" t="inlineStr">
        <is>
          <t>PSA 9</t>
        </is>
      </c>
      <c r="H497" s="80" t="n">
        <v>720</v>
      </c>
      <c r="I497" s="123" t="n">
        <v>46154</v>
      </c>
      <c r="J497" s="80" t="n">
        <v>706.86</v>
      </c>
      <c r="K497" s="80" t="n">
        <v>685.71</v>
      </c>
      <c r="L497" s="80" t="n">
        <v>622.6799999999999</v>
      </c>
      <c r="M497" s="80">
        <f>IFERROR((H497-J497)/J497,0)</f>
        <v/>
      </c>
      <c r="N497" s="80">
        <f>IFERROR((H497-K497)/K497,0)</f>
        <v/>
      </c>
      <c r="O497" s="80">
        <f>IFERROR((H497-L497)/L497,0)</f>
        <v/>
      </c>
      <c r="P497" s="80" t="n">
        <v>560</v>
      </c>
      <c r="Q497" s="80" t="n">
        <v>1220</v>
      </c>
      <c r="R497" s="80" t="inlineStr">
        <is>
          <t>3-5yr</t>
        </is>
      </c>
      <c r="S497" s="80" t="n">
        <v>4</v>
      </c>
      <c r="T497" s="80" t="n">
        <v>6500</v>
      </c>
      <c r="U497" s="80">
        <f>MAX(0,MIN(100,50+((M497*0.6)+(N497*0.4))*200))</f>
        <v/>
      </c>
      <c r="V497" s="80">
        <f>MAX(20,MIN(100,50+(P497-H497)/P497*100))</f>
        <v/>
      </c>
      <c r="W497" s="80">
        <f>IFERROR(MAX(0,MIN(100,100-LOG10(T497)*16)),60)</f>
        <v/>
      </c>
      <c r="X497" s="80">
        <f>IF(C497="T2",85,IF(C497="T4",70,IF(C497="T1",65,IF(C497="T3",55,45))))</f>
        <v/>
      </c>
      <c r="Y497" s="80">
        <f>U497*0.55+W497*0.20+V497*0.15+X497*0.10+ROW()/1000000</f>
        <v/>
      </c>
      <c r="Z497" s="80">
        <f>IF(Y497&gt;=75,"STRONG BUY",IF(Y497&gt;=60,"BUY",IF(Y497&gt;=40,"HOLD",IF(Y497&gt;=25,"TRIM","SELL"))))</f>
        <v/>
      </c>
      <c r="AA497" s="80" t="inlineStr">
        <is>
          <t>https://www.tcgplayer.com/product/246723</t>
        </is>
      </c>
      <c r="AB497" s="80" t="inlineStr">
        <is>
          <t>PSA 9 Moonbreon — cheaper grade.</t>
        </is>
      </c>
    </row>
    <row r="498">
      <c r="A498" s="80" t="inlineStr">
        <is>
          <t>X402</t>
        </is>
      </c>
      <c r="B498" s="80" t="inlineStr">
        <is>
          <t>Modern Chase PSA 10</t>
        </is>
      </c>
      <c r="C498" s="80" t="inlineStr">
        <is>
          <t>T2</t>
        </is>
      </c>
      <c r="D498" s="80" t="inlineStr">
        <is>
          <t>Rayquaza VMAX Alt PSA 9</t>
        </is>
      </c>
      <c r="E498" s="80" t="inlineStr">
        <is>
          <t>Evolving Skies</t>
        </is>
      </c>
      <c r="F498" s="80" t="inlineStr">
        <is>
          <t>218/203</t>
        </is>
      </c>
      <c r="G498" s="80" t="inlineStr">
        <is>
          <t>PSA 9</t>
        </is>
      </c>
      <c r="H498" s="80" t="n">
        <v>580</v>
      </c>
      <c r="I498" s="123" t="n">
        <v>46154</v>
      </c>
      <c r="J498" s="80" t="n">
        <v>577.9</v>
      </c>
      <c r="K498" s="80" t="n">
        <v>552.38</v>
      </c>
      <c r="L498" s="80" t="n">
        <v>503.3</v>
      </c>
      <c r="M498" s="80">
        <f>IFERROR((H498-J498)/J498,0)</f>
        <v/>
      </c>
      <c r="N498" s="80">
        <f>IFERROR((H498-K498)/K498,0)</f>
        <v/>
      </c>
      <c r="O498" s="80">
        <f>IFERROR((H498-L498)/L498,0)</f>
        <v/>
      </c>
      <c r="P498" s="80" t="n">
        <v>450</v>
      </c>
      <c r="Q498" s="80" t="n">
        <v>985</v>
      </c>
      <c r="R498" s="80" t="inlineStr">
        <is>
          <t>3-5yr</t>
        </is>
      </c>
      <c r="S498" s="80" t="n">
        <v>3</v>
      </c>
      <c r="T498" s="80" t="n">
        <v>4800</v>
      </c>
      <c r="U498" s="80">
        <f>MAX(0,MIN(100,50+((M498*0.6)+(N498*0.4))*200))</f>
        <v/>
      </c>
      <c r="V498" s="80">
        <f>MAX(20,MIN(100,50+(P498-H498)/P498*100))</f>
        <v/>
      </c>
      <c r="W498" s="80">
        <f>IFERROR(MAX(0,MIN(100,100-LOG10(T498)*16)),60)</f>
        <v/>
      </c>
      <c r="X498" s="80">
        <f>IF(C498="T2",85,IF(C498="T4",70,IF(C498="T1",65,IF(C498="T3",55,45))))</f>
        <v/>
      </c>
      <c r="Y498" s="80">
        <f>U498*0.55+W498*0.20+V498*0.15+X498*0.10+ROW()/1000000</f>
        <v/>
      </c>
      <c r="Z498" s="80">
        <f>IF(Y498&gt;=75,"STRONG BUY",IF(Y498&gt;=60,"BUY",IF(Y498&gt;=40,"HOLD",IF(Y498&gt;=25,"TRIM","SELL"))))</f>
        <v/>
      </c>
      <c r="AA498" s="80" t="inlineStr">
        <is>
          <t>https://www.tcgplayer.com/product/246726</t>
        </is>
      </c>
      <c r="AB498" s="80" t="inlineStr">
        <is>
          <t>Rayquaza alt PSA 9.</t>
        </is>
      </c>
    </row>
    <row r="499">
      <c r="A499" s="80" t="inlineStr">
        <is>
          <t>X403</t>
        </is>
      </c>
      <c r="B499" s="80" t="inlineStr">
        <is>
          <t>Modern Chase PSA 10</t>
        </is>
      </c>
      <c r="C499" s="80" t="inlineStr">
        <is>
          <t>T2</t>
        </is>
      </c>
      <c r="D499" s="80" t="inlineStr">
        <is>
          <t>Charizard ex SIR (151) PSA 10 — duplicate of M034 alt</t>
        </is>
      </c>
      <c r="E499" s="80" t="inlineStr">
        <is>
          <t>151</t>
        </is>
      </c>
      <c r="F499" s="80" t="inlineStr">
        <is>
          <t>199/165</t>
        </is>
      </c>
      <c r="G499" s="80" t="inlineStr">
        <is>
          <t>PSA 10 BGS 9.5</t>
        </is>
      </c>
      <c r="H499" s="80" t="n">
        <v>950</v>
      </c>
      <c r="I499" s="123" t="n">
        <v>46154</v>
      </c>
      <c r="J499" s="80" t="n">
        <v>942.37</v>
      </c>
      <c r="K499" s="80" t="n">
        <v>879.63</v>
      </c>
      <c r="L499" s="80" t="n">
        <v>847.25</v>
      </c>
      <c r="M499" s="80">
        <f>IFERROR((H499-J499)/J499,0)</f>
        <v/>
      </c>
      <c r="N499" s="80">
        <f>IFERROR((H499-K499)/K499,0)</f>
        <v/>
      </c>
      <c r="O499" s="80">
        <f>IFERROR((H499-L499)/L499,0)</f>
        <v/>
      </c>
      <c r="P499" s="80" t="n">
        <v>740</v>
      </c>
      <c r="Q499" s="80" t="n">
        <v>1610</v>
      </c>
      <c r="R499" s="80" t="inlineStr">
        <is>
          <t>3-5yr</t>
        </is>
      </c>
      <c r="S499" s="80" t="n">
        <v>4</v>
      </c>
      <c r="T499" s="80" t="n">
        <v>1900</v>
      </c>
      <c r="U499" s="80">
        <f>MAX(0,MIN(100,50+((M499*0.6)+(N499*0.4))*200))</f>
        <v/>
      </c>
      <c r="V499" s="80">
        <f>MAX(20,MIN(100,50+(P499-H499)/P499*100))</f>
        <v/>
      </c>
      <c r="W499" s="80">
        <f>IFERROR(MAX(0,MIN(100,100-LOG10(T499)*16)),60)</f>
        <v/>
      </c>
      <c r="X499" s="80">
        <f>IF(C499="T2",85,IF(C499="T4",70,IF(C499="T1",65,IF(C499="T3",55,45))))</f>
        <v/>
      </c>
      <c r="Y499" s="80">
        <f>U499*0.55+W499*0.20+V499*0.15+X499*0.10+ROW()/1000000</f>
        <v/>
      </c>
      <c r="Z499" s="80">
        <f>IF(Y499&gt;=75,"STRONG BUY",IF(Y499&gt;=60,"BUY",IF(Y499&gt;=40,"HOLD",IF(Y499&gt;=25,"TRIM","SELL"))))</f>
        <v/>
      </c>
      <c r="AA499" s="80" t="inlineStr">
        <is>
          <t>https://www.tcgplayer.com/product/498100</t>
        </is>
      </c>
      <c r="AB499" s="80" t="inlineStr">
        <is>
          <t>151 Char ex BGS 9.5 — slightly cheaper than PSA 10.</t>
        </is>
      </c>
    </row>
    <row r="500">
      <c r="A500" s="80" t="inlineStr">
        <is>
          <t>X404</t>
        </is>
      </c>
      <c r="B500" s="80" t="inlineStr">
        <is>
          <t>Modern Chase PSA 10</t>
        </is>
      </c>
      <c r="C500" s="80" t="inlineStr">
        <is>
          <t>T2</t>
        </is>
      </c>
      <c r="D500" s="80" t="inlineStr">
        <is>
          <t>Lillie's Determination SIR (ME01) PSA 10</t>
        </is>
      </c>
      <c r="E500" s="80" t="inlineStr">
        <is>
          <t>Mega Evolution</t>
        </is>
      </c>
      <c r="F500" s="80" t="inlineStr">
        <is>
          <t>184/132</t>
        </is>
      </c>
      <c r="G500" s="80" t="inlineStr">
        <is>
          <t>PSA 10</t>
        </is>
      </c>
      <c r="H500" s="80" t="n">
        <v>520</v>
      </c>
      <c r="I500" s="123" t="n">
        <v>46154</v>
      </c>
      <c r="J500" s="80" t="n">
        <v>490.09</v>
      </c>
      <c r="K500" s="80" t="n">
        <v>433.33</v>
      </c>
      <c r="L500" s="80" t="n">
        <v>421.1</v>
      </c>
      <c r="M500" s="80">
        <f>IFERROR((H500-J500)/J500,0)</f>
        <v/>
      </c>
      <c r="N500" s="80">
        <f>IFERROR((H500-K500)/K500,0)</f>
        <v/>
      </c>
      <c r="O500" s="80">
        <f>IFERROR((H500-L500)/L500,0)</f>
        <v/>
      </c>
      <c r="P500" s="80" t="n">
        <v>400</v>
      </c>
      <c r="Q500" s="80" t="n">
        <v>880</v>
      </c>
      <c r="R500" s="80" t="inlineStr">
        <is>
          <t>1-2yr</t>
        </is>
      </c>
      <c r="S500" s="80" t="n">
        <v>4</v>
      </c>
      <c r="T500" s="80" t="n">
        <v>1100</v>
      </c>
      <c r="U500" s="80">
        <f>MAX(0,MIN(100,50+((M500*0.6)+(N500*0.4))*200))</f>
        <v/>
      </c>
      <c r="V500" s="80">
        <f>MAX(20,MIN(100,50+(P500-H500)/P500*100))</f>
        <v/>
      </c>
      <c r="W500" s="80">
        <f>IFERROR(MAX(0,MIN(100,100-LOG10(T500)*16)),60)</f>
        <v/>
      </c>
      <c r="X500" s="80">
        <f>IF(C500="T2",85,IF(C500="T4",70,IF(C500="T1",65,IF(C500="T3",55,45))))</f>
        <v/>
      </c>
      <c r="Y500" s="80">
        <f>U500*0.55+W500*0.20+V500*0.15+X500*0.10+ROW()/1000000</f>
        <v/>
      </c>
      <c r="Z500" s="80">
        <f>IF(Y500&gt;=75,"STRONG BUY",IF(Y500&gt;=60,"BUY",IF(Y500&gt;=40,"HOLD",IF(Y500&gt;=25,"TRIM","SELL"))))</f>
        <v/>
      </c>
      <c r="AA500" s="80" t="inlineStr">
        <is>
          <t>https://www.tcgplayer.com/product/654523</t>
        </is>
      </c>
      <c r="AB500" s="80" t="inlineStr">
        <is>
          <t>Lillie SIR PSA 10 high tier.</t>
        </is>
      </c>
    </row>
    <row r="501">
      <c r="A501" s="80" t="inlineStr">
        <is>
          <t>X405</t>
        </is>
      </c>
      <c r="B501" s="80" t="inlineStr">
        <is>
          <t>Modern Chase PSA 10</t>
        </is>
      </c>
      <c r="C501" s="80" t="inlineStr">
        <is>
          <t>T2</t>
        </is>
      </c>
      <c r="D501" s="80" t="inlineStr">
        <is>
          <t>Pikachu V-Union Set PSA 10</t>
        </is>
      </c>
      <c r="E501" s="80" t="inlineStr">
        <is>
          <t>SWSH Promos</t>
        </is>
      </c>
      <c r="F501" s="80" t="inlineStr">
        <is>
          <t>212-215</t>
        </is>
      </c>
      <c r="G501" s="80" t="inlineStr">
        <is>
          <t>PSA 10 set of 4</t>
        </is>
      </c>
      <c r="H501" s="80" t="n">
        <v>580</v>
      </c>
      <c r="I501" s="123" t="n">
        <v>46154</v>
      </c>
      <c r="J501" s="80" t="n">
        <v>576.17</v>
      </c>
      <c r="K501" s="80" t="n">
        <v>547.17</v>
      </c>
      <c r="L501" s="80" t="n">
        <v>497.52</v>
      </c>
      <c r="M501" s="80">
        <f>IFERROR((H501-J501)/J501,0)</f>
        <v/>
      </c>
      <c r="N501" s="80">
        <f>IFERROR((H501-K501)/K501,0)</f>
        <v/>
      </c>
      <c r="O501" s="80">
        <f>IFERROR((H501-L501)/L501,0)</f>
        <v/>
      </c>
      <c r="P501" s="80" t="n">
        <v>450</v>
      </c>
      <c r="Q501" s="80" t="n">
        <v>985</v>
      </c>
      <c r="R501" s="80" t="inlineStr">
        <is>
          <t>3-5yr</t>
        </is>
      </c>
      <c r="S501" s="80" t="n">
        <v>4</v>
      </c>
      <c r="T501" s="80" t="n">
        <v>900</v>
      </c>
      <c r="U501" s="80">
        <f>MAX(0,MIN(100,50+((M501*0.6)+(N501*0.4))*200))</f>
        <v/>
      </c>
      <c r="V501" s="80">
        <f>MAX(20,MIN(100,50+(P501-H501)/P501*100))</f>
        <v/>
      </c>
      <c r="W501" s="80">
        <f>IFERROR(MAX(0,MIN(100,100-LOG10(T501)*16)),60)</f>
        <v/>
      </c>
      <c r="X501" s="80">
        <f>IF(C501="T2",85,IF(C501="T4",70,IF(C501="T1",65,IF(C501="T3",55,45))))</f>
        <v/>
      </c>
      <c r="Y501" s="80">
        <f>U501*0.55+W501*0.20+V501*0.15+X501*0.10+ROW()/1000000</f>
        <v/>
      </c>
      <c r="Z501" s="80">
        <f>IF(Y501&gt;=75,"STRONG BUY",IF(Y501&gt;=60,"BUY",IF(Y501&gt;=40,"HOLD",IF(Y501&gt;=25,"TRIM","SELL"))))</f>
        <v/>
      </c>
      <c r="AA501" s="80" t="inlineStr">
        <is>
          <t>https://www.pricecharting.com/game/pokemon-promo/pikachu-v-union</t>
        </is>
      </c>
      <c r="AB501" s="80" t="inlineStr">
        <is>
          <t>V-Union 4-card set PSA 10.</t>
        </is>
      </c>
    </row>
    <row r="502">
      <c r="A502" s="80" t="inlineStr">
        <is>
          <t>X411</t>
        </is>
      </c>
      <c r="B502" s="80" t="inlineStr">
        <is>
          <t>Vintage Graded Singles</t>
        </is>
      </c>
      <c r="C502" s="80" t="inlineStr">
        <is>
          <t>T1</t>
        </is>
      </c>
      <c r="D502" s="80" t="inlineStr">
        <is>
          <t>Charizard Base Unlimited PSA 9</t>
        </is>
      </c>
      <c r="E502" s="80" t="inlineStr">
        <is>
          <t>Base Set</t>
        </is>
      </c>
      <c r="F502" s="80" t="inlineStr">
        <is>
          <t>4/102</t>
        </is>
      </c>
      <c r="G502" s="80" t="inlineStr">
        <is>
          <t>PSA 9</t>
        </is>
      </c>
      <c r="H502" s="80" t="n">
        <v>880</v>
      </c>
      <c r="I502" s="123" t="n">
        <v>46154</v>
      </c>
      <c r="J502" s="80" t="n">
        <v>864.33</v>
      </c>
      <c r="K502" s="80" t="n">
        <v>830.1900000000001</v>
      </c>
      <c r="L502" s="80" t="n">
        <v>772.36</v>
      </c>
      <c r="M502" s="80">
        <f>IFERROR((H502-J502)/J502,0)</f>
        <v/>
      </c>
      <c r="N502" s="80">
        <f>IFERROR((H502-K502)/K502,0)</f>
        <v/>
      </c>
      <c r="O502" s="80">
        <f>IFERROR((H502-L502)/L502,0)</f>
        <v/>
      </c>
      <c r="P502" s="80" t="n">
        <v>690</v>
      </c>
      <c r="Q502" s="80" t="n">
        <v>1495</v>
      </c>
      <c r="R502" s="80" t="inlineStr">
        <is>
          <t>5-10yr</t>
        </is>
      </c>
      <c r="S502" s="80" t="n">
        <v>4</v>
      </c>
      <c r="T502" s="80" t="n">
        <v>4500</v>
      </c>
      <c r="U502" s="80">
        <f>MAX(0,MIN(100,50+((M502*0.6)+(N502*0.4))*200))</f>
        <v/>
      </c>
      <c r="V502" s="80">
        <f>MAX(20,MIN(100,50+(P502-H502)/P502*100))</f>
        <v/>
      </c>
      <c r="W502" s="80">
        <f>IFERROR(MAX(0,MIN(100,100-LOG10(T502)*16)),60)</f>
        <v/>
      </c>
      <c r="X502" s="80">
        <f>IF(C502="T2",85,IF(C502="T4",70,IF(C502="T1",65,IF(C502="T3",55,45))))</f>
        <v/>
      </c>
      <c r="Y502" s="80">
        <f>U502*0.55+W502*0.20+V502*0.15+X502*0.10+ROW()/1000000</f>
        <v/>
      </c>
      <c r="Z502" s="80">
        <f>IF(Y502&gt;=75,"STRONG BUY",IF(Y502&gt;=60,"BUY",IF(Y502&gt;=40,"HOLD",IF(Y502&gt;=25,"TRIM","SELL"))))</f>
        <v/>
      </c>
      <c r="AA502" s="80" t="inlineStr">
        <is>
          <t>https://www.pricecharting.com/game/pokemon-base-set/charizard-4</t>
        </is>
      </c>
      <c r="AB502" s="80" t="inlineStr">
        <is>
          <t>Base Char PSA 9.</t>
        </is>
      </c>
    </row>
    <row r="503">
      <c r="A503" s="80" t="inlineStr">
        <is>
          <t>X412</t>
        </is>
      </c>
      <c r="B503" s="80" t="inlineStr">
        <is>
          <t>Vintage Graded Singles</t>
        </is>
      </c>
      <c r="C503" s="80" t="inlineStr">
        <is>
          <t>T1</t>
        </is>
      </c>
      <c r="D503" s="80" t="inlineStr">
        <is>
          <t>Charizard Base Shadowless PSA 8</t>
        </is>
      </c>
      <c r="E503" s="80" t="inlineStr">
        <is>
          <t>Base Set Shadowless</t>
        </is>
      </c>
      <c r="F503" s="80" t="inlineStr">
        <is>
          <t>4/102</t>
        </is>
      </c>
      <c r="G503" s="80" t="inlineStr">
        <is>
          <t>PSA 8</t>
        </is>
      </c>
      <c r="H503" s="80" t="n">
        <v>980</v>
      </c>
      <c r="I503" s="123" t="n">
        <v>46154</v>
      </c>
      <c r="J503" s="80" t="n">
        <v>957.59</v>
      </c>
      <c r="K503" s="80" t="n">
        <v>933.33</v>
      </c>
      <c r="L503" s="80" t="n">
        <v>845.24</v>
      </c>
      <c r="M503" s="80">
        <f>IFERROR((H503-J503)/J503,0)</f>
        <v/>
      </c>
      <c r="N503" s="80">
        <f>IFERROR((H503-K503)/K503,0)</f>
        <v/>
      </c>
      <c r="O503" s="80">
        <f>IFERROR((H503-L503)/L503,0)</f>
        <v/>
      </c>
      <c r="P503" s="80" t="n">
        <v>760</v>
      </c>
      <c r="Q503" s="80" t="n">
        <v>1665</v>
      </c>
      <c r="R503" s="80" t="inlineStr">
        <is>
          <t>5-10yr</t>
        </is>
      </c>
      <c r="S503" s="80" t="n">
        <v>4</v>
      </c>
      <c r="T503" s="80" t="n">
        <v>2400</v>
      </c>
      <c r="U503" s="80">
        <f>MAX(0,MIN(100,50+((M503*0.6)+(N503*0.4))*200))</f>
        <v/>
      </c>
      <c r="V503" s="80">
        <f>MAX(20,MIN(100,50+(P503-H503)/P503*100))</f>
        <v/>
      </c>
      <c r="W503" s="80">
        <f>IFERROR(MAX(0,MIN(100,100-LOG10(T503)*16)),60)</f>
        <v/>
      </c>
      <c r="X503" s="80">
        <f>IF(C503="T2",85,IF(C503="T4",70,IF(C503="T1",65,IF(C503="T3",55,45))))</f>
        <v/>
      </c>
      <c r="Y503" s="80">
        <f>U503*0.55+W503*0.20+V503*0.15+X503*0.10+ROW()/1000000</f>
        <v/>
      </c>
      <c r="Z503" s="80">
        <f>IF(Y503&gt;=75,"STRONG BUY",IF(Y503&gt;=60,"BUY",IF(Y503&gt;=40,"HOLD",IF(Y503&gt;=25,"TRIM","SELL"))))</f>
        <v/>
      </c>
      <c r="AA503" s="80" t="inlineStr">
        <is>
          <t>https://www.pricecharting.com/game/pokemon-base-set/charizard-shadowless-4</t>
        </is>
      </c>
      <c r="AB503" s="80" t="inlineStr">
        <is>
          <t>Shadowless Char PSA 8 — alt of X321 pricing.</t>
        </is>
      </c>
    </row>
    <row r="504">
      <c r="A504" s="80" t="inlineStr">
        <is>
          <t>X413</t>
        </is>
      </c>
      <c r="B504" s="80" t="inlineStr">
        <is>
          <t>Vintage Graded Singles</t>
        </is>
      </c>
      <c r="C504" s="80" t="inlineStr">
        <is>
          <t>T1</t>
        </is>
      </c>
      <c r="D504" s="80" t="inlineStr">
        <is>
          <t>Charizard 1st Edition PSA 8</t>
        </is>
      </c>
      <c r="E504" s="80" t="inlineStr">
        <is>
          <t>Base Set 1st Edition</t>
        </is>
      </c>
      <c r="F504" s="80" t="inlineStr">
        <is>
          <t>4/102</t>
        </is>
      </c>
      <c r="G504" s="80" t="inlineStr">
        <is>
          <t>PSA 8</t>
        </is>
      </c>
      <c r="H504" s="80" t="n">
        <v>920</v>
      </c>
      <c r="I504" s="123" t="n">
        <v>46154</v>
      </c>
      <c r="J504" s="80" t="n">
        <v>916.26</v>
      </c>
      <c r="K504" s="80" t="n">
        <v>867.92</v>
      </c>
      <c r="L504" s="80" t="n">
        <v>782.78</v>
      </c>
      <c r="M504" s="80">
        <f>IFERROR((H504-J504)/J504,0)</f>
        <v/>
      </c>
      <c r="N504" s="80">
        <f>IFERROR((H504-K504)/K504,0)</f>
        <v/>
      </c>
      <c r="O504" s="80">
        <f>IFERROR((H504-L504)/L504,0)</f>
        <v/>
      </c>
      <c r="P504" s="80" t="n">
        <v>720</v>
      </c>
      <c r="Q504" s="80" t="n">
        <v>1565</v>
      </c>
      <c r="R504" s="80" t="inlineStr">
        <is>
          <t>5-10yr</t>
        </is>
      </c>
      <c r="S504" s="80" t="n">
        <v>4</v>
      </c>
      <c r="T504" s="80" t="n">
        <v>980</v>
      </c>
      <c r="U504" s="80">
        <f>MAX(0,MIN(100,50+((M504*0.6)+(N504*0.4))*200))</f>
        <v/>
      </c>
      <c r="V504" s="80">
        <f>MAX(20,MIN(100,50+(P504-H504)/P504*100))</f>
        <v/>
      </c>
      <c r="W504" s="80">
        <f>IFERROR(MAX(0,MIN(100,100-LOG10(T504)*16)),60)</f>
        <v/>
      </c>
      <c r="X504" s="80">
        <f>IF(C504="T2",85,IF(C504="T4",70,IF(C504="T1",65,IF(C504="T3",55,45))))</f>
        <v/>
      </c>
      <c r="Y504" s="80">
        <f>U504*0.55+W504*0.20+V504*0.15+X504*0.10+ROW()/1000000</f>
        <v/>
      </c>
      <c r="Z504" s="80">
        <f>IF(Y504&gt;=75,"STRONG BUY",IF(Y504&gt;=60,"BUY",IF(Y504&gt;=40,"HOLD",IF(Y504&gt;=25,"TRIM","SELL"))))</f>
        <v/>
      </c>
      <c r="AA504" s="80" t="inlineStr">
        <is>
          <t>https://www.pricecharting.com/game/pokemon-base-set/charizard-1st-edition-4</t>
        </is>
      </c>
      <c r="AB504" s="80" t="inlineStr">
        <is>
          <t>1st Ed Char PSA 8.</t>
        </is>
      </c>
    </row>
    <row r="505">
      <c r="A505" s="80" t="inlineStr">
        <is>
          <t>X414</t>
        </is>
      </c>
      <c r="B505" s="80" t="inlineStr">
        <is>
          <t>Vintage Graded Singles</t>
        </is>
      </c>
      <c r="C505" s="80" t="inlineStr">
        <is>
          <t>T1</t>
        </is>
      </c>
      <c r="D505" s="80" t="inlineStr">
        <is>
          <t>Espeon Gold Star PSA 9</t>
        </is>
      </c>
      <c r="E505" s="80" t="inlineStr">
        <is>
          <t>POP Series 5</t>
        </is>
      </c>
      <c r="F505" s="80" t="inlineStr">
        <is>
          <t>16/17</t>
        </is>
      </c>
      <c r="G505" s="80" t="inlineStr">
        <is>
          <t>PSA 9</t>
        </is>
      </c>
      <c r="H505" s="80" t="n">
        <v>720</v>
      </c>
      <c r="I505" s="123" t="n">
        <v>46154</v>
      </c>
      <c r="J505" s="80" t="n">
        <v>717.71</v>
      </c>
      <c r="K505" s="80" t="n">
        <v>685.71</v>
      </c>
      <c r="L505" s="80" t="n">
        <v>623.65</v>
      </c>
      <c r="M505" s="80">
        <f>IFERROR((H505-J505)/J505,0)</f>
        <v/>
      </c>
      <c r="N505" s="80">
        <f>IFERROR((H505-K505)/K505,0)</f>
        <v/>
      </c>
      <c r="O505" s="80">
        <f>IFERROR((H505-L505)/L505,0)</f>
        <v/>
      </c>
      <c r="P505" s="80" t="n">
        <v>560</v>
      </c>
      <c r="Q505" s="80" t="n">
        <v>1220</v>
      </c>
      <c r="R505" s="80" t="inlineStr">
        <is>
          <t>5-10yr</t>
        </is>
      </c>
      <c r="S505" s="80" t="n">
        <v>4</v>
      </c>
      <c r="T505" s="80" t="n">
        <v>320</v>
      </c>
      <c r="U505" s="80">
        <f>MAX(0,MIN(100,50+((M505*0.6)+(N505*0.4))*200))</f>
        <v/>
      </c>
      <c r="V505" s="80">
        <f>MAX(20,MIN(100,50+(P505-H505)/P505*100))</f>
        <v/>
      </c>
      <c r="W505" s="80">
        <f>IFERROR(MAX(0,MIN(100,100-LOG10(T505)*16)),60)</f>
        <v/>
      </c>
      <c r="X505" s="80">
        <f>IF(C505="T2",85,IF(C505="T4",70,IF(C505="T1",65,IF(C505="T3",55,45))))</f>
        <v/>
      </c>
      <c r="Y505" s="80">
        <f>U505*0.55+W505*0.20+V505*0.15+X505*0.10+ROW()/1000000</f>
        <v/>
      </c>
      <c r="Z505" s="80">
        <f>IF(Y505&gt;=75,"STRONG BUY",IF(Y505&gt;=60,"BUY",IF(Y505&gt;=40,"HOLD",IF(Y505&gt;=25,"TRIM","SELL"))))</f>
        <v/>
      </c>
      <c r="AA505" s="80" t="inlineStr">
        <is>
          <t>https://www.pricecharting.com/game/pokemon-pop-series-5/espeon-gold-star</t>
        </is>
      </c>
      <c r="AB505" s="80" t="inlineStr">
        <is>
          <t>Espeon GS PSA 9 — cheaper grade than POP5.</t>
        </is>
      </c>
    </row>
    <row r="506">
      <c r="A506" s="80" t="inlineStr">
        <is>
          <t>X415</t>
        </is>
      </c>
      <c r="B506" s="80" t="inlineStr">
        <is>
          <t>Vintage Graded Singles</t>
        </is>
      </c>
      <c r="C506" s="80" t="inlineStr">
        <is>
          <t>T1</t>
        </is>
      </c>
      <c r="D506" s="80" t="inlineStr">
        <is>
          <t>Rayquaza Gold Star EX Deoxys</t>
        </is>
      </c>
      <c r="E506" s="80" t="inlineStr">
        <is>
          <t>EX Deoxys</t>
        </is>
      </c>
      <c r="F506" s="80" t="inlineStr">
        <is>
          <t>Gold Star</t>
        </is>
      </c>
      <c r="G506" s="80" t="inlineStr">
        <is>
          <t>PSA 8</t>
        </is>
      </c>
      <c r="H506" s="80" t="n">
        <v>940</v>
      </c>
      <c r="I506" s="123" t="n">
        <v>46154</v>
      </c>
      <c r="J506" s="80" t="n">
        <v>914.85</v>
      </c>
      <c r="K506" s="80" t="n">
        <v>895.24</v>
      </c>
      <c r="L506" s="80" t="n">
        <v>824.58</v>
      </c>
      <c r="M506" s="80">
        <f>IFERROR((H506-J506)/J506,0)</f>
        <v/>
      </c>
      <c r="N506" s="80">
        <f>IFERROR((H506-K506)/K506,0)</f>
        <v/>
      </c>
      <c r="O506" s="80">
        <f>IFERROR((H506-L506)/L506,0)</f>
        <v/>
      </c>
      <c r="P506" s="80" t="n">
        <v>730</v>
      </c>
      <c r="Q506" s="80" t="n">
        <v>1600</v>
      </c>
      <c r="R506" s="80" t="inlineStr">
        <is>
          <t>5-10yr</t>
        </is>
      </c>
      <c r="S506" s="80" t="n">
        <v>4</v>
      </c>
      <c r="T506" s="80" t="n">
        <v>230</v>
      </c>
      <c r="U506" s="80">
        <f>MAX(0,MIN(100,50+((M506*0.6)+(N506*0.4))*200))</f>
        <v/>
      </c>
      <c r="V506" s="80">
        <f>MAX(20,MIN(100,50+(P506-H506)/P506*100))</f>
        <v/>
      </c>
      <c r="W506" s="80">
        <f>IFERROR(MAX(0,MIN(100,100-LOG10(T506)*16)),60)</f>
        <v/>
      </c>
      <c r="X506" s="80">
        <f>IF(C506="T2",85,IF(C506="T4",70,IF(C506="T1",65,IF(C506="T3",55,45))))</f>
        <v/>
      </c>
      <c r="Y506" s="80">
        <f>U506*0.55+W506*0.20+V506*0.15+X506*0.10+ROW()/1000000</f>
        <v/>
      </c>
      <c r="Z506" s="80">
        <f>IF(Y506&gt;=75,"STRONG BUY",IF(Y506&gt;=60,"BUY",IF(Y506&gt;=40,"HOLD",IF(Y506&gt;=25,"TRIM","SELL"))))</f>
        <v/>
      </c>
      <c r="AA506" s="80" t="inlineStr">
        <is>
          <t>https://www.pricecharting.com/game/pokemon-ex-deoxys/rayquaza-gold-star</t>
        </is>
      </c>
      <c r="AB506" s="80" t="inlineStr">
        <is>
          <t>Rayquaza GS PSA 8.</t>
        </is>
      </c>
    </row>
    <row r="507">
      <c r="A507" s="80" t="inlineStr">
        <is>
          <t>X416</t>
        </is>
      </c>
      <c r="B507" s="80" t="inlineStr">
        <is>
          <t>Vintage Graded Singles</t>
        </is>
      </c>
      <c r="C507" s="80" t="inlineStr">
        <is>
          <t>T1</t>
        </is>
      </c>
      <c r="D507" s="80" t="inlineStr">
        <is>
          <t>Mew Gold Star EX Holon</t>
        </is>
      </c>
      <c r="E507" s="80" t="inlineStr">
        <is>
          <t>EX Holon Phantoms</t>
        </is>
      </c>
      <c r="F507" s="80" t="inlineStr">
        <is>
          <t>Gold Star</t>
        </is>
      </c>
      <c r="G507" s="80" t="inlineStr">
        <is>
          <t>PSA 8</t>
        </is>
      </c>
      <c r="H507" s="80" t="n">
        <v>580</v>
      </c>
      <c r="I507" s="123" t="n">
        <v>46154</v>
      </c>
      <c r="J507" s="80" t="n">
        <v>571.28</v>
      </c>
      <c r="K507" s="80" t="n">
        <v>557.6900000000001</v>
      </c>
      <c r="L507" s="80" t="n">
        <v>505.01</v>
      </c>
      <c r="M507" s="80">
        <f>IFERROR((H507-J507)/J507,0)</f>
        <v/>
      </c>
      <c r="N507" s="80">
        <f>IFERROR((H507-K507)/K507,0)</f>
        <v/>
      </c>
      <c r="O507" s="80">
        <f>IFERROR((H507-L507)/L507,0)</f>
        <v/>
      </c>
      <c r="P507" s="80" t="n">
        <v>450</v>
      </c>
      <c r="Q507" s="80" t="n">
        <v>985</v>
      </c>
      <c r="R507" s="80" t="inlineStr">
        <is>
          <t>5-10yr</t>
        </is>
      </c>
      <c r="S507" s="80" t="n">
        <v>3</v>
      </c>
      <c r="T507" s="80" t="n">
        <v>280</v>
      </c>
      <c r="U507" s="80">
        <f>MAX(0,MIN(100,50+((M507*0.6)+(N507*0.4))*200))</f>
        <v/>
      </c>
      <c r="V507" s="80">
        <f>MAX(20,MIN(100,50+(P507-H507)/P507*100))</f>
        <v/>
      </c>
      <c r="W507" s="80">
        <f>IFERROR(MAX(0,MIN(100,100-LOG10(T507)*16)),60)</f>
        <v/>
      </c>
      <c r="X507" s="80">
        <f>IF(C507="T2",85,IF(C507="T4",70,IF(C507="T1",65,IF(C507="T3",55,45))))</f>
        <v/>
      </c>
      <c r="Y507" s="80">
        <f>U507*0.55+W507*0.20+V507*0.15+X507*0.10+ROW()/1000000</f>
        <v/>
      </c>
      <c r="Z507" s="80">
        <f>IF(Y507&gt;=75,"STRONG BUY",IF(Y507&gt;=60,"BUY",IF(Y507&gt;=40,"HOLD",IF(Y507&gt;=25,"TRIM","SELL"))))</f>
        <v/>
      </c>
      <c r="AA507" s="80" t="inlineStr">
        <is>
          <t>https://www.pricecharting.com/game/pokemon-ex-holon-phantoms/mew-gold-star</t>
        </is>
      </c>
      <c r="AB507" s="80" t="inlineStr">
        <is>
          <t>Mew GS PSA 8.</t>
        </is>
      </c>
    </row>
    <row r="508">
      <c r="A508" s="80" t="inlineStr">
        <is>
          <t>X417</t>
        </is>
      </c>
      <c r="B508" s="80" t="inlineStr">
        <is>
          <t>Vintage Graded Singles</t>
        </is>
      </c>
      <c r="C508" s="80" t="inlineStr">
        <is>
          <t>T1</t>
        </is>
      </c>
      <c r="D508" s="80" t="inlineStr">
        <is>
          <t>Glaceon Gold Star DP38 PSA 8</t>
        </is>
      </c>
      <c r="E508" s="80" t="inlineStr">
        <is>
          <t>DP Promo</t>
        </is>
      </c>
      <c r="F508" s="80" t="inlineStr">
        <is>
          <t>DP38</t>
        </is>
      </c>
      <c r="G508" s="80" t="inlineStr">
        <is>
          <t>PSA 8</t>
        </is>
      </c>
      <c r="H508" s="80" t="n">
        <v>580</v>
      </c>
      <c r="I508" s="123" t="n">
        <v>46154</v>
      </c>
      <c r="J508" s="80" t="n">
        <v>578.01</v>
      </c>
      <c r="K508" s="80" t="n">
        <v>552.38</v>
      </c>
      <c r="L508" s="80" t="n">
        <v>503.15</v>
      </c>
      <c r="M508" s="80">
        <f>IFERROR((H508-J508)/J508,0)</f>
        <v/>
      </c>
      <c r="N508" s="80">
        <f>IFERROR((H508-K508)/K508,0)</f>
        <v/>
      </c>
      <c r="O508" s="80">
        <f>IFERROR((H508-L508)/L508,0)</f>
        <v/>
      </c>
      <c r="P508" s="80" t="n">
        <v>450</v>
      </c>
      <c r="Q508" s="80" t="n">
        <v>985</v>
      </c>
      <c r="R508" s="80" t="inlineStr">
        <is>
          <t>5-10yr</t>
        </is>
      </c>
      <c r="S508" s="80" t="n">
        <v>3</v>
      </c>
      <c r="T508" s="80" t="n">
        <v>240</v>
      </c>
      <c r="U508" s="80">
        <f>MAX(0,MIN(100,50+((M508*0.6)+(N508*0.4))*200))</f>
        <v/>
      </c>
      <c r="V508" s="80">
        <f>MAX(20,MIN(100,50+(P508-H508)/P508*100))</f>
        <v/>
      </c>
      <c r="W508" s="80">
        <f>IFERROR(MAX(0,MIN(100,100-LOG10(T508)*16)),60)</f>
        <v/>
      </c>
      <c r="X508" s="80">
        <f>IF(C508="T2",85,IF(C508="T4",70,IF(C508="T1",65,IF(C508="T3",55,45))))</f>
        <v/>
      </c>
      <c r="Y508" s="80">
        <f>U508*0.55+W508*0.20+V508*0.15+X508*0.10+ROW()/1000000</f>
        <v/>
      </c>
      <c r="Z508" s="80">
        <f>IF(Y508&gt;=75,"STRONG BUY",IF(Y508&gt;=60,"BUY",IF(Y508&gt;=40,"HOLD",IF(Y508&gt;=25,"TRIM","SELL"))))</f>
        <v/>
      </c>
      <c r="AA508" s="80" t="inlineStr">
        <is>
          <t>https://www.pricecharting.com/game/pokemon-promo/glaceon-gold-star-dp38</t>
        </is>
      </c>
      <c r="AB508" s="80" t="inlineStr">
        <is>
          <t>Glaceon GS PSA 8.</t>
        </is>
      </c>
    </row>
    <row r="509">
      <c r="A509" s="80" t="inlineStr">
        <is>
          <t>X418</t>
        </is>
      </c>
      <c r="B509" s="80" t="inlineStr">
        <is>
          <t>Vintage Graded Singles</t>
        </is>
      </c>
      <c r="C509" s="80" t="inlineStr">
        <is>
          <t>T1</t>
        </is>
      </c>
      <c r="D509" s="80" t="inlineStr">
        <is>
          <t>Leafeon Gold Star DP37 PSA 8</t>
        </is>
      </c>
      <c r="E509" s="80" t="inlineStr">
        <is>
          <t>DP Promo</t>
        </is>
      </c>
      <c r="F509" s="80" t="inlineStr">
        <is>
          <t>DP37</t>
        </is>
      </c>
      <c r="G509" s="80" t="inlineStr">
        <is>
          <t>PSA 8</t>
        </is>
      </c>
      <c r="H509" s="80" t="n">
        <v>520</v>
      </c>
      <c r="I509" s="123" t="n">
        <v>46154</v>
      </c>
      <c r="J509" s="80" t="n">
        <v>518.35</v>
      </c>
      <c r="K509" s="80" t="n">
        <v>495.24</v>
      </c>
      <c r="L509" s="80" t="n">
        <v>474.76</v>
      </c>
      <c r="M509" s="80">
        <f>IFERROR((H509-J509)/J509,0)</f>
        <v/>
      </c>
      <c r="N509" s="80">
        <f>IFERROR((H509-K509)/K509,0)</f>
        <v/>
      </c>
      <c r="O509" s="80">
        <f>IFERROR((H509-L509)/L509,0)</f>
        <v/>
      </c>
      <c r="P509" s="80" t="n">
        <v>405</v>
      </c>
      <c r="Q509" s="80" t="n">
        <v>885</v>
      </c>
      <c r="R509" s="80" t="inlineStr">
        <is>
          <t>5-10yr</t>
        </is>
      </c>
      <c r="S509" s="80" t="n">
        <v>3</v>
      </c>
      <c r="T509" s="80" t="n">
        <v>220</v>
      </c>
      <c r="U509" s="80">
        <f>MAX(0,MIN(100,50+((M509*0.6)+(N509*0.4))*200))</f>
        <v/>
      </c>
      <c r="V509" s="80">
        <f>MAX(20,MIN(100,50+(P509-H509)/P509*100))</f>
        <v/>
      </c>
      <c r="W509" s="80">
        <f>IFERROR(MAX(0,MIN(100,100-LOG10(T509)*16)),60)</f>
        <v/>
      </c>
      <c r="X509" s="80">
        <f>IF(C509="T2",85,IF(C509="T4",70,IF(C509="T1",65,IF(C509="T3",55,45))))</f>
        <v/>
      </c>
      <c r="Y509" s="80">
        <f>U509*0.55+W509*0.20+V509*0.15+X509*0.10+ROW()/1000000</f>
        <v/>
      </c>
      <c r="Z509" s="80">
        <f>IF(Y509&gt;=75,"STRONG BUY",IF(Y509&gt;=60,"BUY",IF(Y509&gt;=40,"HOLD",IF(Y509&gt;=25,"TRIM","SELL"))))</f>
        <v/>
      </c>
      <c r="AA509" s="80" t="inlineStr">
        <is>
          <t>https://www.pricecharting.com/game/pokemon-promo/leafeon-gold-star-dp37</t>
        </is>
      </c>
      <c r="AB509" s="80" t="inlineStr">
        <is>
          <t>Leafeon GS PSA 8.</t>
        </is>
      </c>
    </row>
    <row r="510">
      <c r="A510" s="80" t="inlineStr">
        <is>
          <t>X419</t>
        </is>
      </c>
      <c r="B510" s="80" t="inlineStr">
        <is>
          <t>Vintage Graded Singles</t>
        </is>
      </c>
      <c r="C510" s="80" t="inlineStr">
        <is>
          <t>T1</t>
        </is>
      </c>
      <c r="D510" s="80" t="inlineStr">
        <is>
          <t>Lugia Neo Genesis 1st Ed PSA 8</t>
        </is>
      </c>
      <c r="E510" s="80" t="inlineStr">
        <is>
          <t>Neo Genesis</t>
        </is>
      </c>
      <c r="F510" s="80" t="inlineStr">
        <is>
          <t>9/111</t>
        </is>
      </c>
      <c r="G510" s="80" t="inlineStr">
        <is>
          <t>PSA 8</t>
        </is>
      </c>
      <c r="H510" s="80" t="n">
        <v>750</v>
      </c>
      <c r="I510" s="123" t="n">
        <v>46154</v>
      </c>
      <c r="J510" s="80" t="n">
        <v>747.09</v>
      </c>
      <c r="K510" s="80" t="n">
        <v>714.29</v>
      </c>
      <c r="L510" s="80" t="n">
        <v>693.8200000000001</v>
      </c>
      <c r="M510" s="80">
        <f>IFERROR((H510-J510)/J510,0)</f>
        <v/>
      </c>
      <c r="N510" s="80">
        <f>IFERROR((H510-K510)/K510,0)</f>
        <v/>
      </c>
      <c r="O510" s="80">
        <f>IFERROR((H510-L510)/L510,0)</f>
        <v/>
      </c>
      <c r="P510" s="80" t="n">
        <v>580</v>
      </c>
      <c r="Q510" s="80" t="n">
        <v>1275</v>
      </c>
      <c r="R510" s="80" t="inlineStr">
        <is>
          <t>5-10yr</t>
        </is>
      </c>
      <c r="S510" s="80" t="n">
        <v>4</v>
      </c>
      <c r="T510" s="80" t="n">
        <v>600</v>
      </c>
      <c r="U510" s="80">
        <f>MAX(0,MIN(100,50+((M510*0.6)+(N510*0.4))*200))</f>
        <v/>
      </c>
      <c r="V510" s="80">
        <f>MAX(20,MIN(100,50+(P510-H510)/P510*100))</f>
        <v/>
      </c>
      <c r="W510" s="80">
        <f>IFERROR(MAX(0,MIN(100,100-LOG10(T510)*16)),60)</f>
        <v/>
      </c>
      <c r="X510" s="80">
        <f>IF(C510="T2",85,IF(C510="T4",70,IF(C510="T1",65,IF(C510="T3",55,45))))</f>
        <v/>
      </c>
      <c r="Y510" s="80">
        <f>U510*0.55+W510*0.20+V510*0.15+X510*0.10+ROW()/1000000</f>
        <v/>
      </c>
      <c r="Z510" s="80">
        <f>IF(Y510&gt;=75,"STRONG BUY",IF(Y510&gt;=60,"BUY",IF(Y510&gt;=40,"HOLD",IF(Y510&gt;=25,"TRIM","SELL"))))</f>
        <v/>
      </c>
      <c r="AA510" s="80" t="inlineStr">
        <is>
          <t>https://www.pricecharting.com/game/pokemon-neo-genesis/lugia-1st-edition-9</t>
        </is>
      </c>
      <c r="AB510" s="80" t="inlineStr">
        <is>
          <t>Neo 1st Ed Lugia PSA 8.</t>
        </is>
      </c>
    </row>
    <row r="511">
      <c r="A511" s="80" t="inlineStr">
        <is>
          <t>X420</t>
        </is>
      </c>
      <c r="B511" s="80" t="inlineStr">
        <is>
          <t>Vintage Graded Singles</t>
        </is>
      </c>
      <c r="C511" s="80" t="inlineStr">
        <is>
          <t>T1</t>
        </is>
      </c>
      <c r="D511" s="80" t="inlineStr">
        <is>
          <t>Crystal Charizard Skyridge PSA 8</t>
        </is>
      </c>
      <c r="E511" s="80" t="inlineStr">
        <is>
          <t>Skyridge</t>
        </is>
      </c>
      <c r="F511" s="80" t="inlineStr">
        <is>
          <t>146/144</t>
        </is>
      </c>
      <c r="G511" s="80" t="inlineStr">
        <is>
          <t>PSA 8</t>
        </is>
      </c>
      <c r="H511" s="80" t="n">
        <v>760</v>
      </c>
      <c r="I511" s="123" t="n">
        <v>46154</v>
      </c>
      <c r="J511" s="80" t="n">
        <v>758.99</v>
      </c>
      <c r="K511" s="80" t="n">
        <v>723.8099999999999</v>
      </c>
      <c r="L511" s="80" t="n">
        <v>659.62</v>
      </c>
      <c r="M511" s="80">
        <f>IFERROR((H511-J511)/J511,0)</f>
        <v/>
      </c>
      <c r="N511" s="80">
        <f>IFERROR((H511-K511)/K511,0)</f>
        <v/>
      </c>
      <c r="O511" s="80">
        <f>IFERROR((H511-L511)/L511,0)</f>
        <v/>
      </c>
      <c r="P511" s="80" t="n">
        <v>590</v>
      </c>
      <c r="Q511" s="80" t="n">
        <v>1290</v>
      </c>
      <c r="R511" s="80" t="inlineStr">
        <is>
          <t>5-10yr</t>
        </is>
      </c>
      <c r="S511" s="80" t="n">
        <v>4</v>
      </c>
      <c r="T511" s="80" t="n">
        <v>230</v>
      </c>
      <c r="U511" s="80">
        <f>MAX(0,MIN(100,50+((M511*0.6)+(N511*0.4))*200))</f>
        <v/>
      </c>
      <c r="V511" s="80">
        <f>MAX(20,MIN(100,50+(P511-H511)/P511*100))</f>
        <v/>
      </c>
      <c r="W511" s="80">
        <f>IFERROR(MAX(0,MIN(100,100-LOG10(T511)*16)),60)</f>
        <v/>
      </c>
      <c r="X511" s="80">
        <f>IF(C511="T2",85,IF(C511="T4",70,IF(C511="T1",65,IF(C511="T3",55,45))))</f>
        <v/>
      </c>
      <c r="Y511" s="80">
        <f>U511*0.55+W511*0.20+V511*0.15+X511*0.10+ROW()/1000000</f>
        <v/>
      </c>
      <c r="Z511" s="80">
        <f>IF(Y511&gt;=75,"STRONG BUY",IF(Y511&gt;=60,"BUY",IF(Y511&gt;=40,"HOLD",IF(Y511&gt;=25,"TRIM","SELL"))))</f>
        <v/>
      </c>
      <c r="AA511" s="80" t="inlineStr">
        <is>
          <t>https://www.pricecharting.com/game/pokemon-skyridge/crystal-charizard-146</t>
        </is>
      </c>
      <c r="AB511" s="80" t="inlineStr">
        <is>
          <t>Crystal Char PSA 8.</t>
        </is>
      </c>
    </row>
    <row r="512">
      <c r="A512" s="80" t="inlineStr">
        <is>
          <t>X431</t>
        </is>
      </c>
      <c r="B512" s="80" t="inlineStr">
        <is>
          <t>Sealed Modern</t>
        </is>
      </c>
      <c r="C512" s="80" t="inlineStr">
        <is>
          <t>T3</t>
        </is>
      </c>
      <c r="D512" s="80" t="inlineStr">
        <is>
          <t>Evolving Skies Booster Box</t>
        </is>
      </c>
      <c r="E512" s="80" t="inlineStr">
        <is>
          <t>Evolving Skies</t>
        </is>
      </c>
      <c r="F512" s="80" t="inlineStr">
        <is>
          <t>Box</t>
        </is>
      </c>
      <c r="G512" s="80" t="inlineStr">
        <is>
          <t>Sealed (36 packs)</t>
        </is>
      </c>
      <c r="H512" s="80" t="n">
        <v>580</v>
      </c>
      <c r="I512" s="123" t="n">
        <v>46154</v>
      </c>
      <c r="J512" s="80" t="n">
        <v>567.92</v>
      </c>
      <c r="K512" s="80" t="n">
        <v>552.38</v>
      </c>
      <c r="L512" s="80" t="n">
        <v>505.25</v>
      </c>
      <c r="M512" s="80">
        <f>IFERROR((H512-J512)/J512,0)</f>
        <v/>
      </c>
      <c r="N512" s="80">
        <f>IFERROR((H512-K512)/K512,0)</f>
        <v/>
      </c>
      <c r="O512" s="80">
        <f>IFERROR((H512-L512)/L512,0)</f>
        <v/>
      </c>
      <c r="P512" s="80" t="n">
        <v>450</v>
      </c>
      <c r="Q512" s="80" t="n">
        <v>985</v>
      </c>
      <c r="R512" s="80" t="inlineStr">
        <is>
          <t>5-10yr</t>
        </is>
      </c>
      <c r="S512" s="80" t="n">
        <v>5</v>
      </c>
      <c r="U512" s="80">
        <f>MAX(0,MIN(100,50+((M512*0.6)+(N512*0.4))*200))</f>
        <v/>
      </c>
      <c r="V512" s="80">
        <f>MAX(20,MIN(100,50+(P512-H512)/P512*100))</f>
        <v/>
      </c>
      <c r="W512" s="80">
        <f>IFERROR(MAX(0,MIN(100,100-LOG10(T512)*16)),60)</f>
        <v/>
      </c>
      <c r="X512" s="80">
        <f>IF(C512="T2",85,IF(C512="T4",70,IF(C512="T1",65,IF(C512="T3",55,45))))</f>
        <v/>
      </c>
      <c r="Y512" s="80">
        <f>U512*0.55+W512*0.20+V512*0.15+X512*0.10+ROW()/1000000</f>
        <v/>
      </c>
      <c r="Z512" s="80">
        <f>IF(Y512&gt;=75,"STRONG BUY",IF(Y512&gt;=60,"BUY",IF(Y512&gt;=40,"HOLD",IF(Y512&gt;=25,"TRIM","SELL"))))</f>
        <v/>
      </c>
      <c r="AA512" s="80" t="inlineStr">
        <is>
          <t>https://www.pricecharting.com/game/pokemon-evolving-skies/booster-box</t>
        </is>
      </c>
      <c r="AB512" s="80" t="inlineStr">
        <is>
          <t>ES BB — Moonbreon set BB.</t>
        </is>
      </c>
    </row>
    <row r="513">
      <c r="A513" s="80" t="inlineStr">
        <is>
          <t>X432</t>
        </is>
      </c>
      <c r="B513" s="80" t="inlineStr">
        <is>
          <t>Sealed Modern</t>
        </is>
      </c>
      <c r="C513" s="80" t="inlineStr">
        <is>
          <t>T3</t>
        </is>
      </c>
      <c r="D513" s="80" t="inlineStr">
        <is>
          <t>Hidden Fates ETB</t>
        </is>
      </c>
      <c r="E513" s="80" t="inlineStr">
        <is>
          <t>Hidden Fates</t>
        </is>
      </c>
      <c r="F513" s="80" t="inlineStr">
        <is>
          <t>ETB</t>
        </is>
      </c>
      <c r="G513" s="80" t="inlineStr">
        <is>
          <t>Sealed</t>
        </is>
      </c>
      <c r="H513" s="80" t="n">
        <v>580</v>
      </c>
      <c r="I513" s="123" t="n">
        <v>46154</v>
      </c>
      <c r="J513" s="80" t="n">
        <v>572.0599999999999</v>
      </c>
      <c r="K513" s="80" t="n">
        <v>552.38</v>
      </c>
      <c r="L513" s="80" t="n">
        <v>527.85</v>
      </c>
      <c r="M513" s="80">
        <f>IFERROR((H513-J513)/J513,0)</f>
        <v/>
      </c>
      <c r="N513" s="80">
        <f>IFERROR((H513-K513)/K513,0)</f>
        <v/>
      </c>
      <c r="O513" s="80">
        <f>IFERROR((H513-L513)/L513,0)</f>
        <v/>
      </c>
      <c r="P513" s="80" t="n">
        <v>450</v>
      </c>
      <c r="Q513" s="80" t="n">
        <v>985</v>
      </c>
      <c r="R513" s="80" t="inlineStr">
        <is>
          <t>5-10yr</t>
        </is>
      </c>
      <c r="S513" s="80" t="n">
        <v>4</v>
      </c>
      <c r="U513" s="80">
        <f>MAX(0,MIN(100,50+((M513*0.6)+(N513*0.4))*200))</f>
        <v/>
      </c>
      <c r="V513" s="80">
        <f>MAX(20,MIN(100,50+(P513-H513)/P513*100))</f>
        <v/>
      </c>
      <c r="W513" s="80">
        <f>IFERROR(MAX(0,MIN(100,100-LOG10(T513)*16)),60)</f>
        <v/>
      </c>
      <c r="X513" s="80">
        <f>IF(C513="T2",85,IF(C513="T4",70,IF(C513="T1",65,IF(C513="T3",55,45))))</f>
        <v/>
      </c>
      <c r="Y513" s="80">
        <f>U513*0.55+W513*0.20+V513*0.15+X513*0.10+ROW()/1000000</f>
        <v/>
      </c>
      <c r="Z513" s="80">
        <f>IF(Y513&gt;=75,"STRONG BUY",IF(Y513&gt;=60,"BUY",IF(Y513&gt;=40,"HOLD",IF(Y513&gt;=25,"TRIM","SELL"))))</f>
        <v/>
      </c>
      <c r="AA513" s="80" t="inlineStr">
        <is>
          <t>https://www.pricecharting.com/game/pokemon-hidden-fates/etb</t>
        </is>
      </c>
      <c r="AB513" s="80" t="inlineStr">
        <is>
          <t>HF ETB. OOP.</t>
        </is>
      </c>
    </row>
    <row r="514">
      <c r="A514" s="80" t="inlineStr">
        <is>
          <t>X433</t>
        </is>
      </c>
      <c r="B514" s="80" t="inlineStr">
        <is>
          <t>Sealed Modern</t>
        </is>
      </c>
      <c r="C514" s="80" t="inlineStr">
        <is>
          <t>T3</t>
        </is>
      </c>
      <c r="D514" s="80" t="inlineStr">
        <is>
          <t>Crown Zenith Premium Trainer Collection</t>
        </is>
      </c>
      <c r="E514" s="80" t="inlineStr">
        <is>
          <t>Crown Zenith</t>
        </is>
      </c>
      <c r="F514" s="80" t="inlineStr">
        <is>
          <t>Premium</t>
        </is>
      </c>
      <c r="G514" s="80" t="inlineStr">
        <is>
          <t>Sealed</t>
        </is>
      </c>
      <c r="H514" s="80" t="n">
        <v>520</v>
      </c>
      <c r="I514" s="123" t="n">
        <v>46154</v>
      </c>
      <c r="J514" s="80" t="n">
        <v>514.21</v>
      </c>
      <c r="K514" s="80" t="n">
        <v>481.48</v>
      </c>
      <c r="L514" s="80" t="n">
        <v>463.09</v>
      </c>
      <c r="M514" s="80">
        <f>IFERROR((H514-J514)/J514,0)</f>
        <v/>
      </c>
      <c r="N514" s="80">
        <f>IFERROR((H514-K514)/K514,0)</f>
        <v/>
      </c>
      <c r="O514" s="80">
        <f>IFERROR((H514-L514)/L514,0)</f>
        <v/>
      </c>
      <c r="P514" s="80" t="n">
        <v>405</v>
      </c>
      <c r="Q514" s="80" t="n">
        <v>885</v>
      </c>
      <c r="R514" s="80" t="inlineStr">
        <is>
          <t>3-5yr</t>
        </is>
      </c>
      <c r="S514" s="80" t="n">
        <v>4</v>
      </c>
      <c r="U514" s="80">
        <f>MAX(0,MIN(100,50+((M514*0.6)+(N514*0.4))*200))</f>
        <v/>
      </c>
      <c r="V514" s="80">
        <f>MAX(20,MIN(100,50+(P514-H514)/P514*100))</f>
        <v/>
      </c>
      <c r="W514" s="80">
        <f>IFERROR(MAX(0,MIN(100,100-LOG10(T514)*16)),60)</f>
        <v/>
      </c>
      <c r="X514" s="80">
        <f>IF(C514="T2",85,IF(C514="T4",70,IF(C514="T1",65,IF(C514="T3",55,45))))</f>
        <v/>
      </c>
      <c r="Y514" s="80">
        <f>U514*0.55+W514*0.20+V514*0.15+X514*0.10+ROW()/1000000</f>
        <v/>
      </c>
      <c r="Z514" s="80">
        <f>IF(Y514&gt;=75,"STRONG BUY",IF(Y514&gt;=60,"BUY",IF(Y514&gt;=40,"HOLD",IF(Y514&gt;=25,"TRIM","SELL"))))</f>
        <v/>
      </c>
      <c r="AA514" s="80" t="inlineStr">
        <is>
          <t>https://www.pricecharting.com/game/pokemon-crown-zenith/premium-trainer</t>
        </is>
      </c>
      <c r="AB514" s="80" t="inlineStr">
        <is>
          <t>CZ Premium Trainer.</t>
        </is>
      </c>
    </row>
    <row r="515">
      <c r="A515" s="80" t="inlineStr">
        <is>
          <t>X434</t>
        </is>
      </c>
      <c r="B515" s="80" t="inlineStr">
        <is>
          <t>Sealed Modern</t>
        </is>
      </c>
      <c r="C515" s="80" t="inlineStr">
        <is>
          <t>T3</t>
        </is>
      </c>
      <c r="D515" s="80" t="inlineStr">
        <is>
          <t>Champion's Path Booster Box</t>
        </is>
      </c>
      <c r="E515" s="80" t="inlineStr">
        <is>
          <t>Champion's Path</t>
        </is>
      </c>
      <c r="F515" s="80" t="inlineStr">
        <is>
          <t>Box</t>
        </is>
      </c>
      <c r="G515" s="80" t="inlineStr">
        <is>
          <t>Sealed</t>
        </is>
      </c>
      <c r="H515" s="80" t="n">
        <v>850</v>
      </c>
      <c r="I515" s="123" t="n">
        <v>46154</v>
      </c>
      <c r="J515" s="80" t="n">
        <v>825.1</v>
      </c>
      <c r="K515" s="80" t="n">
        <v>801.89</v>
      </c>
      <c r="L515" s="80" t="n">
        <v>773.46</v>
      </c>
      <c r="M515" s="80">
        <f>IFERROR((H515-J515)/J515,0)</f>
        <v/>
      </c>
      <c r="N515" s="80">
        <f>IFERROR((H515-K515)/K515,0)</f>
        <v/>
      </c>
      <c r="O515" s="80">
        <f>IFERROR((H515-L515)/L515,0)</f>
        <v/>
      </c>
      <c r="P515" s="80" t="n">
        <v>660</v>
      </c>
      <c r="Q515" s="80" t="n">
        <v>1445</v>
      </c>
      <c r="R515" s="80" t="inlineStr">
        <is>
          <t>5-10yr</t>
        </is>
      </c>
      <c r="S515" s="80" t="n">
        <v>5</v>
      </c>
      <c r="U515" s="80">
        <f>MAX(0,MIN(100,50+((M515*0.6)+(N515*0.4))*200))</f>
        <v/>
      </c>
      <c r="V515" s="80">
        <f>MAX(20,MIN(100,50+(P515-H515)/P515*100))</f>
        <v/>
      </c>
      <c r="W515" s="80">
        <f>IFERROR(MAX(0,MIN(100,100-LOG10(T515)*16)),60)</f>
        <v/>
      </c>
      <c r="X515" s="80">
        <f>IF(C515="T2",85,IF(C515="T4",70,IF(C515="T1",65,IF(C515="T3",55,45))))</f>
        <v/>
      </c>
      <c r="Y515" s="80">
        <f>U515*0.55+W515*0.20+V515*0.15+X515*0.10+ROW()/1000000</f>
        <v/>
      </c>
      <c r="Z515" s="80">
        <f>IF(Y515&gt;=75,"STRONG BUY",IF(Y515&gt;=60,"BUY",IF(Y515&gt;=40,"HOLD",IF(Y515&gt;=25,"TRIM","SELL"))))</f>
        <v/>
      </c>
      <c r="AA515" s="80" t="inlineStr">
        <is>
          <t>https://www.pricecharting.com/game/pokemon-champions-path/booster-box</t>
        </is>
      </c>
      <c r="AB515" s="80" t="inlineStr">
        <is>
          <t>CP BB. OOP. Rare modern.</t>
        </is>
      </c>
    </row>
    <row r="516">
      <c r="A516" s="80" t="inlineStr">
        <is>
          <t>X435</t>
        </is>
      </c>
      <c r="B516" s="80" t="inlineStr">
        <is>
          <t>Sealed Modern</t>
        </is>
      </c>
      <c r="C516" s="80" t="inlineStr">
        <is>
          <t>T3</t>
        </is>
      </c>
      <c r="D516" s="80" t="inlineStr">
        <is>
          <t>Shining Fates Booster Box</t>
        </is>
      </c>
      <c r="E516" s="80" t="inlineStr">
        <is>
          <t>Shining Fates</t>
        </is>
      </c>
      <c r="F516" s="80" t="inlineStr">
        <is>
          <t>Box</t>
        </is>
      </c>
      <c r="G516" s="80" t="inlineStr">
        <is>
          <t>Sealed</t>
        </is>
      </c>
      <c r="H516" s="80" t="n">
        <v>750</v>
      </c>
      <c r="I516" s="123" t="n">
        <v>46154</v>
      </c>
      <c r="J516" s="80" t="n">
        <v>736.76</v>
      </c>
      <c r="K516" s="80" t="n">
        <v>714.29</v>
      </c>
      <c r="L516" s="80" t="n">
        <v>650.61</v>
      </c>
      <c r="M516" s="80">
        <f>IFERROR((H516-J516)/J516,0)</f>
        <v/>
      </c>
      <c r="N516" s="80">
        <f>IFERROR((H516-K516)/K516,0)</f>
        <v/>
      </c>
      <c r="O516" s="80">
        <f>IFERROR((H516-L516)/L516,0)</f>
        <v/>
      </c>
      <c r="P516" s="80" t="n">
        <v>580</v>
      </c>
      <c r="Q516" s="80" t="n">
        <v>1275</v>
      </c>
      <c r="R516" s="80" t="inlineStr">
        <is>
          <t>5-10yr</t>
        </is>
      </c>
      <c r="S516" s="80" t="n">
        <v>4</v>
      </c>
      <c r="U516" s="80">
        <f>MAX(0,MIN(100,50+((M516*0.6)+(N516*0.4))*200))</f>
        <v/>
      </c>
      <c r="V516" s="80">
        <f>MAX(20,MIN(100,50+(P516-H516)/P516*100))</f>
        <v/>
      </c>
      <c r="W516" s="80">
        <f>IFERROR(MAX(0,MIN(100,100-LOG10(T516)*16)),60)</f>
        <v/>
      </c>
      <c r="X516" s="80">
        <f>IF(C516="T2",85,IF(C516="T4",70,IF(C516="T1",65,IF(C516="T3",55,45))))</f>
        <v/>
      </c>
      <c r="Y516" s="80">
        <f>U516*0.55+W516*0.20+V516*0.15+X516*0.10+ROW()/1000000</f>
        <v/>
      </c>
      <c r="Z516" s="80">
        <f>IF(Y516&gt;=75,"STRONG BUY",IF(Y516&gt;=60,"BUY",IF(Y516&gt;=40,"HOLD",IF(Y516&gt;=25,"TRIM","SELL"))))</f>
        <v/>
      </c>
      <c r="AA516" s="80" t="inlineStr">
        <is>
          <t>https://www.pricecharting.com/game/pokemon-shining-fates/booster-box</t>
        </is>
      </c>
      <c r="AB516" s="80" t="inlineStr">
        <is>
          <t>SF BB.</t>
        </is>
      </c>
    </row>
    <row r="517">
      <c r="A517" s="80" t="inlineStr">
        <is>
          <t>X501</t>
        </is>
      </c>
      <c r="B517" s="80" t="inlineStr">
        <is>
          <t>Vintage Graded Singles</t>
        </is>
      </c>
      <c r="C517" s="80" t="inlineStr">
        <is>
          <t>T1</t>
        </is>
      </c>
      <c r="D517" s="80" t="inlineStr">
        <is>
          <t>Charizard 1st Ed Shadowless PSA 8</t>
        </is>
      </c>
      <c r="E517" s="80" t="inlineStr">
        <is>
          <t>Base Set 1st Edition Shadowless</t>
        </is>
      </c>
      <c r="F517" s="80" t="inlineStr">
        <is>
          <t>4/102</t>
        </is>
      </c>
      <c r="G517" s="80" t="inlineStr">
        <is>
          <t>PSA 8</t>
        </is>
      </c>
      <c r="H517" s="80" t="n">
        <v>9500</v>
      </c>
      <c r="I517" s="123" t="n">
        <v>46154</v>
      </c>
      <c r="J517" s="80" t="n">
        <v>9538.059999999999</v>
      </c>
      <c r="K517" s="80" t="n">
        <v>9134.620000000001</v>
      </c>
      <c r="L517" s="80" t="n">
        <v>8747.950000000001</v>
      </c>
      <c r="M517" s="80">
        <f>IFERROR((H517-J517)/J517,0)</f>
        <v/>
      </c>
      <c r="N517" s="80">
        <f>IFERROR((H517-K517)/K517,0)</f>
        <v/>
      </c>
      <c r="O517" s="80">
        <f>IFERROR((H517-L517)/L517,0)</f>
        <v/>
      </c>
      <c r="P517" s="80" t="n">
        <v>7400</v>
      </c>
      <c r="Q517" s="80" t="n">
        <v>16150</v>
      </c>
      <c r="R517" s="80" t="inlineStr">
        <is>
          <t>5-10yr</t>
        </is>
      </c>
      <c r="S517" s="80" t="n">
        <v>5</v>
      </c>
      <c r="T517" s="80" t="n">
        <v>980</v>
      </c>
      <c r="U517" s="80">
        <f>MAX(0,MIN(100,50+((M517*0.6)+(N517*0.4))*200))</f>
        <v/>
      </c>
      <c r="V517" s="80">
        <f>MAX(20,MIN(100,50+(P517-H517)/P517*100))</f>
        <v/>
      </c>
      <c r="W517" s="80">
        <f>IFERROR(MAX(0,MIN(100,100-LOG10(T517)*16)),60)</f>
        <v/>
      </c>
      <c r="X517" s="80">
        <f>IF(C517="T2",85,IF(C517="T4",70,IF(C517="T1",65,IF(C517="T3",55,45))))</f>
        <v/>
      </c>
      <c r="Y517" s="80">
        <f>U517*0.55+W517*0.20+V517*0.15+X517*0.10+ROW()/1000000</f>
        <v/>
      </c>
      <c r="Z517" s="80">
        <f>IF(Y517&gt;=75,"STRONG BUY",IF(Y517&gt;=60,"BUY",IF(Y517&gt;=40,"HOLD",IF(Y517&gt;=25,"TRIM","SELL"))))</f>
        <v/>
      </c>
      <c r="AA517" s="80" t="inlineStr">
        <is>
          <t>https://www.pricecharting.com/game/pokemon-base-set/charizard-1st-edition-4</t>
        </is>
      </c>
      <c r="AB517" s="80" t="inlineStr">
        <is>
          <t>1st Ed Char PSA 8 — institutional grade.</t>
        </is>
      </c>
    </row>
    <row r="518">
      <c r="A518" s="80" t="inlineStr">
        <is>
          <t>X502</t>
        </is>
      </c>
      <c r="B518" s="80" t="inlineStr">
        <is>
          <t>Vintage Graded Singles</t>
        </is>
      </c>
      <c r="C518" s="80" t="inlineStr">
        <is>
          <t>T1</t>
        </is>
      </c>
      <c r="D518" s="80" t="inlineStr">
        <is>
          <t>Charizard 1st Ed Shadowless BGS 9</t>
        </is>
      </c>
      <c r="E518" s="80" t="inlineStr">
        <is>
          <t>Base Set 1st Edition</t>
        </is>
      </c>
      <c r="F518" s="80" t="inlineStr">
        <is>
          <t>4/102</t>
        </is>
      </c>
      <c r="G518" s="80" t="inlineStr">
        <is>
          <t>BGS 9</t>
        </is>
      </c>
      <c r="H518" s="80" t="n">
        <v>16000</v>
      </c>
      <c r="I518" s="123" t="n">
        <v>46154</v>
      </c>
      <c r="J518" s="80" t="n">
        <v>15947.91</v>
      </c>
      <c r="K518" s="80" t="n">
        <v>15533.98</v>
      </c>
      <c r="L518" s="80" t="n">
        <v>14726.61</v>
      </c>
      <c r="M518" s="80">
        <f>IFERROR((H518-J518)/J518,0)</f>
        <v/>
      </c>
      <c r="N518" s="80">
        <f>IFERROR((H518-K518)/K518,0)</f>
        <v/>
      </c>
      <c r="O518" s="80">
        <f>IFERROR((H518-L518)/L518,0)</f>
        <v/>
      </c>
      <c r="P518" s="80" t="n">
        <v>12500</v>
      </c>
      <c r="Q518" s="80" t="n">
        <v>27200</v>
      </c>
      <c r="R518" s="80" t="inlineStr">
        <is>
          <t>5-10yr</t>
        </is>
      </c>
      <c r="S518" s="80" t="n">
        <v>5</v>
      </c>
      <c r="T518" s="80" t="n">
        <v>480</v>
      </c>
      <c r="U518" s="80">
        <f>MAX(0,MIN(100,50+((M518*0.6)+(N518*0.4))*200))</f>
        <v/>
      </c>
      <c r="V518" s="80">
        <f>MAX(20,MIN(100,50+(P518-H518)/P518*100))</f>
        <v/>
      </c>
      <c r="W518" s="80">
        <f>IFERROR(MAX(0,MIN(100,100-LOG10(T518)*16)),60)</f>
        <v/>
      </c>
      <c r="X518" s="80">
        <f>IF(C518="T2",85,IF(C518="T4",70,IF(C518="T1",65,IF(C518="T3",55,45))))</f>
        <v/>
      </c>
      <c r="Y518" s="80">
        <f>U518*0.55+W518*0.20+V518*0.15+X518*0.10+ROW()/1000000</f>
        <v/>
      </c>
      <c r="Z518" s="80">
        <f>IF(Y518&gt;=75,"STRONG BUY",IF(Y518&gt;=60,"BUY",IF(Y518&gt;=40,"HOLD",IF(Y518&gt;=25,"TRIM","SELL"))))</f>
        <v/>
      </c>
      <c r="AA518" s="80" t="inlineStr">
        <is>
          <t>https://www.pricecharting.com/game/pokemon-base-set/charizard-1st-edition-4</t>
        </is>
      </c>
      <c r="AB518" s="80" t="inlineStr">
        <is>
          <t>BGS 9 — institutional grade.</t>
        </is>
      </c>
    </row>
    <row r="519">
      <c r="A519" s="80" t="inlineStr">
        <is>
          <t>X503</t>
        </is>
      </c>
      <c r="B519" s="80" t="inlineStr">
        <is>
          <t>Vintage Graded Singles</t>
        </is>
      </c>
      <c r="C519" s="80" t="inlineStr">
        <is>
          <t>T1</t>
        </is>
      </c>
      <c r="D519" s="80" t="inlineStr">
        <is>
          <t>Lugia Neo Genesis 1st Ed PSA 10</t>
        </is>
      </c>
      <c r="E519" s="80" t="inlineStr">
        <is>
          <t>Neo Genesis</t>
        </is>
      </c>
      <c r="F519" s="80" t="inlineStr">
        <is>
          <t>9/111</t>
        </is>
      </c>
      <c r="G519" s="80" t="inlineStr">
        <is>
          <t>PSA 10</t>
        </is>
      </c>
      <c r="H519" s="80" t="n">
        <v>22000</v>
      </c>
      <c r="I519" s="123" t="n">
        <v>46154</v>
      </c>
      <c r="J519" s="80" t="n">
        <v>21987.56</v>
      </c>
      <c r="K519" s="80" t="n">
        <v>20754.72</v>
      </c>
      <c r="L519" s="80" t="n">
        <v>19449.3</v>
      </c>
      <c r="M519" s="80">
        <f>IFERROR((H519-J519)/J519,0)</f>
        <v/>
      </c>
      <c r="N519" s="80">
        <f>IFERROR((H519-K519)/K519,0)</f>
        <v/>
      </c>
      <c r="O519" s="80">
        <f>IFERROR((H519-L519)/L519,0)</f>
        <v/>
      </c>
      <c r="P519" s="80" t="n">
        <v>17000</v>
      </c>
      <c r="Q519" s="80" t="n">
        <v>37400</v>
      </c>
      <c r="R519" s="80" t="inlineStr">
        <is>
          <t>5-10yr</t>
        </is>
      </c>
      <c r="S519" s="80" t="n">
        <v>5</v>
      </c>
      <c r="T519" s="80" t="n">
        <v>65</v>
      </c>
      <c r="U519" s="80">
        <f>MAX(0,MIN(100,50+((M519*0.6)+(N519*0.4))*200))</f>
        <v/>
      </c>
      <c r="V519" s="80">
        <f>MAX(20,MIN(100,50+(P519-H519)/P519*100))</f>
        <v/>
      </c>
      <c r="W519" s="80">
        <f>IFERROR(MAX(0,MIN(100,100-LOG10(T519)*16)),60)</f>
        <v/>
      </c>
      <c r="X519" s="80">
        <f>IF(C519="T2",85,IF(C519="T4",70,IF(C519="T1",65,IF(C519="T3",55,45))))</f>
        <v/>
      </c>
      <c r="Y519" s="80">
        <f>U519*0.55+W519*0.20+V519*0.15+X519*0.10+ROW()/1000000</f>
        <v/>
      </c>
      <c r="Z519" s="80">
        <f>IF(Y519&gt;=75,"STRONG BUY",IF(Y519&gt;=60,"BUY",IF(Y519&gt;=40,"HOLD",IF(Y519&gt;=25,"TRIM","SELL"))))</f>
        <v/>
      </c>
      <c r="AA519" s="80" t="inlineStr">
        <is>
          <t>https://www.pricecharting.com/game/pokemon-neo-genesis/lugia-1st-edition-9</t>
        </is>
      </c>
      <c r="AB519" s="80" t="inlineStr">
        <is>
          <t>Neo Lugia PSA 10 — pop ~65.</t>
        </is>
      </c>
    </row>
    <row r="520">
      <c r="A520" s="80" t="inlineStr">
        <is>
          <t>X504</t>
        </is>
      </c>
      <c r="B520" s="80" t="inlineStr">
        <is>
          <t>Vintage Graded Singles</t>
        </is>
      </c>
      <c r="C520" s="80" t="inlineStr">
        <is>
          <t>T1</t>
        </is>
      </c>
      <c r="D520" s="80" t="inlineStr">
        <is>
          <t>Crystal Charizard Skyridge PSA 10</t>
        </is>
      </c>
      <c r="E520" s="80" t="inlineStr">
        <is>
          <t>Skyridge</t>
        </is>
      </c>
      <c r="F520" s="80" t="inlineStr">
        <is>
          <t>146/144</t>
        </is>
      </c>
      <c r="G520" s="80" t="inlineStr">
        <is>
          <t>PSA 10</t>
        </is>
      </c>
      <c r="H520" s="80" t="n">
        <v>38000</v>
      </c>
      <c r="I520" s="123" t="n">
        <v>46154</v>
      </c>
      <c r="J520" s="80" t="n">
        <v>38025.73</v>
      </c>
      <c r="K520" s="80" t="n">
        <v>36190.48</v>
      </c>
      <c r="L520" s="80" t="n">
        <v>35132.72</v>
      </c>
      <c r="M520" s="80">
        <f>IFERROR((H520-J520)/J520,0)</f>
        <v/>
      </c>
      <c r="N520" s="80">
        <f>IFERROR((H520-K520)/K520,0)</f>
        <v/>
      </c>
      <c r="O520" s="80">
        <f>IFERROR((H520-L520)/L520,0)</f>
        <v/>
      </c>
      <c r="P520" s="80" t="n">
        <v>29500</v>
      </c>
      <c r="Q520" s="80" t="n">
        <v>64600</v>
      </c>
      <c r="R520" s="80" t="inlineStr">
        <is>
          <t>5-10yr</t>
        </is>
      </c>
      <c r="S520" s="80" t="n">
        <v>5</v>
      </c>
      <c r="T520" s="80" t="n">
        <v>25</v>
      </c>
      <c r="U520" s="80">
        <f>MAX(0,MIN(100,50+((M520*0.6)+(N520*0.4))*200))</f>
        <v/>
      </c>
      <c r="V520" s="80">
        <f>MAX(20,MIN(100,50+(P520-H520)/P520*100))</f>
        <v/>
      </c>
      <c r="W520" s="80">
        <f>IFERROR(MAX(0,MIN(100,100-LOG10(T520)*16)),60)</f>
        <v/>
      </c>
      <c r="X520" s="80">
        <f>IF(C520="T2",85,IF(C520="T4",70,IF(C520="T1",65,IF(C520="T3",55,45))))</f>
        <v/>
      </c>
      <c r="Y520" s="80">
        <f>U520*0.55+W520*0.20+V520*0.15+X520*0.10+ROW()/1000000</f>
        <v/>
      </c>
      <c r="Z520" s="80">
        <f>IF(Y520&gt;=75,"STRONG BUY",IF(Y520&gt;=60,"BUY",IF(Y520&gt;=40,"HOLD",IF(Y520&gt;=25,"TRIM","SELL"))))</f>
        <v/>
      </c>
      <c r="AA520" s="80" t="inlineStr">
        <is>
          <t>https://www.pricecharting.com/game/pokemon-skyridge/crystal-charizard-146</t>
        </is>
      </c>
      <c r="AB520" s="80" t="inlineStr">
        <is>
          <t>Crystal Char PSA 10. Pop ~25.</t>
        </is>
      </c>
    </row>
    <row r="521">
      <c r="A521" s="80" t="inlineStr">
        <is>
          <t>X505</t>
        </is>
      </c>
      <c r="B521" s="80" t="inlineStr">
        <is>
          <t>Vintage Graded Singles</t>
        </is>
      </c>
      <c r="C521" s="80" t="inlineStr">
        <is>
          <t>T1</t>
        </is>
      </c>
      <c r="D521" s="80" t="inlineStr">
        <is>
          <t>Charizard Gold Star PSA 10</t>
        </is>
      </c>
      <c r="E521" s="80" t="inlineStr">
        <is>
          <t>EX Dragon Frontiers</t>
        </is>
      </c>
      <c r="F521" s="80" t="inlineStr">
        <is>
          <t>100/101</t>
        </is>
      </c>
      <c r="G521" s="80" t="inlineStr">
        <is>
          <t>PSA 10</t>
        </is>
      </c>
      <c r="H521" s="80" t="n">
        <v>18000</v>
      </c>
      <c r="I521" s="123" t="n">
        <v>46154</v>
      </c>
      <c r="J521" s="80" t="n">
        <v>17894.02</v>
      </c>
      <c r="K521" s="80" t="n">
        <v>16666.67</v>
      </c>
      <c r="L521" s="80" t="n">
        <v>16095.24</v>
      </c>
      <c r="M521" s="80">
        <f>IFERROR((H521-J521)/J521,0)</f>
        <v/>
      </c>
      <c r="N521" s="80">
        <f>IFERROR((H521-K521)/K521,0)</f>
        <v/>
      </c>
      <c r="O521" s="80">
        <f>IFERROR((H521-L521)/L521,0)</f>
        <v/>
      </c>
      <c r="P521" s="80" t="n">
        <v>14000</v>
      </c>
      <c r="Q521" s="80" t="n">
        <v>30600</v>
      </c>
      <c r="R521" s="80" t="inlineStr">
        <is>
          <t>5-10yr</t>
        </is>
      </c>
      <c r="S521" s="80" t="n">
        <v>5</v>
      </c>
      <c r="T521" s="80" t="n">
        <v>80</v>
      </c>
      <c r="U521" s="80">
        <f>MAX(0,MIN(100,50+((M521*0.6)+(N521*0.4))*200))</f>
        <v/>
      </c>
      <c r="V521" s="80">
        <f>MAX(20,MIN(100,50+(P521-H521)/P521*100))</f>
        <v/>
      </c>
      <c r="W521" s="80">
        <f>IFERROR(MAX(0,MIN(100,100-LOG10(T521)*16)),60)</f>
        <v/>
      </c>
      <c r="X521" s="80">
        <f>IF(C521="T2",85,IF(C521="T4",70,IF(C521="T1",65,IF(C521="T3",55,45))))</f>
        <v/>
      </c>
      <c r="Y521" s="80">
        <f>U521*0.55+W521*0.20+V521*0.15+X521*0.10+ROW()/1000000</f>
        <v/>
      </c>
      <c r="Z521" s="80">
        <f>IF(Y521&gt;=75,"STRONG BUY",IF(Y521&gt;=60,"BUY",IF(Y521&gt;=40,"HOLD",IF(Y521&gt;=25,"TRIM","SELL"))))</f>
        <v/>
      </c>
      <c r="AA521" s="80" t="inlineStr">
        <is>
          <t>https://www.pricecharting.com/game/pokemon-dragon-frontiers/charizard-gold-star</t>
        </is>
      </c>
      <c r="AB521" s="80" t="inlineStr">
        <is>
          <t>Char Gold Star PSA 10.</t>
        </is>
      </c>
    </row>
    <row r="522">
      <c r="A522" s="80" t="inlineStr">
        <is>
          <t>X506</t>
        </is>
      </c>
      <c r="B522" s="80" t="inlineStr">
        <is>
          <t>Vintage Graded Singles</t>
        </is>
      </c>
      <c r="C522" s="80" t="inlineStr">
        <is>
          <t>T1</t>
        </is>
      </c>
      <c r="D522" s="80" t="inlineStr">
        <is>
          <t>Espeon Gold Star PSA 10</t>
        </is>
      </c>
      <c r="E522" s="80" t="inlineStr">
        <is>
          <t>POP Series 5</t>
        </is>
      </c>
      <c r="F522" s="80" t="inlineStr">
        <is>
          <t>16/17</t>
        </is>
      </c>
      <c r="G522" s="80" t="inlineStr">
        <is>
          <t>PSA 10</t>
        </is>
      </c>
      <c r="H522" s="80" t="n">
        <v>16000</v>
      </c>
      <c r="I522" s="123" t="n">
        <v>46154</v>
      </c>
      <c r="J522" s="80" t="n">
        <v>15902.02</v>
      </c>
      <c r="K522" s="80" t="n">
        <v>14814.81</v>
      </c>
      <c r="L522" s="80" t="n">
        <v>14203.89</v>
      </c>
      <c r="M522" s="80">
        <f>IFERROR((H522-J522)/J522,0)</f>
        <v/>
      </c>
      <c r="N522" s="80">
        <f>IFERROR((H522-K522)/K522,0)</f>
        <v/>
      </c>
      <c r="O522" s="80">
        <f>IFERROR((H522-L522)/L522,0)</f>
        <v/>
      </c>
      <c r="P522" s="80" t="n">
        <v>12500</v>
      </c>
      <c r="Q522" s="80" t="n">
        <v>27200</v>
      </c>
      <c r="R522" s="80" t="inlineStr">
        <is>
          <t>5-10yr</t>
        </is>
      </c>
      <c r="S522" s="80" t="n">
        <v>5</v>
      </c>
      <c r="T522" s="80" t="n">
        <v>70</v>
      </c>
      <c r="U522" s="80">
        <f>MAX(0,MIN(100,50+((M522*0.6)+(N522*0.4))*200))</f>
        <v/>
      </c>
      <c r="V522" s="80">
        <f>MAX(20,MIN(100,50+(P522-H522)/P522*100))</f>
        <v/>
      </c>
      <c r="W522" s="80">
        <f>IFERROR(MAX(0,MIN(100,100-LOG10(T522)*16)),60)</f>
        <v/>
      </c>
      <c r="X522" s="80">
        <f>IF(C522="T2",85,IF(C522="T4",70,IF(C522="T1",65,IF(C522="T3",55,45))))</f>
        <v/>
      </c>
      <c r="Y522" s="80">
        <f>U522*0.55+W522*0.20+V522*0.15+X522*0.10+ROW()/1000000</f>
        <v/>
      </c>
      <c r="Z522" s="80">
        <f>IF(Y522&gt;=75,"STRONG BUY",IF(Y522&gt;=60,"BUY",IF(Y522&gt;=40,"HOLD",IF(Y522&gt;=25,"TRIM","SELL"))))</f>
        <v/>
      </c>
      <c r="AA522" s="80" t="inlineStr">
        <is>
          <t>https://www.pricecharting.com/game/pokemon-pop-series-5/espeon-gold-star</t>
        </is>
      </c>
      <c r="AB522" s="80" t="inlineStr">
        <is>
          <t>Espeon GS PSA 10.</t>
        </is>
      </c>
    </row>
    <row r="523">
      <c r="A523" s="80" t="inlineStr">
        <is>
          <t>X507</t>
        </is>
      </c>
      <c r="B523" s="80" t="inlineStr">
        <is>
          <t>Vintage Graded Singles</t>
        </is>
      </c>
      <c r="C523" s="80" t="inlineStr">
        <is>
          <t>T1</t>
        </is>
      </c>
      <c r="D523" s="80" t="inlineStr">
        <is>
          <t>Umbreon Gold Star PSA 10</t>
        </is>
      </c>
      <c r="E523" s="80" t="inlineStr">
        <is>
          <t>POP Series 5</t>
        </is>
      </c>
      <c r="F523" s="80" t="inlineStr">
        <is>
          <t>17/17</t>
        </is>
      </c>
      <c r="G523" s="80" t="inlineStr">
        <is>
          <t>PSA 10</t>
        </is>
      </c>
      <c r="H523" s="80" t="n">
        <v>22000</v>
      </c>
      <c r="I523" s="123" t="n">
        <v>46154</v>
      </c>
      <c r="J523" s="80" t="n">
        <v>21191.55</v>
      </c>
      <c r="K523" s="80" t="n">
        <v>20000</v>
      </c>
      <c r="L523" s="80" t="n">
        <v>18904.7</v>
      </c>
      <c r="M523" s="80">
        <f>IFERROR((H523-J523)/J523,0)</f>
        <v/>
      </c>
      <c r="N523" s="80">
        <f>IFERROR((H523-K523)/K523,0)</f>
        <v/>
      </c>
      <c r="O523" s="80">
        <f>IFERROR((H523-L523)/L523,0)</f>
        <v/>
      </c>
      <c r="P523" s="80" t="n">
        <v>17000</v>
      </c>
      <c r="Q523" s="80" t="n">
        <v>37400</v>
      </c>
      <c r="R523" s="80" t="inlineStr">
        <is>
          <t>5-10yr</t>
        </is>
      </c>
      <c r="S523" s="80" t="n">
        <v>5</v>
      </c>
      <c r="T523" s="80" t="n">
        <v>60</v>
      </c>
      <c r="U523" s="80">
        <f>MAX(0,MIN(100,50+((M523*0.6)+(N523*0.4))*200))</f>
        <v/>
      </c>
      <c r="V523" s="80">
        <f>MAX(20,MIN(100,50+(P523-H523)/P523*100))</f>
        <v/>
      </c>
      <c r="W523" s="80">
        <f>IFERROR(MAX(0,MIN(100,100-LOG10(T523)*16)),60)</f>
        <v/>
      </c>
      <c r="X523" s="80">
        <f>IF(C523="T2",85,IF(C523="T4",70,IF(C523="T1",65,IF(C523="T3",55,45))))</f>
        <v/>
      </c>
      <c r="Y523" s="80">
        <f>U523*0.55+W523*0.20+V523*0.15+X523*0.10+ROW()/1000000</f>
        <v/>
      </c>
      <c r="Z523" s="80">
        <f>IF(Y523&gt;=75,"STRONG BUY",IF(Y523&gt;=60,"BUY",IF(Y523&gt;=40,"HOLD",IF(Y523&gt;=25,"TRIM","SELL"))))</f>
        <v/>
      </c>
      <c r="AA523" s="80" t="inlineStr">
        <is>
          <t>https://www.pricecharting.com/game/pokemon-pop-series-5/umbreon-gold-star</t>
        </is>
      </c>
      <c r="AB523" s="80" t="inlineStr">
        <is>
          <t>Umbreon GS PSA 10.</t>
        </is>
      </c>
    </row>
    <row r="524">
      <c r="A524" s="80" t="inlineStr">
        <is>
          <t>X508</t>
        </is>
      </c>
      <c r="B524" s="80" t="inlineStr">
        <is>
          <t>Vintage Graded Singles</t>
        </is>
      </c>
      <c r="C524" s="80" t="inlineStr">
        <is>
          <t>T1</t>
        </is>
      </c>
      <c r="D524" s="80" t="inlineStr">
        <is>
          <t>Pikachu Illustrator PSA 7</t>
        </is>
      </c>
      <c r="E524" s="80" t="inlineStr">
        <is>
          <t>Trophy</t>
        </is>
      </c>
      <c r="F524" s="80" t="inlineStr">
        <is>
          <t>Promo</t>
        </is>
      </c>
      <c r="G524" s="80" t="inlineStr">
        <is>
          <t>PSA 7</t>
        </is>
      </c>
      <c r="H524" s="80" t="n">
        <v>450000</v>
      </c>
      <c r="I524" s="123" t="n">
        <v>46154</v>
      </c>
      <c r="J524" s="80" t="n">
        <v>449710.36</v>
      </c>
      <c r="K524" s="80" t="n">
        <v>436893.2</v>
      </c>
      <c r="L524" s="80" t="n">
        <v>417191.86</v>
      </c>
      <c r="M524" s="80">
        <f>IFERROR((H524-J524)/J524,0)</f>
        <v/>
      </c>
      <c r="N524" s="80">
        <f>IFERROR((H524-K524)/K524,0)</f>
        <v/>
      </c>
      <c r="O524" s="80">
        <f>IFERROR((H524-L524)/L524,0)</f>
        <v/>
      </c>
      <c r="P524" s="80" t="n">
        <v>380000</v>
      </c>
      <c r="Q524" s="80" t="n">
        <v>750000</v>
      </c>
      <c r="R524" s="80" t="inlineStr">
        <is>
          <t>5-10yr</t>
        </is>
      </c>
      <c r="S524" s="80" t="n">
        <v>5</v>
      </c>
      <c r="T524" s="80" t="n">
        <v>30</v>
      </c>
      <c r="U524" s="80">
        <f>MAX(0,MIN(100,50+((M524*0.6)+(N524*0.4))*200))</f>
        <v/>
      </c>
      <c r="V524" s="80">
        <f>MAX(20,MIN(100,50+(P524-H524)/P524*100))</f>
        <v/>
      </c>
      <c r="W524" s="80">
        <f>IFERROR(MAX(0,MIN(100,100-LOG10(T524)*16)),60)</f>
        <v/>
      </c>
      <c r="X524" s="80">
        <f>IF(C524="T2",85,IF(C524="T4",70,IF(C524="T1",65,IF(C524="T3",55,45))))</f>
        <v/>
      </c>
      <c r="Y524" s="80">
        <f>U524*0.55+W524*0.20+V524*0.15+X524*0.10+ROW()/1000000</f>
        <v/>
      </c>
      <c r="Z524" s="80">
        <f>IF(Y524&gt;=75,"STRONG BUY",IF(Y524&gt;=60,"BUY",IF(Y524&gt;=40,"HOLD",IF(Y524&gt;=25,"TRIM","SELL"))))</f>
        <v/>
      </c>
      <c r="AA524" s="80" t="inlineStr">
        <is>
          <t>https://www.pricecharting.com/game/pokemon-promo/pikachu-illustrator</t>
        </is>
      </c>
      <c r="AB524" s="80" t="inlineStr">
        <is>
          <t>Pikachu Illustrator PSA 7 — reference grail.</t>
        </is>
      </c>
    </row>
    <row r="525">
      <c r="A525" s="80" t="inlineStr">
        <is>
          <t>X509</t>
        </is>
      </c>
      <c r="B525" s="80" t="inlineStr">
        <is>
          <t>Vintage Graded Singles</t>
        </is>
      </c>
      <c r="C525" s="80" t="inlineStr">
        <is>
          <t>T1</t>
        </is>
      </c>
      <c r="D525" s="80" t="inlineStr">
        <is>
          <t>No.1 Trainer 1999 PSA 8</t>
        </is>
      </c>
      <c r="E525" s="80" t="inlineStr">
        <is>
          <t>Trophy WC 1999</t>
        </is>
      </c>
      <c r="F525" s="80" t="inlineStr">
        <is>
          <t>Trophy</t>
        </is>
      </c>
      <c r="G525" s="80" t="inlineStr">
        <is>
          <t>PSA 8</t>
        </is>
      </c>
      <c r="H525" s="80" t="n">
        <v>320000</v>
      </c>
      <c r="I525" s="123" t="n">
        <v>46154</v>
      </c>
      <c r="J525" s="80" t="n">
        <v>317019.6</v>
      </c>
      <c r="K525" s="80" t="n">
        <v>304761.9</v>
      </c>
      <c r="L525" s="80" t="n">
        <v>286197.69</v>
      </c>
      <c r="M525" s="80">
        <f>IFERROR((H525-J525)/J525,0)</f>
        <v/>
      </c>
      <c r="N525" s="80">
        <f>IFERROR((H525-K525)/K525,0)</f>
        <v/>
      </c>
      <c r="O525" s="80">
        <f>IFERROR((H525-L525)/L525,0)</f>
        <v/>
      </c>
      <c r="P525" s="80" t="n">
        <v>270000</v>
      </c>
      <c r="Q525" s="80" t="n">
        <v>540000</v>
      </c>
      <c r="R525" s="80" t="inlineStr">
        <is>
          <t>5-10yr</t>
        </is>
      </c>
      <c r="S525" s="80" t="n">
        <v>5</v>
      </c>
      <c r="T525" s="80" t="n">
        <v>12</v>
      </c>
      <c r="U525" s="80">
        <f>MAX(0,MIN(100,50+((M525*0.6)+(N525*0.4))*200))</f>
        <v/>
      </c>
      <c r="V525" s="80">
        <f>MAX(20,MIN(100,50+(P525-H525)/P525*100))</f>
        <v/>
      </c>
      <c r="W525" s="80">
        <f>IFERROR(MAX(0,MIN(100,100-LOG10(T525)*16)),60)</f>
        <v/>
      </c>
      <c r="X525" s="80">
        <f>IF(C525="T2",85,IF(C525="T4",70,IF(C525="T1",65,IF(C525="T3",55,45))))</f>
        <v/>
      </c>
      <c r="Y525" s="80">
        <f>U525*0.55+W525*0.20+V525*0.15+X525*0.10+ROW()/1000000</f>
        <v/>
      </c>
      <c r="Z525" s="80">
        <f>IF(Y525&gt;=75,"STRONG BUY",IF(Y525&gt;=60,"BUY",IF(Y525&gt;=40,"HOLD",IF(Y525&gt;=25,"TRIM","SELL"))))</f>
        <v/>
      </c>
      <c r="AA525" s="80" t="inlineStr">
        <is>
          <t>https://www.pricecharting.com/game/pokemon-promo/no-1-trainer</t>
        </is>
      </c>
      <c r="AB525" s="80" t="inlineStr">
        <is>
          <t>Trophy grail.</t>
        </is>
      </c>
    </row>
    <row r="526">
      <c r="A526" s="80" t="inlineStr">
        <is>
          <t>X510</t>
        </is>
      </c>
      <c r="B526" s="80" t="inlineStr">
        <is>
          <t>Vintage Graded Singles</t>
        </is>
      </c>
      <c r="C526" s="80" t="inlineStr">
        <is>
          <t>T1</t>
        </is>
      </c>
      <c r="D526" s="80" t="inlineStr">
        <is>
          <t>Charizard 1st Ed Shadowless PSA 10</t>
        </is>
      </c>
      <c r="E526" s="80" t="inlineStr">
        <is>
          <t>Base Set 1st Edition Shadowless</t>
        </is>
      </c>
      <c r="F526" s="80" t="inlineStr">
        <is>
          <t>4/102</t>
        </is>
      </c>
      <c r="G526" s="80" t="inlineStr">
        <is>
          <t>PSA 10</t>
        </is>
      </c>
      <c r="H526" s="80" t="n">
        <v>200000</v>
      </c>
      <c r="I526" s="123" t="n">
        <v>46154</v>
      </c>
      <c r="J526" s="80" t="n">
        <v>197311.17</v>
      </c>
      <c r="K526" s="80" t="n">
        <v>192307.69</v>
      </c>
      <c r="L526" s="80" t="n">
        <v>179590.95</v>
      </c>
      <c r="M526" s="80">
        <f>IFERROR((H526-J526)/J526,0)</f>
        <v/>
      </c>
      <c r="N526" s="80">
        <f>IFERROR((H526-K526)/K526,0)</f>
        <v/>
      </c>
      <c r="O526" s="80">
        <f>IFERROR((H526-L526)/L526,0)</f>
        <v/>
      </c>
      <c r="P526" s="80" t="n">
        <v>165000</v>
      </c>
      <c r="Q526" s="80" t="n">
        <v>340000</v>
      </c>
      <c r="R526" s="80" t="inlineStr">
        <is>
          <t>5-10yr</t>
        </is>
      </c>
      <c r="S526" s="80" t="n">
        <v>5</v>
      </c>
      <c r="T526" s="80" t="n">
        <v>120</v>
      </c>
      <c r="U526" s="80">
        <f>MAX(0,MIN(100,50+((M526*0.6)+(N526*0.4))*200))</f>
        <v/>
      </c>
      <c r="V526" s="80">
        <f>MAX(20,MIN(100,50+(P526-H526)/P526*100))</f>
        <v/>
      </c>
      <c r="W526" s="80">
        <f>IFERROR(MAX(0,MIN(100,100-LOG10(T526)*16)),60)</f>
        <v/>
      </c>
      <c r="X526" s="80">
        <f>IF(C526="T2",85,IF(C526="T4",70,IF(C526="T1",65,IF(C526="T3",55,45))))</f>
        <v/>
      </c>
      <c r="Y526" s="80">
        <f>U526*0.55+W526*0.20+V526*0.15+X526*0.10+ROW()/1000000</f>
        <v/>
      </c>
      <c r="Z526" s="80">
        <f>IF(Y526&gt;=75,"STRONG BUY",IF(Y526&gt;=60,"BUY",IF(Y526&gt;=40,"HOLD",IF(Y526&gt;=25,"TRIM","SELL"))))</f>
        <v/>
      </c>
      <c r="AA526" s="80" t="inlineStr">
        <is>
          <t>https://www.pricecharting.com/game/pokemon-base-set/charizard-1st-edition-4</t>
        </is>
      </c>
      <c r="AB526" s="80" t="inlineStr">
        <is>
          <t>1st Ed Shadowless Char PSA 10 — grail.</t>
        </is>
      </c>
    </row>
    <row r="527">
      <c r="A527" s="80" t="inlineStr">
        <is>
          <t>X511</t>
        </is>
      </c>
      <c r="B527" s="80" t="inlineStr">
        <is>
          <t>Vintage Graded Singles</t>
        </is>
      </c>
      <c r="C527" s="80" t="inlineStr">
        <is>
          <t>T1</t>
        </is>
      </c>
      <c r="D527" s="80" t="inlineStr">
        <is>
          <t>Shining Charizard Neo Destiny PSA 10</t>
        </is>
      </c>
      <c r="E527" s="80" t="inlineStr">
        <is>
          <t>Neo Destiny</t>
        </is>
      </c>
      <c r="F527" s="80" t="inlineStr">
        <is>
          <t>107/105</t>
        </is>
      </c>
      <c r="G527" s="80" t="inlineStr">
        <is>
          <t>PSA 10</t>
        </is>
      </c>
      <c r="H527" s="80" t="n">
        <v>5800</v>
      </c>
      <c r="I527" s="123" t="n">
        <v>46154</v>
      </c>
      <c r="J527" s="80" t="n">
        <v>5670.32</v>
      </c>
      <c r="K527" s="80" t="n">
        <v>5471.7</v>
      </c>
      <c r="L527" s="80" t="n">
        <v>5052</v>
      </c>
      <c r="M527" s="80">
        <f>IFERROR((H527-J527)/J527,0)</f>
        <v/>
      </c>
      <c r="N527" s="80">
        <f>IFERROR((H527-K527)/K527,0)</f>
        <v/>
      </c>
      <c r="O527" s="80">
        <f>IFERROR((H527-L527)/L527,0)</f>
        <v/>
      </c>
      <c r="P527" s="80" t="n">
        <v>4500</v>
      </c>
      <c r="Q527" s="80" t="n">
        <v>9860</v>
      </c>
      <c r="R527" s="80" t="inlineStr">
        <is>
          <t>5-10yr</t>
        </is>
      </c>
      <c r="S527" s="80" t="n">
        <v>5</v>
      </c>
      <c r="T527" s="80" t="n">
        <v>200</v>
      </c>
      <c r="U527" s="80">
        <f>MAX(0,MIN(100,50+((M527*0.6)+(N527*0.4))*200))</f>
        <v/>
      </c>
      <c r="V527" s="80">
        <f>MAX(20,MIN(100,50+(P527-H527)/P527*100))</f>
        <v/>
      </c>
      <c r="W527" s="80">
        <f>IFERROR(MAX(0,MIN(100,100-LOG10(T527)*16)),60)</f>
        <v/>
      </c>
      <c r="X527" s="80">
        <f>IF(C527="T2",85,IF(C527="T4",70,IF(C527="T1",65,IF(C527="T3",55,45))))</f>
        <v/>
      </c>
      <c r="Y527" s="80">
        <f>U527*0.55+W527*0.20+V527*0.15+X527*0.10+ROW()/1000000</f>
        <v/>
      </c>
      <c r="Z527" s="80">
        <f>IF(Y527&gt;=75,"STRONG BUY",IF(Y527&gt;=60,"BUY",IF(Y527&gt;=40,"HOLD",IF(Y527&gt;=25,"TRIM","SELL"))))</f>
        <v/>
      </c>
      <c r="AA527" s="80" t="inlineStr">
        <is>
          <t>https://www.pricecharting.com/game/pokemon-neo-destiny/shining-charizard-107</t>
        </is>
      </c>
      <c r="AB527" s="80" t="inlineStr">
        <is>
          <t>Shining Char PSA 10.</t>
        </is>
      </c>
    </row>
    <row r="528">
      <c r="A528" s="80" t="inlineStr">
        <is>
          <t>X512</t>
        </is>
      </c>
      <c r="B528" s="80" t="inlineStr">
        <is>
          <t>Vintage Graded Singles</t>
        </is>
      </c>
      <c r="C528" s="80" t="inlineStr">
        <is>
          <t>T1</t>
        </is>
      </c>
      <c r="D528" s="80" t="inlineStr">
        <is>
          <t>Charizard EX Dragon Frontiers 105 PSA 10</t>
        </is>
      </c>
      <c r="E528" s="80" t="inlineStr">
        <is>
          <t>EX Dragon Frontiers</t>
        </is>
      </c>
      <c r="F528" s="80" t="inlineStr">
        <is>
          <t>105/101</t>
        </is>
      </c>
      <c r="G528" s="80" t="inlineStr">
        <is>
          <t>PSA 10</t>
        </is>
      </c>
      <c r="H528" s="80" t="n">
        <v>4200</v>
      </c>
      <c r="I528" s="123" t="n">
        <v>46154</v>
      </c>
      <c r="J528" s="80" t="n">
        <v>4074.21</v>
      </c>
      <c r="K528" s="80" t="n">
        <v>3962.26</v>
      </c>
      <c r="L528" s="80" t="n">
        <v>3589.63</v>
      </c>
      <c r="M528" s="80">
        <f>IFERROR((H528-J528)/J528,0)</f>
        <v/>
      </c>
      <c r="N528" s="80">
        <f>IFERROR((H528-K528)/K528,0)</f>
        <v/>
      </c>
      <c r="O528" s="80">
        <f>IFERROR((H528-L528)/L528,0)</f>
        <v/>
      </c>
      <c r="P528" s="80" t="n">
        <v>3300</v>
      </c>
      <c r="Q528" s="80" t="n">
        <v>7140</v>
      </c>
      <c r="R528" s="80" t="inlineStr">
        <is>
          <t>5-10yr</t>
        </is>
      </c>
      <c r="S528" s="80" t="n">
        <v>4</v>
      </c>
      <c r="T528" s="80" t="n">
        <v>350</v>
      </c>
      <c r="U528" s="80">
        <f>MAX(0,MIN(100,50+((M528*0.6)+(N528*0.4))*200))</f>
        <v/>
      </c>
      <c r="V528" s="80">
        <f>MAX(20,MIN(100,50+(P528-H528)/P528*100))</f>
        <v/>
      </c>
      <c r="W528" s="80">
        <f>IFERROR(MAX(0,MIN(100,100-LOG10(T528)*16)),60)</f>
        <v/>
      </c>
      <c r="X528" s="80">
        <f>IF(C528="T2",85,IF(C528="T4",70,IF(C528="T1",65,IF(C528="T3",55,45))))</f>
        <v/>
      </c>
      <c r="Y528" s="80">
        <f>U528*0.55+W528*0.20+V528*0.15+X528*0.10+ROW()/1000000</f>
        <v/>
      </c>
      <c r="Z528" s="80">
        <f>IF(Y528&gt;=75,"STRONG BUY",IF(Y528&gt;=60,"BUY",IF(Y528&gt;=40,"HOLD",IF(Y528&gt;=25,"TRIM","SELL"))))</f>
        <v/>
      </c>
      <c r="AA528" s="80" t="inlineStr">
        <is>
          <t>https://www.pricecharting.com/game/pokemon-dragon-frontiers/charizard-delta-105</t>
        </is>
      </c>
      <c r="AB528" s="80" t="inlineStr">
        <is>
          <t>Delta Charizard PSA 10.</t>
        </is>
      </c>
    </row>
    <row r="529">
      <c r="A529" s="80" t="inlineStr">
        <is>
          <t>X521</t>
        </is>
      </c>
      <c r="B529" s="80" t="inlineStr">
        <is>
          <t>Sealed Modern</t>
        </is>
      </c>
      <c r="C529" s="80" t="inlineStr">
        <is>
          <t>T3</t>
        </is>
      </c>
      <c r="D529" s="80" t="inlineStr">
        <is>
          <t>Evolving Skies Booster Box (case)</t>
        </is>
      </c>
      <c r="E529" s="80" t="inlineStr">
        <is>
          <t>Evolving Skies</t>
        </is>
      </c>
      <c r="F529" s="80" t="inlineStr">
        <is>
          <t>6-box case</t>
        </is>
      </c>
      <c r="G529" s="80" t="inlineStr">
        <is>
          <t>Sealed</t>
        </is>
      </c>
      <c r="H529" s="80" t="n">
        <v>3400</v>
      </c>
      <c r="I529" s="123" t="n">
        <v>46154</v>
      </c>
      <c r="J529" s="80" t="n">
        <v>3361.42</v>
      </c>
      <c r="K529" s="80" t="n">
        <v>3238.1</v>
      </c>
      <c r="L529" s="80" t="n">
        <v>2986.97</v>
      </c>
      <c r="M529" s="80">
        <f>IFERROR((H529-J529)/J529,0)</f>
        <v/>
      </c>
      <c r="N529" s="80">
        <f>IFERROR((H529-K529)/K529,0)</f>
        <v/>
      </c>
      <c r="O529" s="80">
        <f>IFERROR((H529-L529)/L529,0)</f>
        <v/>
      </c>
      <c r="P529" s="80" t="n">
        <v>2700</v>
      </c>
      <c r="Q529" s="80" t="n">
        <v>5780</v>
      </c>
      <c r="R529" s="80" t="inlineStr">
        <is>
          <t>5-10yr</t>
        </is>
      </c>
      <c r="S529" s="80" t="n">
        <v>5</v>
      </c>
      <c r="U529" s="80">
        <f>MAX(0,MIN(100,50+((M529*0.6)+(N529*0.4))*200))</f>
        <v/>
      </c>
      <c r="V529" s="80">
        <f>MAX(20,MIN(100,50+(P529-H529)/P529*100))</f>
        <v/>
      </c>
      <c r="W529" s="80">
        <f>IFERROR(MAX(0,MIN(100,100-LOG10(T529)*16)),60)</f>
        <v/>
      </c>
      <c r="X529" s="80">
        <f>IF(C529="T2",85,IF(C529="T4",70,IF(C529="T1",65,IF(C529="T3",55,45))))</f>
        <v/>
      </c>
      <c r="Y529" s="80">
        <f>U529*0.55+W529*0.20+V529*0.15+X529*0.10+ROW()/1000000</f>
        <v/>
      </c>
      <c r="Z529" s="80">
        <f>IF(Y529&gt;=75,"STRONG BUY",IF(Y529&gt;=60,"BUY",IF(Y529&gt;=40,"HOLD",IF(Y529&gt;=25,"TRIM","SELL"))))</f>
        <v/>
      </c>
      <c r="AA529" s="80" t="inlineStr">
        <is>
          <t>https://www.pricecharting.com/game/pokemon-evolving-skies/booster-box-case</t>
        </is>
      </c>
      <c r="AB529" s="80" t="inlineStr">
        <is>
          <t>ES Case (6 boxes). Volume vintage modern.</t>
        </is>
      </c>
    </row>
    <row r="530">
      <c r="A530" s="80" t="inlineStr">
        <is>
          <t>X522</t>
        </is>
      </c>
      <c r="B530" s="80" t="inlineStr">
        <is>
          <t>Sealed Modern</t>
        </is>
      </c>
      <c r="C530" s="80" t="inlineStr">
        <is>
          <t>T3</t>
        </is>
      </c>
      <c r="D530" s="80" t="inlineStr">
        <is>
          <t>Champion's Path Premium Collection</t>
        </is>
      </c>
      <c r="E530" s="80" t="inlineStr">
        <is>
          <t>Champion's Path</t>
        </is>
      </c>
      <c r="F530" s="80" t="inlineStr">
        <is>
          <t>Premium</t>
        </is>
      </c>
      <c r="G530" s="80" t="inlineStr">
        <is>
          <t>Sealed</t>
        </is>
      </c>
      <c r="H530" s="80" t="n">
        <v>1100</v>
      </c>
      <c r="I530" s="123" t="n">
        <v>46154</v>
      </c>
      <c r="J530" s="80" t="n">
        <v>1094.23</v>
      </c>
      <c r="K530" s="80" t="n">
        <v>1047.62</v>
      </c>
      <c r="L530" s="80" t="n">
        <v>970.46</v>
      </c>
      <c r="M530" s="80">
        <f>IFERROR((H530-J530)/J530,0)</f>
        <v/>
      </c>
      <c r="N530" s="80">
        <f>IFERROR((H530-K530)/K530,0)</f>
        <v/>
      </c>
      <c r="O530" s="80">
        <f>IFERROR((H530-L530)/L530,0)</f>
        <v/>
      </c>
      <c r="P530" s="80" t="n">
        <v>850</v>
      </c>
      <c r="Q530" s="80" t="n">
        <v>1870</v>
      </c>
      <c r="R530" s="80" t="inlineStr">
        <is>
          <t>5-10yr</t>
        </is>
      </c>
      <c r="S530" s="80" t="n">
        <v>4</v>
      </c>
      <c r="U530" s="80">
        <f>MAX(0,MIN(100,50+((M530*0.6)+(N530*0.4))*200))</f>
        <v/>
      </c>
      <c r="V530" s="80">
        <f>MAX(20,MIN(100,50+(P530-H530)/P530*100))</f>
        <v/>
      </c>
      <c r="W530" s="80">
        <f>IFERROR(MAX(0,MIN(100,100-LOG10(T530)*16)),60)</f>
        <v/>
      </c>
      <c r="X530" s="80">
        <f>IF(C530="T2",85,IF(C530="T4",70,IF(C530="T1",65,IF(C530="T3",55,45))))</f>
        <v/>
      </c>
      <c r="Y530" s="80">
        <f>U530*0.55+W530*0.20+V530*0.15+X530*0.10+ROW()/1000000</f>
        <v/>
      </c>
      <c r="Z530" s="80">
        <f>IF(Y530&gt;=75,"STRONG BUY",IF(Y530&gt;=60,"BUY",IF(Y530&gt;=40,"HOLD",IF(Y530&gt;=25,"TRIM","SELL"))))</f>
        <v/>
      </c>
      <c r="AA530" s="80" t="inlineStr">
        <is>
          <t>https://www.pricecharting.com/game/pokemon-champions-path/premium</t>
        </is>
      </c>
      <c r="AB530" s="80" t="inlineStr">
        <is>
          <t>CP Premium.</t>
        </is>
      </c>
    </row>
    <row r="531">
      <c r="A531" s="80" t="inlineStr">
        <is>
          <t>X523</t>
        </is>
      </c>
      <c r="B531" s="80" t="inlineStr">
        <is>
          <t>Sealed Modern</t>
        </is>
      </c>
      <c r="C531" s="80" t="inlineStr">
        <is>
          <t>T3</t>
        </is>
      </c>
      <c r="D531" s="80" t="inlineStr">
        <is>
          <t>Hidden Fates Premium Collection</t>
        </is>
      </c>
      <c r="E531" s="80" t="inlineStr">
        <is>
          <t>Hidden Fates</t>
        </is>
      </c>
      <c r="F531" s="80" t="inlineStr">
        <is>
          <t>Premium</t>
        </is>
      </c>
      <c r="G531" s="80" t="inlineStr">
        <is>
          <t>Sealed</t>
        </is>
      </c>
      <c r="H531" s="80" t="n">
        <v>1200</v>
      </c>
      <c r="I531" s="123" t="n">
        <v>46154</v>
      </c>
      <c r="J531" s="80" t="n">
        <v>1180.11</v>
      </c>
      <c r="K531" s="80" t="n">
        <v>1142.86</v>
      </c>
      <c r="L531" s="80" t="n">
        <v>1113.6</v>
      </c>
      <c r="M531" s="80">
        <f>IFERROR((H531-J531)/J531,0)</f>
        <v/>
      </c>
      <c r="N531" s="80">
        <f>IFERROR((H531-K531)/K531,0)</f>
        <v/>
      </c>
      <c r="O531" s="80">
        <f>IFERROR((H531-L531)/L531,0)</f>
        <v/>
      </c>
      <c r="P531" s="80" t="n">
        <v>940</v>
      </c>
      <c r="Q531" s="80" t="n">
        <v>2040</v>
      </c>
      <c r="R531" s="80" t="inlineStr">
        <is>
          <t>5-10yr</t>
        </is>
      </c>
      <c r="S531" s="80" t="n">
        <v>4</v>
      </c>
      <c r="U531" s="80">
        <f>MAX(0,MIN(100,50+((M531*0.6)+(N531*0.4))*200))</f>
        <v/>
      </c>
      <c r="V531" s="80">
        <f>MAX(20,MIN(100,50+(P531-H531)/P531*100))</f>
        <v/>
      </c>
      <c r="W531" s="80">
        <f>IFERROR(MAX(0,MIN(100,100-LOG10(T531)*16)),60)</f>
        <v/>
      </c>
      <c r="X531" s="80">
        <f>IF(C531="T2",85,IF(C531="T4",70,IF(C531="T1",65,IF(C531="T3",55,45))))</f>
        <v/>
      </c>
      <c r="Y531" s="80">
        <f>U531*0.55+W531*0.20+V531*0.15+X531*0.10+ROW()/1000000</f>
        <v/>
      </c>
      <c r="Z531" s="80">
        <f>IF(Y531&gt;=75,"STRONG BUY",IF(Y531&gt;=60,"BUY",IF(Y531&gt;=40,"HOLD",IF(Y531&gt;=25,"TRIM","SELL"))))</f>
        <v/>
      </c>
      <c r="AA531" s="80" t="inlineStr">
        <is>
          <t>https://www.pricecharting.com/game/pokemon-hidden-fates/premium-collection</t>
        </is>
      </c>
      <c r="AB531" s="80" t="inlineStr">
        <is>
          <t>HF Premium.</t>
        </is>
      </c>
    </row>
    <row r="532">
      <c r="A532" s="80" t="inlineStr">
        <is>
          <t>X524</t>
        </is>
      </c>
      <c r="B532" s="80" t="inlineStr">
        <is>
          <t>Sealed Modern</t>
        </is>
      </c>
      <c r="C532" s="80" t="inlineStr">
        <is>
          <t>T3</t>
        </is>
      </c>
      <c r="D532" s="80" t="inlineStr">
        <is>
          <t>Pokemon GO Elite Trainer Bundle</t>
        </is>
      </c>
      <c r="E532" s="80" t="inlineStr">
        <is>
          <t>Pokemon GO</t>
        </is>
      </c>
      <c r="F532" s="80" t="inlineStr">
        <is>
          <t>Bundle</t>
        </is>
      </c>
      <c r="G532" s="80" t="inlineStr">
        <is>
          <t>Sealed</t>
        </is>
      </c>
      <c r="H532" s="80" t="n">
        <v>1300</v>
      </c>
      <c r="I532" s="123" t="n">
        <v>46154</v>
      </c>
      <c r="J532" s="80" t="n">
        <v>1293.41</v>
      </c>
      <c r="K532" s="80" t="n">
        <v>1250</v>
      </c>
      <c r="L532" s="80" t="n">
        <v>1191.98</v>
      </c>
      <c r="M532" s="80">
        <f>IFERROR((H532-J532)/J532,0)</f>
        <v/>
      </c>
      <c r="N532" s="80">
        <f>IFERROR((H532-K532)/K532,0)</f>
        <v/>
      </c>
      <c r="O532" s="80">
        <f>IFERROR((H532-L532)/L532,0)</f>
        <v/>
      </c>
      <c r="P532" s="80" t="n">
        <v>1000</v>
      </c>
      <c r="Q532" s="80" t="n">
        <v>2210</v>
      </c>
      <c r="R532" s="80" t="inlineStr">
        <is>
          <t>5-10yr</t>
        </is>
      </c>
      <c r="S532" s="80" t="n">
        <v>4</v>
      </c>
      <c r="U532" s="80">
        <f>MAX(0,MIN(100,50+((M532*0.6)+(N532*0.4))*200))</f>
        <v/>
      </c>
      <c r="V532" s="80">
        <f>MAX(20,MIN(100,50+(P532-H532)/P532*100))</f>
        <v/>
      </c>
      <c r="W532" s="80">
        <f>IFERROR(MAX(0,MIN(100,100-LOG10(T532)*16)),60)</f>
        <v/>
      </c>
      <c r="X532" s="80">
        <f>IF(C532="T2",85,IF(C532="T4",70,IF(C532="T1",65,IF(C532="T3",55,45))))</f>
        <v/>
      </c>
      <c r="Y532" s="80">
        <f>U532*0.55+W532*0.20+V532*0.15+X532*0.10+ROW()/1000000</f>
        <v/>
      </c>
      <c r="Z532" s="80">
        <f>IF(Y532&gt;=75,"STRONG BUY",IF(Y532&gt;=60,"BUY",IF(Y532&gt;=40,"HOLD",IF(Y532&gt;=25,"TRIM","SELL"))))</f>
        <v/>
      </c>
      <c r="AA532" s="80" t="inlineStr">
        <is>
          <t>https://www.pricecharting.com/game/pokemon-pokemon-go/elite-bundle</t>
        </is>
      </c>
      <c r="AB532" s="80" t="inlineStr">
        <is>
          <t>GO Elite Bundle. Hard to find.</t>
        </is>
      </c>
    </row>
    <row r="533">
      <c r="A533" s="80" t="inlineStr">
        <is>
          <t>X525</t>
        </is>
      </c>
      <c r="B533" s="80" t="inlineStr">
        <is>
          <t>Sealed Modern</t>
        </is>
      </c>
      <c r="C533" s="80" t="inlineStr">
        <is>
          <t>T3</t>
        </is>
      </c>
      <c r="D533" s="80" t="inlineStr">
        <is>
          <t>Hidden Fates Booster Box</t>
        </is>
      </c>
      <c r="E533" s="80" t="inlineStr">
        <is>
          <t>Hidden Fates</t>
        </is>
      </c>
      <c r="F533" s="80" t="inlineStr">
        <is>
          <t>Box</t>
        </is>
      </c>
      <c r="G533" s="80" t="inlineStr">
        <is>
          <t>Sealed</t>
        </is>
      </c>
      <c r="H533" s="80" t="n">
        <v>2400</v>
      </c>
      <c r="I533" s="123" t="n">
        <v>46154</v>
      </c>
      <c r="J533" s="80" t="n">
        <v>2350.6</v>
      </c>
      <c r="K533" s="80" t="n">
        <v>2264.15</v>
      </c>
      <c r="L533" s="80" t="n">
        <v>2065.27</v>
      </c>
      <c r="M533" s="80">
        <f>IFERROR((H533-J533)/J533,0)</f>
        <v/>
      </c>
      <c r="N533" s="80">
        <f>IFERROR((H533-K533)/K533,0)</f>
        <v/>
      </c>
      <c r="O533" s="80">
        <f>IFERROR((H533-L533)/L533,0)</f>
        <v/>
      </c>
      <c r="P533" s="80" t="n">
        <v>1900</v>
      </c>
      <c r="Q533" s="80" t="n">
        <v>4080</v>
      </c>
      <c r="R533" s="80" t="inlineStr">
        <is>
          <t>5-10yr</t>
        </is>
      </c>
      <c r="S533" s="80" t="n">
        <v>5</v>
      </c>
      <c r="U533" s="80">
        <f>MAX(0,MIN(100,50+((M533*0.6)+(N533*0.4))*200))</f>
        <v/>
      </c>
      <c r="V533" s="80">
        <f>MAX(20,MIN(100,50+(P533-H533)/P533*100))</f>
        <v/>
      </c>
      <c r="W533" s="80">
        <f>IFERROR(MAX(0,MIN(100,100-LOG10(T533)*16)),60)</f>
        <v/>
      </c>
      <c r="X533" s="80">
        <f>IF(C533="T2",85,IF(C533="T4",70,IF(C533="T1",65,IF(C533="T3",55,45))))</f>
        <v/>
      </c>
      <c r="Y533" s="80">
        <f>U533*0.55+W533*0.20+V533*0.15+X533*0.10+ROW()/1000000</f>
        <v/>
      </c>
      <c r="Z533" s="80">
        <f>IF(Y533&gt;=75,"STRONG BUY",IF(Y533&gt;=60,"BUY",IF(Y533&gt;=40,"HOLD",IF(Y533&gt;=25,"TRIM","SELL"))))</f>
        <v/>
      </c>
      <c r="AA533" s="80" t="inlineStr">
        <is>
          <t>https://www.pricecharting.com/game/pokemon-hidden-fates/booster-box</t>
        </is>
      </c>
      <c r="AB533" s="80" t="inlineStr">
        <is>
          <t>HF BB. Hard sealed vintage modern.</t>
        </is>
      </c>
    </row>
    <row r="534">
      <c r="A534" s="80" t="inlineStr">
        <is>
          <t>X526</t>
        </is>
      </c>
      <c r="B534" s="80" t="inlineStr">
        <is>
          <t>Sealed Modern</t>
        </is>
      </c>
      <c r="C534" s="80" t="inlineStr">
        <is>
          <t>T3</t>
        </is>
      </c>
      <c r="D534" s="80" t="inlineStr">
        <is>
          <t>Champion's Path Booster Box (case)</t>
        </is>
      </c>
      <c r="E534" s="80" t="inlineStr">
        <is>
          <t>Champion's Path</t>
        </is>
      </c>
      <c r="F534" s="80" t="inlineStr">
        <is>
          <t>Case</t>
        </is>
      </c>
      <c r="G534" s="80" t="inlineStr">
        <is>
          <t>Sealed</t>
        </is>
      </c>
      <c r="H534" s="80" t="n">
        <v>6500</v>
      </c>
      <c r="I534" s="123" t="n">
        <v>46154</v>
      </c>
      <c r="J534" s="80" t="n">
        <v>6445.35</v>
      </c>
      <c r="K534" s="80" t="n">
        <v>6132.08</v>
      </c>
      <c r="L534" s="80" t="n">
        <v>5862.11</v>
      </c>
      <c r="M534" s="80">
        <f>IFERROR((H534-J534)/J534,0)</f>
        <v/>
      </c>
      <c r="N534" s="80">
        <f>IFERROR((H534-K534)/K534,0)</f>
        <v/>
      </c>
      <c r="O534" s="80">
        <f>IFERROR((H534-L534)/L534,0)</f>
        <v/>
      </c>
      <c r="P534" s="80" t="n">
        <v>5100</v>
      </c>
      <c r="Q534" s="80" t="n">
        <v>11050</v>
      </c>
      <c r="R534" s="80" t="inlineStr">
        <is>
          <t>5-10yr</t>
        </is>
      </c>
      <c r="S534" s="80" t="n">
        <v>5</v>
      </c>
      <c r="U534" s="80">
        <f>MAX(0,MIN(100,50+((M534*0.6)+(N534*0.4))*200))</f>
        <v/>
      </c>
      <c r="V534" s="80">
        <f>MAX(20,MIN(100,50+(P534-H534)/P534*100))</f>
        <v/>
      </c>
      <c r="W534" s="80">
        <f>IFERROR(MAX(0,MIN(100,100-LOG10(T534)*16)),60)</f>
        <v/>
      </c>
      <c r="X534" s="80">
        <f>IF(C534="T2",85,IF(C534="T4",70,IF(C534="T1",65,IF(C534="T3",55,45))))</f>
        <v/>
      </c>
      <c r="Y534" s="80">
        <f>U534*0.55+W534*0.20+V534*0.15+X534*0.10+ROW()/1000000</f>
        <v/>
      </c>
      <c r="Z534" s="80">
        <f>IF(Y534&gt;=75,"STRONG BUY",IF(Y534&gt;=60,"BUY",IF(Y534&gt;=40,"HOLD",IF(Y534&gt;=25,"TRIM","SELL"))))</f>
        <v/>
      </c>
      <c r="AA534" s="80" t="inlineStr">
        <is>
          <t>https://www.pricecharting.com/game/pokemon-champions-path/booster-box-case</t>
        </is>
      </c>
      <c r="AB534" s="80" t="inlineStr">
        <is>
          <t>CP Case. Institutional.</t>
        </is>
      </c>
    </row>
    <row r="535">
      <c r="A535" s="80" t="inlineStr">
        <is>
          <t>X531</t>
        </is>
      </c>
      <c r="B535" s="80" t="inlineStr">
        <is>
          <t>Sealed Modern</t>
        </is>
      </c>
      <c r="C535" s="80" t="inlineStr">
        <is>
          <t>T3</t>
        </is>
      </c>
      <c r="D535" s="80" t="inlineStr">
        <is>
          <t>Base Set Booster Box Unlimited (sealed)</t>
        </is>
      </c>
      <c r="E535" s="80" t="inlineStr">
        <is>
          <t>Base Set</t>
        </is>
      </c>
      <c r="F535" s="80" t="inlineStr">
        <is>
          <t>Box</t>
        </is>
      </c>
      <c r="G535" s="80" t="inlineStr">
        <is>
          <t>Sealed</t>
        </is>
      </c>
      <c r="H535" s="80" t="n">
        <v>45000</v>
      </c>
      <c r="I535" s="123" t="n">
        <v>46154</v>
      </c>
      <c r="J535" s="80" t="n">
        <v>44405.03</v>
      </c>
      <c r="K535" s="80" t="n">
        <v>43689.32</v>
      </c>
      <c r="L535" s="80" t="n">
        <v>41388.14</v>
      </c>
      <c r="M535" s="80">
        <f>IFERROR((H535-J535)/J535,0)</f>
        <v/>
      </c>
      <c r="N535" s="80">
        <f>IFERROR((H535-K535)/K535,0)</f>
        <v/>
      </c>
      <c r="O535" s="80">
        <f>IFERROR((H535-L535)/L535,0)</f>
        <v/>
      </c>
      <c r="P535" s="80" t="n">
        <v>36000</v>
      </c>
      <c r="Q535" s="80" t="n">
        <v>76500</v>
      </c>
      <c r="R535" s="80" t="inlineStr">
        <is>
          <t>10yr+</t>
        </is>
      </c>
      <c r="S535" s="80" t="n">
        <v>5</v>
      </c>
      <c r="U535" s="80">
        <f>MAX(0,MIN(100,50+((M535*0.6)+(N535*0.4))*200))</f>
        <v/>
      </c>
      <c r="V535" s="80">
        <f>MAX(20,MIN(100,50+(P535-H535)/P535*100))</f>
        <v/>
      </c>
      <c r="W535" s="80">
        <f>IFERROR(MAX(0,MIN(100,100-LOG10(T535)*16)),60)</f>
        <v/>
      </c>
      <c r="X535" s="80">
        <f>IF(C535="T2",85,IF(C535="T4",70,IF(C535="T1",65,IF(C535="T3",55,45))))</f>
        <v/>
      </c>
      <c r="Y535" s="80">
        <f>U535*0.55+W535*0.20+V535*0.15+X535*0.10+ROW()/1000000</f>
        <v/>
      </c>
      <c r="Z535" s="80">
        <f>IF(Y535&gt;=75,"STRONG BUY",IF(Y535&gt;=60,"BUY",IF(Y535&gt;=40,"HOLD",IF(Y535&gt;=25,"TRIM","SELL"))))</f>
        <v/>
      </c>
      <c r="AA535" s="80" t="inlineStr">
        <is>
          <t>https://www.pricecharting.com/game/pokemon-base-set/booster-box</t>
        </is>
      </c>
      <c r="AB535" s="80" t="inlineStr">
        <is>
          <t>Base Unlimited BB sealed. Wax grail.</t>
        </is>
      </c>
    </row>
    <row r="536">
      <c r="A536" s="80" t="inlineStr">
        <is>
          <t>X532</t>
        </is>
      </c>
      <c r="B536" s="80" t="inlineStr">
        <is>
          <t>Sealed Modern</t>
        </is>
      </c>
      <c r="C536" s="80" t="inlineStr">
        <is>
          <t>T3</t>
        </is>
      </c>
      <c r="D536" s="80" t="inlineStr">
        <is>
          <t>Jungle Booster Box Unlimited (sealed)</t>
        </is>
      </c>
      <c r="E536" s="80" t="inlineStr">
        <is>
          <t>Jungle</t>
        </is>
      </c>
      <c r="F536" s="80" t="inlineStr">
        <is>
          <t>Box</t>
        </is>
      </c>
      <c r="G536" s="80" t="inlineStr">
        <is>
          <t>Sealed</t>
        </is>
      </c>
      <c r="H536" s="80" t="n">
        <v>18000</v>
      </c>
      <c r="I536" s="123" t="n">
        <v>46154</v>
      </c>
      <c r="J536" s="80" t="n">
        <v>17812.3</v>
      </c>
      <c r="K536" s="80" t="n">
        <v>17475.73</v>
      </c>
      <c r="L536" s="80" t="n">
        <v>16712.87</v>
      </c>
      <c r="M536" s="80">
        <f>IFERROR((H536-J536)/J536,0)</f>
        <v/>
      </c>
      <c r="N536" s="80">
        <f>IFERROR((H536-K536)/K536,0)</f>
        <v/>
      </c>
      <c r="O536" s="80">
        <f>IFERROR((H536-L536)/L536,0)</f>
        <v/>
      </c>
      <c r="P536" s="80" t="n">
        <v>14000</v>
      </c>
      <c r="Q536" s="80" t="n">
        <v>30600</v>
      </c>
      <c r="R536" s="80" t="inlineStr">
        <is>
          <t>10yr+</t>
        </is>
      </c>
      <c r="S536" s="80" t="n">
        <v>5</v>
      </c>
      <c r="U536" s="80">
        <f>MAX(0,MIN(100,50+((M536*0.6)+(N536*0.4))*200))</f>
        <v/>
      </c>
      <c r="V536" s="80">
        <f>MAX(20,MIN(100,50+(P536-H536)/P536*100))</f>
        <v/>
      </c>
      <c r="W536" s="80">
        <f>IFERROR(MAX(0,MIN(100,100-LOG10(T536)*16)),60)</f>
        <v/>
      </c>
      <c r="X536" s="80">
        <f>IF(C536="T2",85,IF(C536="T4",70,IF(C536="T1",65,IF(C536="T3",55,45))))</f>
        <v/>
      </c>
      <c r="Y536" s="80">
        <f>U536*0.55+W536*0.20+V536*0.15+X536*0.10+ROW()/1000000</f>
        <v/>
      </c>
      <c r="Z536" s="80">
        <f>IF(Y536&gt;=75,"STRONG BUY",IF(Y536&gt;=60,"BUY",IF(Y536&gt;=40,"HOLD",IF(Y536&gt;=25,"TRIM","SELL"))))</f>
        <v/>
      </c>
      <c r="AA536" s="80" t="inlineStr">
        <is>
          <t>https://www.pricecharting.com/game/pokemon-jungle/booster-box</t>
        </is>
      </c>
      <c r="AB536" s="80" t="inlineStr">
        <is>
          <t>Jungle Unlimited BB.</t>
        </is>
      </c>
    </row>
    <row r="537">
      <c r="A537" s="80" t="inlineStr">
        <is>
          <t>X533</t>
        </is>
      </c>
      <c r="B537" s="80" t="inlineStr">
        <is>
          <t>Sealed Modern</t>
        </is>
      </c>
      <c r="C537" s="80" t="inlineStr">
        <is>
          <t>T3</t>
        </is>
      </c>
      <c r="D537" s="80" t="inlineStr">
        <is>
          <t>Fossil Booster Box Unlimited (sealed)</t>
        </is>
      </c>
      <c r="E537" s="80" t="inlineStr">
        <is>
          <t>Fossil</t>
        </is>
      </c>
      <c r="F537" s="80" t="inlineStr">
        <is>
          <t>Box</t>
        </is>
      </c>
      <c r="G537" s="80" t="inlineStr">
        <is>
          <t>Sealed</t>
        </is>
      </c>
      <c r="H537" s="80" t="n">
        <v>17000</v>
      </c>
      <c r="I537" s="123" t="n">
        <v>46154</v>
      </c>
      <c r="J537" s="80" t="n">
        <v>16682.42</v>
      </c>
      <c r="K537" s="80" t="n">
        <v>16504.85</v>
      </c>
      <c r="L537" s="80" t="n">
        <v>15619.6</v>
      </c>
      <c r="M537" s="80">
        <f>IFERROR((H537-J537)/J537,0)</f>
        <v/>
      </c>
      <c r="N537" s="80">
        <f>IFERROR((H537-K537)/K537,0)</f>
        <v/>
      </c>
      <c r="O537" s="80">
        <f>IFERROR((H537-L537)/L537,0)</f>
        <v/>
      </c>
      <c r="P537" s="80" t="n">
        <v>13500</v>
      </c>
      <c r="Q537" s="80" t="n">
        <v>28900</v>
      </c>
      <c r="R537" s="80" t="inlineStr">
        <is>
          <t>10yr+</t>
        </is>
      </c>
      <c r="S537" s="80" t="n">
        <v>5</v>
      </c>
      <c r="U537" s="80">
        <f>MAX(0,MIN(100,50+((M537*0.6)+(N537*0.4))*200))</f>
        <v/>
      </c>
      <c r="V537" s="80">
        <f>MAX(20,MIN(100,50+(P537-H537)/P537*100))</f>
        <v/>
      </c>
      <c r="W537" s="80">
        <f>IFERROR(MAX(0,MIN(100,100-LOG10(T537)*16)),60)</f>
        <v/>
      </c>
      <c r="X537" s="80">
        <f>IF(C537="T2",85,IF(C537="T4",70,IF(C537="T1",65,IF(C537="T3",55,45))))</f>
        <v/>
      </c>
      <c r="Y537" s="80">
        <f>U537*0.55+W537*0.20+V537*0.15+X537*0.10+ROW()/1000000</f>
        <v/>
      </c>
      <c r="Z537" s="80">
        <f>IF(Y537&gt;=75,"STRONG BUY",IF(Y537&gt;=60,"BUY",IF(Y537&gt;=40,"HOLD",IF(Y537&gt;=25,"TRIM","SELL"))))</f>
        <v/>
      </c>
      <c r="AA537" s="80" t="inlineStr">
        <is>
          <t>https://www.pricecharting.com/game/pokemon-fossil/booster-box</t>
        </is>
      </c>
      <c r="AB537" s="80" t="inlineStr">
        <is>
          <t>Fossil Unlimited BB.</t>
        </is>
      </c>
    </row>
    <row r="538">
      <c r="A538" s="80" t="inlineStr">
        <is>
          <t>X534</t>
        </is>
      </c>
      <c r="B538" s="80" t="inlineStr">
        <is>
          <t>Sealed Modern</t>
        </is>
      </c>
      <c r="C538" s="80" t="inlineStr">
        <is>
          <t>T3</t>
        </is>
      </c>
      <c r="D538" s="80" t="inlineStr">
        <is>
          <t>Neo Genesis Booster Box Unlimited (sealed)</t>
        </is>
      </c>
      <c r="E538" s="80" t="inlineStr">
        <is>
          <t>Neo Genesis</t>
        </is>
      </c>
      <c r="F538" s="80" t="inlineStr">
        <is>
          <t>Box</t>
        </is>
      </c>
      <c r="G538" s="80" t="inlineStr">
        <is>
          <t>Sealed</t>
        </is>
      </c>
      <c r="H538" s="80" t="n">
        <v>14000</v>
      </c>
      <c r="I538" s="123" t="n">
        <v>46154</v>
      </c>
      <c r="J538" s="80" t="n">
        <v>14044.95</v>
      </c>
      <c r="K538" s="80" t="n">
        <v>13461.54</v>
      </c>
      <c r="L538" s="80" t="n">
        <v>12462.89</v>
      </c>
      <c r="M538" s="80">
        <f>IFERROR((H538-J538)/J538,0)</f>
        <v/>
      </c>
      <c r="N538" s="80">
        <f>IFERROR((H538-K538)/K538,0)</f>
        <v/>
      </c>
      <c r="O538" s="80">
        <f>IFERROR((H538-L538)/L538,0)</f>
        <v/>
      </c>
      <c r="P538" s="80" t="n">
        <v>11000</v>
      </c>
      <c r="Q538" s="80" t="n">
        <v>23800</v>
      </c>
      <c r="R538" s="80" t="inlineStr">
        <is>
          <t>10yr+</t>
        </is>
      </c>
      <c r="S538" s="80" t="n">
        <v>5</v>
      </c>
      <c r="U538" s="80">
        <f>MAX(0,MIN(100,50+((M538*0.6)+(N538*0.4))*200))</f>
        <v/>
      </c>
      <c r="V538" s="80">
        <f>MAX(20,MIN(100,50+(P538-H538)/P538*100))</f>
        <v/>
      </c>
      <c r="W538" s="80">
        <f>IFERROR(MAX(0,MIN(100,100-LOG10(T538)*16)),60)</f>
        <v/>
      </c>
      <c r="X538" s="80">
        <f>IF(C538="T2",85,IF(C538="T4",70,IF(C538="T1",65,IF(C538="T3",55,45))))</f>
        <v/>
      </c>
      <c r="Y538" s="80">
        <f>U538*0.55+W538*0.20+V538*0.15+X538*0.10+ROW()/1000000</f>
        <v/>
      </c>
      <c r="Z538" s="80">
        <f>IF(Y538&gt;=75,"STRONG BUY",IF(Y538&gt;=60,"BUY",IF(Y538&gt;=40,"HOLD",IF(Y538&gt;=25,"TRIM","SELL"))))</f>
        <v/>
      </c>
      <c r="AA538" s="80" t="inlineStr">
        <is>
          <t>https://www.pricecharting.com/game/pokemon-neo-genesis/booster-box</t>
        </is>
      </c>
      <c r="AB538" s="80" t="inlineStr">
        <is>
          <t>Neo Genesis Unlimited BB.</t>
        </is>
      </c>
    </row>
    <row r="539">
      <c r="A539" s="80" t="inlineStr">
        <is>
          <t>X535</t>
        </is>
      </c>
      <c r="B539" s="80" t="inlineStr">
        <is>
          <t>Sealed Modern</t>
        </is>
      </c>
      <c r="C539" s="80" t="inlineStr">
        <is>
          <t>T3</t>
        </is>
      </c>
      <c r="D539" s="80" t="inlineStr">
        <is>
          <t>Team Rocket Booster Box Unlimited (sealed)</t>
        </is>
      </c>
      <c r="E539" s="80" t="inlineStr">
        <is>
          <t>Team Rocket</t>
        </is>
      </c>
      <c r="F539" s="80" t="inlineStr">
        <is>
          <t>Box</t>
        </is>
      </c>
      <c r="G539" s="80" t="inlineStr">
        <is>
          <t>Sealed</t>
        </is>
      </c>
      <c r="H539" s="80" t="n">
        <v>15000</v>
      </c>
      <c r="I539" s="123" t="n">
        <v>46154</v>
      </c>
      <c r="J539" s="80" t="n">
        <v>15031.26</v>
      </c>
      <c r="K539" s="80" t="n">
        <v>14423.08</v>
      </c>
      <c r="L539" s="80" t="n">
        <v>13424.41</v>
      </c>
      <c r="M539" s="80">
        <f>IFERROR((H539-J539)/J539,0)</f>
        <v/>
      </c>
      <c r="N539" s="80">
        <f>IFERROR((H539-K539)/K539,0)</f>
        <v/>
      </c>
      <c r="O539" s="80">
        <f>IFERROR((H539-L539)/L539,0)</f>
        <v/>
      </c>
      <c r="P539" s="80" t="n">
        <v>12000</v>
      </c>
      <c r="Q539" s="80" t="n">
        <v>25500</v>
      </c>
      <c r="R539" s="80" t="inlineStr">
        <is>
          <t>10yr+</t>
        </is>
      </c>
      <c r="S539" s="80" t="n">
        <v>5</v>
      </c>
      <c r="U539" s="80">
        <f>MAX(0,MIN(100,50+((M539*0.6)+(N539*0.4))*200))</f>
        <v/>
      </c>
      <c r="V539" s="80">
        <f>MAX(20,MIN(100,50+(P539-H539)/P539*100))</f>
        <v/>
      </c>
      <c r="W539" s="80">
        <f>IFERROR(MAX(0,MIN(100,100-LOG10(T539)*16)),60)</f>
        <v/>
      </c>
      <c r="X539" s="80">
        <f>IF(C539="T2",85,IF(C539="T4",70,IF(C539="T1",65,IF(C539="T3",55,45))))</f>
        <v/>
      </c>
      <c r="Y539" s="80">
        <f>U539*0.55+W539*0.20+V539*0.15+X539*0.10+ROW()/1000000</f>
        <v/>
      </c>
      <c r="Z539" s="80">
        <f>IF(Y539&gt;=75,"STRONG BUY",IF(Y539&gt;=60,"BUY",IF(Y539&gt;=40,"HOLD",IF(Y539&gt;=25,"TRIM","SELL"))))</f>
        <v/>
      </c>
      <c r="AA539" s="80" t="inlineStr">
        <is>
          <t>https://www.pricecharting.com/game/pokemon-team-rocket/booster-box</t>
        </is>
      </c>
      <c r="AB539" s="80" t="inlineStr">
        <is>
          <t>Team Rocket Unlimited BB.</t>
        </is>
      </c>
    </row>
    <row r="540">
      <c r="A540" s="80" t="inlineStr">
        <is>
          <t>Z001</t>
        </is>
      </c>
      <c r="B540" s="80" t="inlineStr">
        <is>
          <t>Vintage Graded Singles</t>
        </is>
      </c>
      <c r="C540" s="80" t="inlineStr">
        <is>
          <t>T1</t>
        </is>
      </c>
      <c r="D540" s="80" t="inlineStr">
        <is>
          <t>Lugia</t>
        </is>
      </c>
      <c r="E540" s="80" t="inlineStr">
        <is>
          <t>Neo Genesis</t>
        </is>
      </c>
      <c r="F540" s="80" t="inlineStr">
        <is>
          <t>9/111</t>
        </is>
      </c>
      <c r="G540" s="80" t="inlineStr">
        <is>
          <t>PSA 10</t>
        </is>
      </c>
      <c r="H540" s="80" t="n">
        <v>12500</v>
      </c>
      <c r="I540" s="123" t="n">
        <v>46154</v>
      </c>
      <c r="J540" s="80" t="n">
        <v>12139.46</v>
      </c>
      <c r="K540" s="80" t="n">
        <v>11792.45</v>
      </c>
      <c r="L540" s="80" t="n">
        <v>10899.79</v>
      </c>
      <c r="M540" s="80">
        <f>IFERROR((H540-J540)/J540,0)</f>
        <v/>
      </c>
      <c r="N540" s="80">
        <f>IFERROR((H540-K540)/K540,0)</f>
        <v/>
      </c>
      <c r="O540" s="80">
        <f>IFERROR((H540-L540)/L540,0)</f>
        <v/>
      </c>
      <c r="P540" s="80" t="n">
        <v>9500</v>
      </c>
      <c r="Q540" s="80" t="n">
        <v>17500</v>
      </c>
      <c r="R540" s="80" t="inlineStr">
        <is>
          <t>5-10yr</t>
        </is>
      </c>
      <c r="S540" s="80" t="n">
        <v>5</v>
      </c>
      <c r="T540" s="80" t="n">
        <v>215</v>
      </c>
      <c r="U540" s="80">
        <f>MAX(0,MIN(100,50+((M540*0.6)+(N540*0.4))*200))</f>
        <v/>
      </c>
      <c r="V540" s="80">
        <f>MAX(20,MIN(100,50+(P540-H540)/P540*100))</f>
        <v/>
      </c>
      <c r="W540" s="80">
        <f>IFERROR(MAX(0,MIN(100,100-LOG10(T540)*16)),60)</f>
        <v/>
      </c>
      <c r="X540" s="80">
        <f>IF(C540="T2",85,IF(C540="T4",70,IF(C540="T1",65,IF(C540="T3",55,45))))</f>
        <v/>
      </c>
      <c r="Y540" s="80">
        <f>U540*0.55+W540*0.20+V540*0.15+X540*0.10+ROW()/1000000</f>
        <v/>
      </c>
      <c r="Z540" s="80">
        <f>IF(Y540&gt;=75,"STRONG BUY",IF(Y540&gt;=60,"BUY",IF(Y540&gt;=40,"HOLD",IF(Y540&gt;=25,"TRIM","SELL"))))</f>
        <v/>
      </c>
      <c r="AA540" s="80" t="inlineStr">
        <is>
          <t>https://www.pricecharting.com/game/pokemon-neo-genesis/lugia-9</t>
        </is>
      </c>
      <c r="AB540" s="80" t="inlineStr">
        <is>
          <t>Iconic Neo grail. PSA 10 trending up; pop low.</t>
        </is>
      </c>
    </row>
    <row r="541">
      <c r="A541" s="80" t="inlineStr">
        <is>
          <t>Z002</t>
        </is>
      </c>
      <c r="B541" s="80" t="inlineStr">
        <is>
          <t>Vintage Graded Singles</t>
        </is>
      </c>
      <c r="C541" s="80" t="inlineStr">
        <is>
          <t>T1</t>
        </is>
      </c>
      <c r="D541" s="80" t="inlineStr">
        <is>
          <t>Lugia</t>
        </is>
      </c>
      <c r="E541" s="80" t="inlineStr">
        <is>
          <t>Neo Genesis</t>
        </is>
      </c>
      <c r="F541" s="80" t="inlineStr">
        <is>
          <t>9/111</t>
        </is>
      </c>
      <c r="G541" s="80" t="inlineStr">
        <is>
          <t>PSA 9</t>
        </is>
      </c>
      <c r="H541" s="80" t="n">
        <v>2200</v>
      </c>
      <c r="I541" s="123" t="n">
        <v>46154</v>
      </c>
      <c r="J541" s="80" t="n">
        <v>2154.5</v>
      </c>
      <c r="K541" s="80" t="n">
        <v>2115.38</v>
      </c>
      <c r="L541" s="80" t="n">
        <v>1994.8</v>
      </c>
      <c r="M541" s="80">
        <f>IFERROR((H541-J541)/J541,0)</f>
        <v/>
      </c>
      <c r="N541" s="80">
        <f>IFERROR((H541-K541)/K541,0)</f>
        <v/>
      </c>
      <c r="O541" s="80">
        <f>IFERROR((H541-L541)/L541,0)</f>
        <v/>
      </c>
      <c r="P541" s="80" t="n">
        <v>1700</v>
      </c>
      <c r="Q541" s="80" t="n">
        <v>3000</v>
      </c>
      <c r="R541" s="80" t="inlineStr">
        <is>
          <t>3-7yr</t>
        </is>
      </c>
      <c r="S541" s="80" t="n">
        <v>5</v>
      </c>
      <c r="T541" s="80" t="n">
        <v>1450</v>
      </c>
      <c r="U541" s="80">
        <f>MAX(0,MIN(100,50+((M541*0.6)+(N541*0.4))*200))</f>
        <v/>
      </c>
      <c r="V541" s="80">
        <f>MAX(20,MIN(100,50+(P541-H541)/P541*100))</f>
        <v/>
      </c>
      <c r="W541" s="80">
        <f>IFERROR(MAX(0,MIN(100,100-LOG10(T541)*16)),60)</f>
        <v/>
      </c>
      <c r="X541" s="80">
        <f>IF(C541="T2",85,IF(C541="T4",70,IF(C541="T1",65,IF(C541="T3",55,45))))</f>
        <v/>
      </c>
      <c r="Y541" s="80">
        <f>U541*0.55+W541*0.20+V541*0.15+X541*0.10+ROW()/1000000</f>
        <v/>
      </c>
      <c r="Z541" s="80">
        <f>IF(Y541&gt;=75,"STRONG BUY",IF(Y541&gt;=60,"BUY",IF(Y541&gt;=40,"HOLD",IF(Y541&gt;=25,"TRIM","SELL"))))</f>
        <v/>
      </c>
      <c r="AA541" s="80" t="inlineStr">
        <is>
          <t>https://www.pricecharting.com/game/pokemon-neo-genesis/lugia-9</t>
        </is>
      </c>
      <c r="AB541" s="80" t="inlineStr">
        <is>
          <t>More liquid Lugia entry.</t>
        </is>
      </c>
    </row>
    <row r="542">
      <c r="A542" s="80" t="inlineStr">
        <is>
          <t>Z003</t>
        </is>
      </c>
      <c r="B542" s="80" t="inlineStr">
        <is>
          <t>Vintage Graded Singles</t>
        </is>
      </c>
      <c r="C542" s="80" t="inlineStr">
        <is>
          <t>T2</t>
        </is>
      </c>
      <c r="D542" s="80" t="inlineStr">
        <is>
          <t>Lugia</t>
        </is>
      </c>
      <c r="E542" s="80" t="inlineStr">
        <is>
          <t>Neo Genesis</t>
        </is>
      </c>
      <c r="F542" s="80" t="inlineStr">
        <is>
          <t>9/111</t>
        </is>
      </c>
      <c r="G542" s="80" t="inlineStr">
        <is>
          <t>PSA 8</t>
        </is>
      </c>
      <c r="H542" s="80" t="n">
        <v>650</v>
      </c>
      <c r="I542" s="123" t="n">
        <v>46154</v>
      </c>
      <c r="J542" s="80" t="n">
        <v>645.22</v>
      </c>
      <c r="K542" s="80" t="n">
        <v>619.05</v>
      </c>
      <c r="L542" s="80" t="n">
        <v>567.4</v>
      </c>
      <c r="M542" s="80">
        <f>IFERROR((H542-J542)/J542,0)</f>
        <v/>
      </c>
      <c r="N542" s="80">
        <f>IFERROR((H542-K542)/K542,0)</f>
        <v/>
      </c>
      <c r="O542" s="80">
        <f>IFERROR((H542-L542)/L542,0)</f>
        <v/>
      </c>
      <c r="P542" s="80" t="n">
        <v>500</v>
      </c>
      <c r="Q542" s="80" t="n">
        <v>950</v>
      </c>
      <c r="R542" s="80" t="inlineStr">
        <is>
          <t>2-5yr</t>
        </is>
      </c>
      <c r="S542" s="80" t="n">
        <v>4</v>
      </c>
      <c r="T542" s="80" t="n">
        <v>3200</v>
      </c>
      <c r="U542" s="80">
        <f>MAX(0,MIN(100,50+((M542*0.6)+(N542*0.4))*200))</f>
        <v/>
      </c>
      <c r="V542" s="80">
        <f>MAX(20,MIN(100,50+(P542-H542)/P542*100))</f>
        <v/>
      </c>
      <c r="W542" s="80">
        <f>IFERROR(MAX(0,MIN(100,100-LOG10(T542)*16)),60)</f>
        <v/>
      </c>
      <c r="X542" s="80">
        <f>IF(C542="T2",85,IF(C542="T4",70,IF(C542="T1",65,IF(C542="T3",55,45))))</f>
        <v/>
      </c>
      <c r="Y542" s="80">
        <f>U542*0.55+W542*0.20+V542*0.15+X542*0.10+ROW()/1000000</f>
        <v/>
      </c>
      <c r="Z542" s="80">
        <f>IF(Y542&gt;=75,"STRONG BUY",IF(Y542&gt;=60,"BUY",IF(Y542&gt;=40,"HOLD",IF(Y542&gt;=25,"TRIM","SELL"))))</f>
        <v/>
      </c>
      <c r="AA542" s="80" t="inlineStr">
        <is>
          <t>https://www.pricecharting.com/game/pokemon-neo-genesis/lugia-9</t>
        </is>
      </c>
      <c r="AB542" s="80" t="inlineStr">
        <is>
          <t>Affordable Lugia. Vintage entry.</t>
        </is>
      </c>
    </row>
    <row r="543">
      <c r="A543" s="80" t="inlineStr">
        <is>
          <t>Z004</t>
        </is>
      </c>
      <c r="B543" s="80" t="inlineStr">
        <is>
          <t>Vintage Graded Singles</t>
        </is>
      </c>
      <c r="C543" s="80" t="inlineStr">
        <is>
          <t>T2</t>
        </is>
      </c>
      <c r="D543" s="80" t="inlineStr">
        <is>
          <t>Lugia 1st Ed</t>
        </is>
      </c>
      <c r="E543" s="80" t="inlineStr">
        <is>
          <t>Neo Genesis 1st Edition</t>
        </is>
      </c>
      <c r="F543" s="80" t="inlineStr">
        <is>
          <t>9/111</t>
        </is>
      </c>
      <c r="G543" s="80" t="inlineStr">
        <is>
          <t>PSA 9</t>
        </is>
      </c>
      <c r="H543" s="80" t="n">
        <v>8500</v>
      </c>
      <c r="I543" s="123" t="n">
        <v>46154</v>
      </c>
      <c r="J543" s="80" t="n">
        <v>8318.059999999999</v>
      </c>
      <c r="K543" s="80" t="n">
        <v>7870.37</v>
      </c>
      <c r="L543" s="80" t="n">
        <v>7399.24</v>
      </c>
      <c r="M543" s="80">
        <f>IFERROR((H543-J543)/J543,0)</f>
        <v/>
      </c>
      <c r="N543" s="80">
        <f>IFERROR((H543-K543)/K543,0)</f>
        <v/>
      </c>
      <c r="O543" s="80">
        <f>IFERROR((H543-L543)/L543,0)</f>
        <v/>
      </c>
      <c r="P543" s="80" t="n">
        <v>6500</v>
      </c>
      <c r="Q543" s="80" t="n">
        <v>12000</v>
      </c>
      <c r="R543" s="80" t="inlineStr">
        <is>
          <t>5-10yr</t>
        </is>
      </c>
      <c r="S543" s="80" t="n">
        <v>5</v>
      </c>
      <c r="T543" s="80" t="n">
        <v>280</v>
      </c>
      <c r="U543" s="80">
        <f>MAX(0,MIN(100,50+((M543*0.6)+(N543*0.4))*200))</f>
        <v/>
      </c>
      <c r="V543" s="80">
        <f>MAX(20,MIN(100,50+(P543-H543)/P543*100))</f>
        <v/>
      </c>
      <c r="W543" s="80">
        <f>IFERROR(MAX(0,MIN(100,100-LOG10(T543)*16)),60)</f>
        <v/>
      </c>
      <c r="X543" s="80">
        <f>IF(C543="T2",85,IF(C543="T4",70,IF(C543="T1",65,IF(C543="T3",55,45))))</f>
        <v/>
      </c>
      <c r="Y543" s="80">
        <f>U543*0.55+W543*0.20+V543*0.15+X543*0.10+ROW()/1000000</f>
        <v/>
      </c>
      <c r="Z543" s="80">
        <f>IF(Y543&gt;=75,"STRONG BUY",IF(Y543&gt;=60,"BUY",IF(Y543&gt;=40,"HOLD",IF(Y543&gt;=25,"TRIM","SELL"))))</f>
        <v/>
      </c>
      <c r="AA543" s="80" t="inlineStr">
        <is>
          <t>https://www.pricecharting.com/game/pokemon-neo-genesis-1st-edition/lugia-9</t>
        </is>
      </c>
      <c r="AB543" s="80" t="inlineStr">
        <is>
          <t>1st Ed Lugia. Lower pop.</t>
        </is>
      </c>
    </row>
    <row r="544">
      <c r="A544" s="80" t="inlineStr">
        <is>
          <t>Z005</t>
        </is>
      </c>
      <c r="B544" s="80" t="inlineStr">
        <is>
          <t>Vintage Graded Singles</t>
        </is>
      </c>
      <c r="C544" s="80" t="inlineStr">
        <is>
          <t>T2</t>
        </is>
      </c>
      <c r="D544" s="80" t="inlineStr">
        <is>
          <t>Typhlosion 1st Ed</t>
        </is>
      </c>
      <c r="E544" s="80" t="inlineStr">
        <is>
          <t>Neo Genesis 1st Edition</t>
        </is>
      </c>
      <c r="F544" s="80" t="inlineStr">
        <is>
          <t>17/111</t>
        </is>
      </c>
      <c r="G544" s="80" t="inlineStr">
        <is>
          <t>PSA 10</t>
        </is>
      </c>
      <c r="H544" s="80" t="n">
        <v>1800</v>
      </c>
      <c r="I544" s="123" t="n">
        <v>46154</v>
      </c>
      <c r="J544" s="80" t="n">
        <v>1729.03</v>
      </c>
      <c r="K544" s="80" t="n">
        <v>1636.36</v>
      </c>
      <c r="L544" s="80" t="n">
        <v>1547.03</v>
      </c>
      <c r="M544" s="80">
        <f>IFERROR((H544-J544)/J544,0)</f>
        <v/>
      </c>
      <c r="N544" s="80">
        <f>IFERROR((H544-K544)/K544,0)</f>
        <v/>
      </c>
      <c r="O544" s="80">
        <f>IFERROR((H544-L544)/L544,0)</f>
        <v/>
      </c>
      <c r="P544" s="80" t="n">
        <v>1400</v>
      </c>
      <c r="Q544" s="80" t="n">
        <v>2500</v>
      </c>
      <c r="R544" s="80" t="inlineStr">
        <is>
          <t>3-7yr</t>
        </is>
      </c>
      <c r="S544" s="80" t="n">
        <v>4</v>
      </c>
      <c r="T544" s="80" t="n">
        <v>165</v>
      </c>
      <c r="U544" s="80">
        <f>MAX(0,MIN(100,50+((M544*0.6)+(N544*0.4))*200))</f>
        <v/>
      </c>
      <c r="V544" s="80">
        <f>MAX(20,MIN(100,50+(P544-H544)/P544*100))</f>
        <v/>
      </c>
      <c r="W544" s="80">
        <f>IFERROR(MAX(0,MIN(100,100-LOG10(T544)*16)),60)</f>
        <v/>
      </c>
      <c r="X544" s="80">
        <f>IF(C544="T2",85,IF(C544="T4",70,IF(C544="T1",65,IF(C544="T3",55,45))))</f>
        <v/>
      </c>
      <c r="Y544" s="80">
        <f>U544*0.55+W544*0.20+V544*0.15+X544*0.10+ROW()/1000000</f>
        <v/>
      </c>
      <c r="Z544" s="80">
        <f>IF(Y544&gt;=75,"STRONG BUY",IF(Y544&gt;=60,"BUY",IF(Y544&gt;=40,"HOLD",IF(Y544&gt;=25,"TRIM","SELL"))))</f>
        <v/>
      </c>
      <c r="AA544" s="80" t="inlineStr">
        <is>
          <t>https://www.pricecharting.com/game/pokemon-neo-genesis-1st-edition/typhlosion-17</t>
        </is>
      </c>
      <c r="AB544" s="80" t="inlineStr">
        <is>
          <t>Gen 2 starter holo 1st Ed.</t>
        </is>
      </c>
    </row>
    <row r="545">
      <c r="A545" s="80" t="inlineStr">
        <is>
          <t>Z006</t>
        </is>
      </c>
      <c r="B545" s="80" t="inlineStr">
        <is>
          <t>Vintage Graded Singles</t>
        </is>
      </c>
      <c r="C545" s="80" t="inlineStr">
        <is>
          <t>T2</t>
        </is>
      </c>
      <c r="D545" s="80" t="inlineStr">
        <is>
          <t>Meganium 1st Ed</t>
        </is>
      </c>
      <c r="E545" s="80" t="inlineStr">
        <is>
          <t>Neo Genesis 1st Edition</t>
        </is>
      </c>
      <c r="F545" s="80" t="inlineStr">
        <is>
          <t>10/111</t>
        </is>
      </c>
      <c r="G545" s="80" t="inlineStr">
        <is>
          <t>PSA 10</t>
        </is>
      </c>
      <c r="H545" s="80" t="n">
        <v>1400</v>
      </c>
      <c r="I545" s="123" t="n">
        <v>46154</v>
      </c>
      <c r="J545" s="80" t="n">
        <v>1366.64</v>
      </c>
      <c r="K545" s="80" t="n">
        <v>1296.3</v>
      </c>
      <c r="L545" s="80" t="n">
        <v>1181.98</v>
      </c>
      <c r="M545" s="80">
        <f>IFERROR((H545-J545)/J545,0)</f>
        <v/>
      </c>
      <c r="N545" s="80">
        <f>IFERROR((H545-K545)/K545,0)</f>
        <v/>
      </c>
      <c r="O545" s="80">
        <f>IFERROR((H545-L545)/L545,0)</f>
        <v/>
      </c>
      <c r="P545" s="80" t="n">
        <v>1100</v>
      </c>
      <c r="Q545" s="80" t="n">
        <v>2000</v>
      </c>
      <c r="R545" s="80" t="inlineStr">
        <is>
          <t>3-7yr</t>
        </is>
      </c>
      <c r="S545" s="80" t="n">
        <v>4</v>
      </c>
      <c r="T545" s="80" t="n">
        <v>145</v>
      </c>
      <c r="U545" s="80">
        <f>MAX(0,MIN(100,50+((M545*0.6)+(N545*0.4))*200))</f>
        <v/>
      </c>
      <c r="V545" s="80">
        <f>MAX(20,MIN(100,50+(P545-H545)/P545*100))</f>
        <v/>
      </c>
      <c r="W545" s="80">
        <f>IFERROR(MAX(0,MIN(100,100-LOG10(T545)*16)),60)</f>
        <v/>
      </c>
      <c r="X545" s="80">
        <f>IF(C545="T2",85,IF(C545="T4",70,IF(C545="T1",65,IF(C545="T3",55,45))))</f>
        <v/>
      </c>
      <c r="Y545" s="80">
        <f>U545*0.55+W545*0.20+V545*0.15+X545*0.10+ROW()/1000000</f>
        <v/>
      </c>
      <c r="Z545" s="80">
        <f>IF(Y545&gt;=75,"STRONG BUY",IF(Y545&gt;=60,"BUY",IF(Y545&gt;=40,"HOLD",IF(Y545&gt;=25,"TRIM","SELL"))))</f>
        <v/>
      </c>
      <c r="AA545" s="80" t="inlineStr">
        <is>
          <t>https://www.pricecharting.com/game/pokemon-neo-genesis-1st-edition/meganium-10</t>
        </is>
      </c>
      <c r="AB545" s="80" t="inlineStr">
        <is>
          <t>Gen 2 grass starter 1st Ed.</t>
        </is>
      </c>
    </row>
    <row r="546">
      <c r="A546" s="80" t="inlineStr">
        <is>
          <t>Z007</t>
        </is>
      </c>
      <c r="B546" s="80" t="inlineStr">
        <is>
          <t>Vintage Graded Singles</t>
        </is>
      </c>
      <c r="C546" s="80" t="inlineStr">
        <is>
          <t>T2</t>
        </is>
      </c>
      <c r="D546" s="80" t="inlineStr">
        <is>
          <t>Feraligatr 1st Ed</t>
        </is>
      </c>
      <c r="E546" s="80" t="inlineStr">
        <is>
          <t>Neo Genesis 1st Edition</t>
        </is>
      </c>
      <c r="F546" s="80" t="inlineStr">
        <is>
          <t>5/111</t>
        </is>
      </c>
      <c r="G546" s="80" t="inlineStr">
        <is>
          <t>PSA 10</t>
        </is>
      </c>
      <c r="H546" s="80" t="n">
        <v>1600</v>
      </c>
      <c r="I546" s="123" t="n">
        <v>46154</v>
      </c>
      <c r="J546" s="80" t="n">
        <v>1566.26</v>
      </c>
      <c r="K546" s="80" t="n">
        <v>1467.89</v>
      </c>
      <c r="L546" s="80" t="n">
        <v>1349.83</v>
      </c>
      <c r="M546" s="80">
        <f>IFERROR((H546-J546)/J546,0)</f>
        <v/>
      </c>
      <c r="N546" s="80">
        <f>IFERROR((H546-K546)/K546,0)</f>
        <v/>
      </c>
      <c r="O546" s="80">
        <f>IFERROR((H546-L546)/L546,0)</f>
        <v/>
      </c>
      <c r="P546" s="80" t="n">
        <v>1250</v>
      </c>
      <c r="Q546" s="80" t="n">
        <v>2300</v>
      </c>
      <c r="R546" s="80" t="inlineStr">
        <is>
          <t>3-7yr</t>
        </is>
      </c>
      <c r="S546" s="80" t="n">
        <v>4</v>
      </c>
      <c r="T546" s="80" t="n">
        <v>155</v>
      </c>
      <c r="U546" s="80">
        <f>MAX(0,MIN(100,50+((M546*0.6)+(N546*0.4))*200))</f>
        <v/>
      </c>
      <c r="V546" s="80">
        <f>MAX(20,MIN(100,50+(P546-H546)/P546*100))</f>
        <v/>
      </c>
      <c r="W546" s="80">
        <f>IFERROR(MAX(0,MIN(100,100-LOG10(T546)*16)),60)</f>
        <v/>
      </c>
      <c r="X546" s="80">
        <f>IF(C546="T2",85,IF(C546="T4",70,IF(C546="T1",65,IF(C546="T3",55,45))))</f>
        <v/>
      </c>
      <c r="Y546" s="80">
        <f>U546*0.55+W546*0.20+V546*0.15+X546*0.10+ROW()/1000000</f>
        <v/>
      </c>
      <c r="Z546" s="80">
        <f>IF(Y546&gt;=75,"STRONG BUY",IF(Y546&gt;=60,"BUY",IF(Y546&gt;=40,"HOLD",IF(Y546&gt;=25,"TRIM","SELL"))))</f>
        <v/>
      </c>
      <c r="AA546" s="80" t="inlineStr">
        <is>
          <t>https://www.pricecharting.com/game/pokemon-neo-genesis-1st-edition/feraligatr-5</t>
        </is>
      </c>
      <c r="AB546" s="80" t="inlineStr">
        <is>
          <t>Gen 2 water starter 1st Ed.</t>
        </is>
      </c>
    </row>
    <row r="547">
      <c r="A547" s="80" t="inlineStr">
        <is>
          <t>Z010</t>
        </is>
      </c>
      <c r="B547" s="80" t="inlineStr">
        <is>
          <t>Vintage Graded Singles</t>
        </is>
      </c>
      <c r="C547" s="80" t="inlineStr">
        <is>
          <t>T2</t>
        </is>
      </c>
      <c r="D547" s="80" t="inlineStr">
        <is>
          <t>Espeon</t>
        </is>
      </c>
      <c r="E547" s="80" t="inlineStr">
        <is>
          <t>Neo Discovery</t>
        </is>
      </c>
      <c r="F547" s="80" t="inlineStr">
        <is>
          <t>1/75</t>
        </is>
      </c>
      <c r="G547" s="80" t="inlineStr">
        <is>
          <t>PSA 10</t>
        </is>
      </c>
      <c r="H547" s="80" t="n">
        <v>1900</v>
      </c>
      <c r="I547" s="123" t="n">
        <v>46154</v>
      </c>
      <c r="J547" s="80" t="n">
        <v>1839.24</v>
      </c>
      <c r="K547" s="80" t="n">
        <v>1696.43</v>
      </c>
      <c r="L547" s="80" t="n">
        <v>1638.59</v>
      </c>
      <c r="M547" s="80">
        <f>IFERROR((H547-J547)/J547,0)</f>
        <v/>
      </c>
      <c r="N547" s="80">
        <f>IFERROR((H547-K547)/K547,0)</f>
        <v/>
      </c>
      <c r="O547" s="80">
        <f>IFERROR((H547-L547)/L547,0)</f>
        <v/>
      </c>
      <c r="P547" s="80" t="n">
        <v>1500</v>
      </c>
      <c r="Q547" s="80" t="n">
        <v>2700</v>
      </c>
      <c r="R547" s="80" t="inlineStr">
        <is>
          <t>3-7yr</t>
        </is>
      </c>
      <c r="S547" s="80" t="n">
        <v>4</v>
      </c>
      <c r="T547" s="80" t="n">
        <v>225</v>
      </c>
      <c r="U547" s="80">
        <f>MAX(0,MIN(100,50+((M547*0.6)+(N547*0.4))*200))</f>
        <v/>
      </c>
      <c r="V547" s="80">
        <f>MAX(20,MIN(100,50+(P547-H547)/P547*100))</f>
        <v/>
      </c>
      <c r="W547" s="80">
        <f>IFERROR(MAX(0,MIN(100,100-LOG10(T547)*16)),60)</f>
        <v/>
      </c>
      <c r="X547" s="80">
        <f>IF(C547="T2",85,IF(C547="T4",70,IF(C547="T1",65,IF(C547="T3",55,45))))</f>
        <v/>
      </c>
      <c r="Y547" s="80">
        <f>U547*0.55+W547*0.20+V547*0.15+X547*0.10+ROW()/1000000</f>
        <v/>
      </c>
      <c r="Z547" s="80">
        <f>IF(Y547&gt;=75,"STRONG BUY",IF(Y547&gt;=60,"BUY",IF(Y547&gt;=40,"HOLD",IF(Y547&gt;=25,"TRIM","SELL"))))</f>
        <v/>
      </c>
      <c r="AA547" s="80" t="inlineStr">
        <is>
          <t>https://www.pricecharting.com/game/pokemon-neo-discovery/espeon-1</t>
        </is>
      </c>
      <c r="AB547" s="80" t="inlineStr">
        <is>
          <t>First Espeon card. Eeveelution premium.</t>
        </is>
      </c>
    </row>
    <row r="548">
      <c r="A548" s="80" t="inlineStr">
        <is>
          <t>Z011</t>
        </is>
      </c>
      <c r="B548" s="80" t="inlineStr">
        <is>
          <t>Vintage Graded Singles</t>
        </is>
      </c>
      <c r="C548" s="80" t="inlineStr">
        <is>
          <t>T2</t>
        </is>
      </c>
      <c r="D548" s="80" t="inlineStr">
        <is>
          <t>Umbreon</t>
        </is>
      </c>
      <c r="E548" s="80" t="inlineStr">
        <is>
          <t>Neo Discovery</t>
        </is>
      </c>
      <c r="F548" s="80" t="inlineStr">
        <is>
          <t>32/75</t>
        </is>
      </c>
      <c r="G548" s="80" t="inlineStr">
        <is>
          <t>PSA 10</t>
        </is>
      </c>
      <c r="H548" s="80" t="n">
        <v>1700</v>
      </c>
      <c r="I548" s="123" t="n">
        <v>46154</v>
      </c>
      <c r="J548" s="80" t="n">
        <v>1662.64</v>
      </c>
      <c r="K548" s="80" t="n">
        <v>1504.42</v>
      </c>
      <c r="L548" s="80" t="n">
        <v>1375.62</v>
      </c>
      <c r="M548" s="80">
        <f>IFERROR((H548-J548)/J548,0)</f>
        <v/>
      </c>
      <c r="N548" s="80">
        <f>IFERROR((H548-K548)/K548,0)</f>
        <v/>
      </c>
      <c r="O548" s="80">
        <f>IFERROR((H548-L548)/L548,0)</f>
        <v/>
      </c>
      <c r="P548" s="80" t="n">
        <v>1300</v>
      </c>
      <c r="Q548" s="80" t="n">
        <v>2400</v>
      </c>
      <c r="R548" s="80" t="inlineStr">
        <is>
          <t>3-7yr</t>
        </is>
      </c>
      <c r="S548" s="80" t="n">
        <v>4</v>
      </c>
      <c r="T548" s="80" t="n">
        <v>245</v>
      </c>
      <c r="U548" s="80">
        <f>MAX(0,MIN(100,50+((M548*0.6)+(N548*0.4))*200))</f>
        <v/>
      </c>
      <c r="V548" s="80">
        <f>MAX(20,MIN(100,50+(P548-H548)/P548*100))</f>
        <v/>
      </c>
      <c r="W548" s="80">
        <f>IFERROR(MAX(0,MIN(100,100-LOG10(T548)*16)),60)</f>
        <v/>
      </c>
      <c r="X548" s="80">
        <f>IF(C548="T2",85,IF(C548="T4",70,IF(C548="T1",65,IF(C548="T3",55,45))))</f>
        <v/>
      </c>
      <c r="Y548" s="80">
        <f>U548*0.55+W548*0.20+V548*0.15+X548*0.10+ROW()/1000000</f>
        <v/>
      </c>
      <c r="Z548" s="80">
        <f>IF(Y548&gt;=75,"STRONG BUY",IF(Y548&gt;=60,"BUY",IF(Y548&gt;=40,"HOLD",IF(Y548&gt;=25,"TRIM","SELL"))))</f>
        <v/>
      </c>
      <c r="AA548" s="80" t="inlineStr">
        <is>
          <t>https://www.pricecharting.com/game/pokemon-neo-discovery/umbreon-32</t>
        </is>
      </c>
      <c r="AB548" s="80" t="inlineStr">
        <is>
          <t>First Umbreon card. Hot.</t>
        </is>
      </c>
    </row>
    <row r="549">
      <c r="A549" s="80" t="inlineStr">
        <is>
          <t>Z012</t>
        </is>
      </c>
      <c r="B549" s="80" t="inlineStr">
        <is>
          <t>Vintage Graded Singles</t>
        </is>
      </c>
      <c r="C549" s="80" t="inlineStr">
        <is>
          <t>T2</t>
        </is>
      </c>
      <c r="D549" s="80" t="inlineStr">
        <is>
          <t>Espeon 1st Ed</t>
        </is>
      </c>
      <c r="E549" s="80" t="inlineStr">
        <is>
          <t>Neo Discovery 1st Edition</t>
        </is>
      </c>
      <c r="F549" s="80" t="inlineStr">
        <is>
          <t>1/75</t>
        </is>
      </c>
      <c r="G549" s="80" t="inlineStr">
        <is>
          <t>PSA 10</t>
        </is>
      </c>
      <c r="H549" s="80" t="n">
        <v>6500</v>
      </c>
      <c r="I549" s="123" t="n">
        <v>46154</v>
      </c>
      <c r="J549" s="80" t="n">
        <v>6297.04</v>
      </c>
      <c r="K549" s="80" t="n">
        <v>5855.86</v>
      </c>
      <c r="L549" s="80" t="n">
        <v>5693.89</v>
      </c>
      <c r="M549" s="80">
        <f>IFERROR((H549-J549)/J549,0)</f>
        <v/>
      </c>
      <c r="N549" s="80">
        <f>IFERROR((H549-K549)/K549,0)</f>
        <v/>
      </c>
      <c r="O549" s="80">
        <f>IFERROR((H549-L549)/L549,0)</f>
        <v/>
      </c>
      <c r="P549" s="80" t="n">
        <v>5000</v>
      </c>
      <c r="Q549" s="80" t="n">
        <v>9500</v>
      </c>
      <c r="R549" s="80" t="inlineStr">
        <is>
          <t>5-10yr</t>
        </is>
      </c>
      <c r="S549" s="80" t="n">
        <v>5</v>
      </c>
      <c r="T549" s="80" t="n">
        <v>95</v>
      </c>
      <c r="U549" s="80">
        <f>MAX(0,MIN(100,50+((M549*0.6)+(N549*0.4))*200))</f>
        <v/>
      </c>
      <c r="V549" s="80">
        <f>MAX(20,MIN(100,50+(P549-H549)/P549*100))</f>
        <v/>
      </c>
      <c r="W549" s="80">
        <f>IFERROR(MAX(0,MIN(100,100-LOG10(T549)*16)),60)</f>
        <v/>
      </c>
      <c r="X549" s="80">
        <f>IF(C549="T2",85,IF(C549="T4",70,IF(C549="T1",65,IF(C549="T3",55,45))))</f>
        <v/>
      </c>
      <c r="Y549" s="80">
        <f>U549*0.55+W549*0.20+V549*0.15+X549*0.10+ROW()/1000000</f>
        <v/>
      </c>
      <c r="Z549" s="80">
        <f>IF(Y549&gt;=75,"STRONG BUY",IF(Y549&gt;=60,"BUY",IF(Y549&gt;=40,"HOLD",IF(Y549&gt;=25,"TRIM","SELL"))))</f>
        <v/>
      </c>
      <c r="AA549" s="80" t="inlineStr">
        <is>
          <t>https://www.pricecharting.com/game/pokemon-neo-discovery-1st-edition/espeon-1</t>
        </is>
      </c>
      <c r="AB549" s="80" t="inlineStr">
        <is>
          <t>1st Ed Espeon - low pop.</t>
        </is>
      </c>
    </row>
    <row r="550">
      <c r="A550" s="80" t="inlineStr">
        <is>
          <t>Z013</t>
        </is>
      </c>
      <c r="B550" s="80" t="inlineStr">
        <is>
          <t>Vintage Graded Singles</t>
        </is>
      </c>
      <c r="C550" s="80" t="inlineStr">
        <is>
          <t>T2</t>
        </is>
      </c>
      <c r="D550" s="80" t="inlineStr">
        <is>
          <t>Umbreon 1st Ed</t>
        </is>
      </c>
      <c r="E550" s="80" t="inlineStr">
        <is>
          <t>Neo Discovery 1st Edition</t>
        </is>
      </c>
      <c r="F550" s="80" t="inlineStr">
        <is>
          <t>32/75</t>
        </is>
      </c>
      <c r="G550" s="80" t="inlineStr">
        <is>
          <t>PSA 10</t>
        </is>
      </c>
      <c r="H550" s="80" t="n">
        <v>5500</v>
      </c>
      <c r="I550" s="123" t="n">
        <v>46154</v>
      </c>
      <c r="J550" s="80" t="n">
        <v>5323.3</v>
      </c>
      <c r="K550" s="80" t="n">
        <v>4867.26</v>
      </c>
      <c r="L550" s="80" t="n">
        <v>4576.79</v>
      </c>
      <c r="M550" s="80">
        <f>IFERROR((H550-J550)/J550,0)</f>
        <v/>
      </c>
      <c r="N550" s="80">
        <f>IFERROR((H550-K550)/K550,0)</f>
        <v/>
      </c>
      <c r="O550" s="80">
        <f>IFERROR((H550-L550)/L550,0)</f>
        <v/>
      </c>
      <c r="P550" s="80" t="n">
        <v>4200</v>
      </c>
      <c r="Q550" s="80" t="n">
        <v>8000</v>
      </c>
      <c r="R550" s="80" t="inlineStr">
        <is>
          <t>5-10yr</t>
        </is>
      </c>
      <c r="S550" s="80" t="n">
        <v>5</v>
      </c>
      <c r="T550" s="80" t="n">
        <v>110</v>
      </c>
      <c r="U550" s="80">
        <f>MAX(0,MIN(100,50+((M550*0.6)+(N550*0.4))*200))</f>
        <v/>
      </c>
      <c r="V550" s="80">
        <f>MAX(20,MIN(100,50+(P550-H550)/P550*100))</f>
        <v/>
      </c>
      <c r="W550" s="80">
        <f>IFERROR(MAX(0,MIN(100,100-LOG10(T550)*16)),60)</f>
        <v/>
      </c>
      <c r="X550" s="80">
        <f>IF(C550="T2",85,IF(C550="T4",70,IF(C550="T1",65,IF(C550="T3",55,45))))</f>
        <v/>
      </c>
      <c r="Y550" s="80">
        <f>U550*0.55+W550*0.20+V550*0.15+X550*0.10+ROW()/1000000</f>
        <v/>
      </c>
      <c r="Z550" s="80">
        <f>IF(Y550&gt;=75,"STRONG BUY",IF(Y550&gt;=60,"BUY",IF(Y550&gt;=40,"HOLD",IF(Y550&gt;=25,"TRIM","SELL"))))</f>
        <v/>
      </c>
      <c r="AA550" s="80" t="inlineStr">
        <is>
          <t>https://www.pricecharting.com/game/pokemon-neo-discovery-1st-edition/umbreon-32</t>
        </is>
      </c>
      <c r="AB550" s="80" t="inlineStr">
        <is>
          <t>1st Ed Umbreon - the OG.</t>
        </is>
      </c>
    </row>
    <row r="551">
      <c r="A551" s="80" t="inlineStr">
        <is>
          <t>Z020</t>
        </is>
      </c>
      <c r="B551" s="80" t="inlineStr">
        <is>
          <t>Vintage Graded Singles</t>
        </is>
      </c>
      <c r="C551" s="80" t="inlineStr">
        <is>
          <t>T1</t>
        </is>
      </c>
      <c r="D551" s="80" t="inlineStr">
        <is>
          <t>Shining Charizard</t>
        </is>
      </c>
      <c r="E551" s="80" t="inlineStr">
        <is>
          <t>Neo Revelation</t>
        </is>
      </c>
      <c r="F551" s="80" t="inlineStr">
        <is>
          <t>107/64</t>
        </is>
      </c>
      <c r="G551" s="80" t="inlineStr">
        <is>
          <t>PSA 10</t>
        </is>
      </c>
      <c r="H551" s="80" t="n">
        <v>4200</v>
      </c>
      <c r="I551" s="123" t="n">
        <v>46154</v>
      </c>
      <c r="J551" s="80" t="n">
        <v>4129.31</v>
      </c>
      <c r="K551" s="80" t="n">
        <v>3818.18</v>
      </c>
      <c r="L551" s="80" t="n">
        <v>3559.4</v>
      </c>
      <c r="M551" s="80">
        <f>IFERROR((H551-J551)/J551,0)</f>
        <v/>
      </c>
      <c r="N551" s="80">
        <f>IFERROR((H551-K551)/K551,0)</f>
        <v/>
      </c>
      <c r="O551" s="80">
        <f>IFERROR((H551-L551)/L551,0)</f>
        <v/>
      </c>
      <c r="P551" s="80" t="n">
        <v>3300</v>
      </c>
      <c r="Q551" s="80" t="n">
        <v>6000</v>
      </c>
      <c r="R551" s="80" t="inlineStr">
        <is>
          <t>5-10yr</t>
        </is>
      </c>
      <c r="S551" s="80" t="n">
        <v>5</v>
      </c>
      <c r="T551" s="80" t="n">
        <v>320</v>
      </c>
      <c r="U551" s="80">
        <f>MAX(0,MIN(100,50+((M551*0.6)+(N551*0.4))*200))</f>
        <v/>
      </c>
      <c r="V551" s="80">
        <f>MAX(20,MIN(100,50+(P551-H551)/P551*100))</f>
        <v/>
      </c>
      <c r="W551" s="80">
        <f>IFERROR(MAX(0,MIN(100,100-LOG10(T551)*16)),60)</f>
        <v/>
      </c>
      <c r="X551" s="80">
        <f>IF(C551="T2",85,IF(C551="T4",70,IF(C551="T1",65,IF(C551="T3",55,45))))</f>
        <v/>
      </c>
      <c r="Y551" s="80">
        <f>U551*0.55+W551*0.20+V551*0.15+X551*0.10+ROW()/1000000</f>
        <v/>
      </c>
      <c r="Z551" s="80">
        <f>IF(Y551&gt;=75,"STRONG BUY",IF(Y551&gt;=60,"BUY",IF(Y551&gt;=40,"HOLD",IF(Y551&gt;=25,"TRIM","SELL"))))</f>
        <v/>
      </c>
      <c r="AA551" s="80" t="inlineStr">
        <is>
          <t>https://www.pricecharting.com/game/pokemon-neo-revelation/shining-charizard-107</t>
        </is>
      </c>
      <c r="AB551" s="80" t="inlineStr">
        <is>
          <t>Iconic shining Charizard.</t>
        </is>
      </c>
    </row>
    <row r="552">
      <c r="A552" s="80" t="inlineStr">
        <is>
          <t>Z021</t>
        </is>
      </c>
      <c r="B552" s="80" t="inlineStr">
        <is>
          <t>Vintage Graded Singles</t>
        </is>
      </c>
      <c r="C552" s="80" t="inlineStr">
        <is>
          <t>T2</t>
        </is>
      </c>
      <c r="D552" s="80" t="inlineStr">
        <is>
          <t>Shining Charizard</t>
        </is>
      </c>
      <c r="E552" s="80" t="inlineStr">
        <is>
          <t>Neo Revelation</t>
        </is>
      </c>
      <c r="F552" s="80" t="inlineStr">
        <is>
          <t>107/64</t>
        </is>
      </c>
      <c r="G552" s="80" t="inlineStr">
        <is>
          <t>PSA 9</t>
        </is>
      </c>
      <c r="H552" s="80" t="n">
        <v>1100</v>
      </c>
      <c r="I552" s="123" t="n">
        <v>46154</v>
      </c>
      <c r="J552" s="80" t="n">
        <v>1078.22</v>
      </c>
      <c r="K552" s="80" t="n">
        <v>1018.52</v>
      </c>
      <c r="L552" s="80" t="n">
        <v>951.28</v>
      </c>
      <c r="M552" s="80">
        <f>IFERROR((H552-J552)/J552,0)</f>
        <v/>
      </c>
      <c r="N552" s="80">
        <f>IFERROR((H552-K552)/K552,0)</f>
        <v/>
      </c>
      <c r="O552" s="80">
        <f>IFERROR((H552-L552)/L552,0)</f>
        <v/>
      </c>
      <c r="P552" s="80" t="n">
        <v>850</v>
      </c>
      <c r="Q552" s="80" t="n">
        <v>1600</v>
      </c>
      <c r="R552" s="80" t="inlineStr">
        <is>
          <t>3-7yr</t>
        </is>
      </c>
      <c r="S552" s="80" t="n">
        <v>4</v>
      </c>
      <c r="T552" s="80" t="n">
        <v>1850</v>
      </c>
      <c r="U552" s="80">
        <f>MAX(0,MIN(100,50+((M552*0.6)+(N552*0.4))*200))</f>
        <v/>
      </c>
      <c r="V552" s="80">
        <f>MAX(20,MIN(100,50+(P552-H552)/P552*100))</f>
        <v/>
      </c>
      <c r="W552" s="80">
        <f>IFERROR(MAX(0,MIN(100,100-LOG10(T552)*16)),60)</f>
        <v/>
      </c>
      <c r="X552" s="80">
        <f>IF(C552="T2",85,IF(C552="T4",70,IF(C552="T1",65,IF(C552="T3",55,45))))</f>
        <v/>
      </c>
      <c r="Y552" s="80">
        <f>U552*0.55+W552*0.20+V552*0.15+X552*0.10+ROW()/1000000</f>
        <v/>
      </c>
      <c r="Z552" s="80">
        <f>IF(Y552&gt;=75,"STRONG BUY",IF(Y552&gt;=60,"BUY",IF(Y552&gt;=40,"HOLD",IF(Y552&gt;=25,"TRIM","SELL"))))</f>
        <v/>
      </c>
      <c r="AA552" s="80" t="inlineStr">
        <is>
          <t>https://www.pricecharting.com/game/pokemon-neo-revelation/shining-charizard-107</t>
        </is>
      </c>
      <c r="AB552" s="80" t="inlineStr">
        <is>
          <t>PSA 9 entry.</t>
        </is>
      </c>
    </row>
    <row r="553">
      <c r="A553" s="80" t="inlineStr">
        <is>
          <t>Z022</t>
        </is>
      </c>
      <c r="B553" s="80" t="inlineStr">
        <is>
          <t>Vintage Graded Singles</t>
        </is>
      </c>
      <c r="C553" s="80" t="inlineStr">
        <is>
          <t>T2</t>
        </is>
      </c>
      <c r="D553" s="80" t="inlineStr">
        <is>
          <t>Shining Magikarp</t>
        </is>
      </c>
      <c r="E553" s="80" t="inlineStr">
        <is>
          <t>Neo Revelation</t>
        </is>
      </c>
      <c r="F553" s="80" t="inlineStr">
        <is>
          <t>66/64</t>
        </is>
      </c>
      <c r="G553" s="80" t="inlineStr">
        <is>
          <t>PSA 10</t>
        </is>
      </c>
      <c r="H553" s="80" t="n">
        <v>900</v>
      </c>
      <c r="I553" s="123" t="n">
        <v>46154</v>
      </c>
      <c r="J553" s="80" t="n">
        <v>869.6799999999999</v>
      </c>
      <c r="K553" s="80" t="n">
        <v>803.5700000000001</v>
      </c>
      <c r="L553" s="80" t="n">
        <v>784.36</v>
      </c>
      <c r="M553" s="80">
        <f>IFERROR((H553-J553)/J553,0)</f>
        <v/>
      </c>
      <c r="N553" s="80">
        <f>IFERROR((H553-K553)/K553,0)</f>
        <v/>
      </c>
      <c r="O553" s="80">
        <f>IFERROR((H553-L553)/L553,0)</f>
        <v/>
      </c>
      <c r="P553" s="80" t="n">
        <v>700</v>
      </c>
      <c r="Q553" s="80" t="n">
        <v>1300</v>
      </c>
      <c r="R553" s="80" t="inlineStr">
        <is>
          <t>3-7yr</t>
        </is>
      </c>
      <c r="S553" s="80" t="n">
        <v>4</v>
      </c>
      <c r="T553" s="80" t="n">
        <v>380</v>
      </c>
      <c r="U553" s="80">
        <f>MAX(0,MIN(100,50+((M553*0.6)+(N553*0.4))*200))</f>
        <v/>
      </c>
      <c r="V553" s="80">
        <f>MAX(20,MIN(100,50+(P553-H553)/P553*100))</f>
        <v/>
      </c>
      <c r="W553" s="80">
        <f>IFERROR(MAX(0,MIN(100,100-LOG10(T553)*16)),60)</f>
        <v/>
      </c>
      <c r="X553" s="80">
        <f>IF(C553="T2",85,IF(C553="T4",70,IF(C553="T1",65,IF(C553="T3",55,45))))</f>
        <v/>
      </c>
      <c r="Y553" s="80">
        <f>U553*0.55+W553*0.20+V553*0.15+X553*0.10+ROW()/1000000</f>
        <v/>
      </c>
      <c r="Z553" s="80">
        <f>IF(Y553&gt;=75,"STRONG BUY",IF(Y553&gt;=60,"BUY",IF(Y553&gt;=40,"HOLD",IF(Y553&gt;=25,"TRIM","SELL"))))</f>
        <v/>
      </c>
      <c r="AA553" s="80" t="inlineStr">
        <is>
          <t>https://www.pricecharting.com/game/pokemon-neo-revelation/shining-magikarp-66</t>
        </is>
      </c>
      <c r="AB553" s="80" t="inlineStr">
        <is>
          <t>Cheap shining entry.</t>
        </is>
      </c>
    </row>
    <row r="554">
      <c r="A554" s="80" t="inlineStr">
        <is>
          <t>Z023</t>
        </is>
      </c>
      <c r="B554" s="80" t="inlineStr">
        <is>
          <t>Vintage Graded Singles</t>
        </is>
      </c>
      <c r="C554" s="80" t="inlineStr">
        <is>
          <t>T2</t>
        </is>
      </c>
      <c r="D554" s="80" t="inlineStr">
        <is>
          <t>Shining Gyarados</t>
        </is>
      </c>
      <c r="E554" s="80" t="inlineStr">
        <is>
          <t>Neo Revelation</t>
        </is>
      </c>
      <c r="F554" s="80" t="inlineStr">
        <is>
          <t>65/64</t>
        </is>
      </c>
      <c r="G554" s="80" t="inlineStr">
        <is>
          <t>PSA 10</t>
        </is>
      </c>
      <c r="H554" s="80" t="n">
        <v>950</v>
      </c>
      <c r="I554" s="123" t="n">
        <v>46154</v>
      </c>
      <c r="J554" s="80" t="n">
        <v>911.37</v>
      </c>
      <c r="K554" s="80" t="n">
        <v>855.86</v>
      </c>
      <c r="L554" s="80" t="n">
        <v>774.25</v>
      </c>
      <c r="M554" s="80">
        <f>IFERROR((H554-J554)/J554,0)</f>
        <v/>
      </c>
      <c r="N554" s="80">
        <f>IFERROR((H554-K554)/K554,0)</f>
        <v/>
      </c>
      <c r="O554" s="80">
        <f>IFERROR((H554-L554)/L554,0)</f>
        <v/>
      </c>
      <c r="P554" s="80" t="n">
        <v>750</v>
      </c>
      <c r="Q554" s="80" t="n">
        <v>1400</v>
      </c>
      <c r="R554" s="80" t="inlineStr">
        <is>
          <t>3-7yr</t>
        </is>
      </c>
      <c r="S554" s="80" t="n">
        <v>4</v>
      </c>
      <c r="T554" s="80" t="n">
        <v>350</v>
      </c>
      <c r="U554" s="80">
        <f>MAX(0,MIN(100,50+((M554*0.6)+(N554*0.4))*200))</f>
        <v/>
      </c>
      <c r="V554" s="80">
        <f>MAX(20,MIN(100,50+(P554-H554)/P554*100))</f>
        <v/>
      </c>
      <c r="W554" s="80">
        <f>IFERROR(MAX(0,MIN(100,100-LOG10(T554)*16)),60)</f>
        <v/>
      </c>
      <c r="X554" s="80">
        <f>IF(C554="T2",85,IF(C554="T4",70,IF(C554="T1",65,IF(C554="T3",55,45))))</f>
        <v/>
      </c>
      <c r="Y554" s="80">
        <f>U554*0.55+W554*0.20+V554*0.15+X554*0.10+ROW()/1000000</f>
        <v/>
      </c>
      <c r="Z554" s="80">
        <f>IF(Y554&gt;=75,"STRONG BUY",IF(Y554&gt;=60,"BUY",IF(Y554&gt;=40,"HOLD",IF(Y554&gt;=25,"TRIM","SELL"))))</f>
        <v/>
      </c>
      <c r="AA554" s="80" t="inlineStr">
        <is>
          <t>https://www.pricecharting.com/game/pokemon-neo-revelation/shining-gyarados-65</t>
        </is>
      </c>
      <c r="AB554" s="80" t="inlineStr">
        <is>
          <t>Magikarp evolution shining.</t>
        </is>
      </c>
    </row>
    <row r="555">
      <c r="A555" s="80" t="inlineStr">
        <is>
          <t>Z024</t>
        </is>
      </c>
      <c r="B555" s="80" t="inlineStr">
        <is>
          <t>Vintage Graded Singles</t>
        </is>
      </c>
      <c r="C555" s="80" t="inlineStr">
        <is>
          <t>T2</t>
        </is>
      </c>
      <c r="D555" s="80" t="inlineStr">
        <is>
          <t>Ho-Oh</t>
        </is>
      </c>
      <c r="E555" s="80" t="inlineStr">
        <is>
          <t>Neo Revelation</t>
        </is>
      </c>
      <c r="F555" s="80" t="inlineStr">
        <is>
          <t>7/64</t>
        </is>
      </c>
      <c r="G555" s="80" t="inlineStr">
        <is>
          <t>PSA 10</t>
        </is>
      </c>
      <c r="H555" s="80" t="n">
        <v>1600</v>
      </c>
      <c r="I555" s="123" t="n">
        <v>46154</v>
      </c>
      <c r="J555" s="80" t="n">
        <v>1588.28</v>
      </c>
      <c r="K555" s="80" t="n">
        <v>1495.33</v>
      </c>
      <c r="L555" s="80" t="n">
        <v>1429.99</v>
      </c>
      <c r="M555" s="80">
        <f>IFERROR((H555-J555)/J555,0)</f>
        <v/>
      </c>
      <c r="N555" s="80">
        <f>IFERROR((H555-K555)/K555,0)</f>
        <v/>
      </c>
      <c r="O555" s="80">
        <f>IFERROR((H555-L555)/L555,0)</f>
        <v/>
      </c>
      <c r="P555" s="80" t="n">
        <v>1250</v>
      </c>
      <c r="Q555" s="80" t="n">
        <v>2300</v>
      </c>
      <c r="R555" s="80" t="inlineStr">
        <is>
          <t>3-7yr</t>
        </is>
      </c>
      <c r="S555" s="80" t="n">
        <v>4</v>
      </c>
      <c r="T555" s="80" t="n">
        <v>195</v>
      </c>
      <c r="U555" s="80">
        <f>MAX(0,MIN(100,50+((M555*0.6)+(N555*0.4))*200))</f>
        <v/>
      </c>
      <c r="V555" s="80">
        <f>MAX(20,MIN(100,50+(P555-H555)/P555*100))</f>
        <v/>
      </c>
      <c r="W555" s="80">
        <f>IFERROR(MAX(0,MIN(100,100-LOG10(T555)*16)),60)</f>
        <v/>
      </c>
      <c r="X555" s="80">
        <f>IF(C555="T2",85,IF(C555="T4",70,IF(C555="T1",65,IF(C555="T3",55,45))))</f>
        <v/>
      </c>
      <c r="Y555" s="80">
        <f>U555*0.55+W555*0.20+V555*0.15+X555*0.10+ROW()/1000000</f>
        <v/>
      </c>
      <c r="Z555" s="80">
        <f>IF(Y555&gt;=75,"STRONG BUY",IF(Y555&gt;=60,"BUY",IF(Y555&gt;=40,"HOLD",IF(Y555&gt;=25,"TRIM","SELL"))))</f>
        <v/>
      </c>
      <c r="AA555" s="80" t="inlineStr">
        <is>
          <t>https://www.pricecharting.com/game/pokemon-neo-revelation/ho-oh-7</t>
        </is>
      </c>
      <c r="AB555" s="80" t="inlineStr">
        <is>
          <t>Ho-Oh holo - Lugia's counterpart.</t>
        </is>
      </c>
    </row>
    <row r="556">
      <c r="A556" s="80" t="inlineStr">
        <is>
          <t>Z030</t>
        </is>
      </c>
      <c r="B556" s="80" t="inlineStr">
        <is>
          <t>Vintage Graded Singles</t>
        </is>
      </c>
      <c r="C556" s="80" t="inlineStr">
        <is>
          <t>T1</t>
        </is>
      </c>
      <c r="D556" s="80" t="inlineStr">
        <is>
          <t>Shining Mewtwo</t>
        </is>
      </c>
      <c r="E556" s="80" t="inlineStr">
        <is>
          <t>Neo Destiny</t>
        </is>
      </c>
      <c r="F556" s="80" t="inlineStr">
        <is>
          <t>109/105</t>
        </is>
      </c>
      <c r="G556" s="80" t="inlineStr">
        <is>
          <t>PSA 10</t>
        </is>
      </c>
      <c r="H556" s="80" t="n">
        <v>3800</v>
      </c>
      <c r="I556" s="123" t="n">
        <v>46154</v>
      </c>
      <c r="J556" s="80" t="n">
        <v>3758.82</v>
      </c>
      <c r="K556" s="80" t="n">
        <v>3486.24</v>
      </c>
      <c r="L556" s="80" t="n">
        <v>3270.86</v>
      </c>
      <c r="M556" s="80">
        <f>IFERROR((H556-J556)/J556,0)</f>
        <v/>
      </c>
      <c r="N556" s="80">
        <f>IFERROR((H556-K556)/K556,0)</f>
        <v/>
      </c>
      <c r="O556" s="80">
        <f>IFERROR((H556-L556)/L556,0)</f>
        <v/>
      </c>
      <c r="P556" s="80" t="n">
        <v>3000</v>
      </c>
      <c r="Q556" s="80" t="n">
        <v>5500</v>
      </c>
      <c r="R556" s="80" t="inlineStr">
        <is>
          <t>5-10yr</t>
        </is>
      </c>
      <c r="S556" s="80" t="n">
        <v>5</v>
      </c>
      <c r="T556" s="80" t="n">
        <v>295</v>
      </c>
      <c r="U556" s="80">
        <f>MAX(0,MIN(100,50+((M556*0.6)+(N556*0.4))*200))</f>
        <v/>
      </c>
      <c r="V556" s="80">
        <f>MAX(20,MIN(100,50+(P556-H556)/P556*100))</f>
        <v/>
      </c>
      <c r="W556" s="80">
        <f>IFERROR(MAX(0,MIN(100,100-LOG10(T556)*16)),60)</f>
        <v/>
      </c>
      <c r="X556" s="80">
        <f>IF(C556="T2",85,IF(C556="T4",70,IF(C556="T1",65,IF(C556="T3",55,45))))</f>
        <v/>
      </c>
      <c r="Y556" s="80">
        <f>U556*0.55+W556*0.20+V556*0.15+X556*0.10+ROW()/1000000</f>
        <v/>
      </c>
      <c r="Z556" s="80">
        <f>IF(Y556&gt;=75,"STRONG BUY",IF(Y556&gt;=60,"BUY",IF(Y556&gt;=40,"HOLD",IF(Y556&gt;=25,"TRIM","SELL"))))</f>
        <v/>
      </c>
      <c r="AA556" s="80" t="inlineStr">
        <is>
          <t>https://www.pricecharting.com/game/pokemon-neo-destiny/shining-mewtwo-109</t>
        </is>
      </c>
      <c r="AB556" s="80" t="inlineStr">
        <is>
          <t>Shining Mewtwo - Neo Destiny grail.</t>
        </is>
      </c>
    </row>
    <row r="557">
      <c r="A557" s="80" t="inlineStr">
        <is>
          <t>Z031</t>
        </is>
      </c>
      <c r="B557" s="80" t="inlineStr">
        <is>
          <t>Vintage Graded Singles</t>
        </is>
      </c>
      <c r="C557" s="80" t="inlineStr">
        <is>
          <t>T2</t>
        </is>
      </c>
      <c r="D557" s="80" t="inlineStr">
        <is>
          <t>Dark Charizard</t>
        </is>
      </c>
      <c r="E557" s="80" t="inlineStr">
        <is>
          <t>Neo Destiny</t>
        </is>
      </c>
      <c r="F557" s="80" t="inlineStr">
        <is>
          <t>5/105</t>
        </is>
      </c>
      <c r="G557" s="80" t="inlineStr">
        <is>
          <t>PSA 10</t>
        </is>
      </c>
      <c r="H557" s="80" t="n">
        <v>2200</v>
      </c>
      <c r="I557" s="123" t="n">
        <v>46154</v>
      </c>
      <c r="J557" s="80" t="n">
        <v>2118.8</v>
      </c>
      <c r="K557" s="80" t="n">
        <v>2000</v>
      </c>
      <c r="L557" s="80" t="n">
        <v>1823.09</v>
      </c>
      <c r="M557" s="80">
        <f>IFERROR((H557-J557)/J557,0)</f>
        <v/>
      </c>
      <c r="N557" s="80">
        <f>IFERROR((H557-K557)/K557,0)</f>
        <v/>
      </c>
      <c r="O557" s="80">
        <f>IFERROR((H557-L557)/L557,0)</f>
        <v/>
      </c>
      <c r="P557" s="80" t="n">
        <v>1700</v>
      </c>
      <c r="Q557" s="80" t="n">
        <v>3200</v>
      </c>
      <c r="R557" s="80" t="inlineStr">
        <is>
          <t>5-10yr</t>
        </is>
      </c>
      <c r="S557" s="80" t="n">
        <v>4</v>
      </c>
      <c r="T557" s="80" t="n">
        <v>165</v>
      </c>
      <c r="U557" s="80">
        <f>MAX(0,MIN(100,50+((M557*0.6)+(N557*0.4))*200))</f>
        <v/>
      </c>
      <c r="V557" s="80">
        <f>MAX(20,MIN(100,50+(P557-H557)/P557*100))</f>
        <v/>
      </c>
      <c r="W557" s="80">
        <f>IFERROR(MAX(0,MIN(100,100-LOG10(T557)*16)),60)</f>
        <v/>
      </c>
      <c r="X557" s="80">
        <f>IF(C557="T2",85,IF(C557="T4",70,IF(C557="T1",65,IF(C557="T3",55,45))))</f>
        <v/>
      </c>
      <c r="Y557" s="80">
        <f>U557*0.55+W557*0.20+V557*0.15+X557*0.10+ROW()/1000000</f>
        <v/>
      </c>
      <c r="Z557" s="80">
        <f>IF(Y557&gt;=75,"STRONG BUY",IF(Y557&gt;=60,"BUY",IF(Y557&gt;=40,"HOLD",IF(Y557&gt;=25,"TRIM","SELL"))))</f>
        <v/>
      </c>
      <c r="AA557" s="80" t="inlineStr">
        <is>
          <t>https://www.pricecharting.com/game/pokemon-neo-destiny/dark-charizard-5</t>
        </is>
      </c>
      <c r="AB557" s="80" t="inlineStr">
        <is>
          <t>Dark Charizard - rocket era Charizard.</t>
        </is>
      </c>
    </row>
    <row r="558">
      <c r="A558" s="80" t="inlineStr">
        <is>
          <t>Z032</t>
        </is>
      </c>
      <c r="B558" s="80" t="inlineStr">
        <is>
          <t>Vintage Graded Singles</t>
        </is>
      </c>
      <c r="C558" s="80" t="inlineStr">
        <is>
          <t>T2</t>
        </is>
      </c>
      <c r="D558" s="80" t="inlineStr">
        <is>
          <t>Light Dragonite</t>
        </is>
      </c>
      <c r="E558" s="80" t="inlineStr">
        <is>
          <t>Neo Destiny</t>
        </is>
      </c>
      <c r="F558" s="80" t="inlineStr">
        <is>
          <t>21/105</t>
        </is>
      </c>
      <c r="G558" s="80" t="inlineStr">
        <is>
          <t>PSA 10</t>
        </is>
      </c>
      <c r="H558" s="80" t="n">
        <v>1100</v>
      </c>
      <c r="I558" s="123" t="n">
        <v>46154</v>
      </c>
      <c r="J558" s="80" t="n">
        <v>1080.78</v>
      </c>
      <c r="K558" s="80" t="n">
        <v>1018.52</v>
      </c>
      <c r="L558" s="80" t="n">
        <v>922.14</v>
      </c>
      <c r="M558" s="80">
        <f>IFERROR((H558-J558)/J558,0)</f>
        <v/>
      </c>
      <c r="N558" s="80">
        <f>IFERROR((H558-K558)/K558,0)</f>
        <v/>
      </c>
      <c r="O558" s="80">
        <f>IFERROR((H558-L558)/L558,0)</f>
        <v/>
      </c>
      <c r="P558" s="80" t="n">
        <v>850</v>
      </c>
      <c r="Q558" s="80" t="n">
        <v>1600</v>
      </c>
      <c r="R558" s="80" t="inlineStr">
        <is>
          <t>3-7yr</t>
        </is>
      </c>
      <c r="S558" s="80" t="n">
        <v>4</v>
      </c>
      <c r="T558" s="80" t="n">
        <v>145</v>
      </c>
      <c r="U558" s="80">
        <f>MAX(0,MIN(100,50+((M558*0.6)+(N558*0.4))*200))</f>
        <v/>
      </c>
      <c r="V558" s="80">
        <f>MAX(20,MIN(100,50+(P558-H558)/P558*100))</f>
        <v/>
      </c>
      <c r="W558" s="80">
        <f>IFERROR(MAX(0,MIN(100,100-LOG10(T558)*16)),60)</f>
        <v/>
      </c>
      <c r="X558" s="80">
        <f>IF(C558="T2",85,IF(C558="T4",70,IF(C558="T1",65,IF(C558="T3",55,45))))</f>
        <v/>
      </c>
      <c r="Y558" s="80">
        <f>U558*0.55+W558*0.20+V558*0.15+X558*0.10+ROW()/1000000</f>
        <v/>
      </c>
      <c r="Z558" s="80">
        <f>IF(Y558&gt;=75,"STRONG BUY",IF(Y558&gt;=60,"BUY",IF(Y558&gt;=40,"HOLD",IF(Y558&gt;=25,"TRIM","SELL"))))</f>
        <v/>
      </c>
      <c r="AA558" s="80" t="inlineStr">
        <is>
          <t>https://www.pricecharting.com/game/pokemon-neo-destiny/light-dragonite-21</t>
        </is>
      </c>
      <c r="AB558" s="80" t="inlineStr">
        <is>
          <t>Light Dragonite - niche but premium.</t>
        </is>
      </c>
    </row>
    <row r="559">
      <c r="A559" s="80" t="inlineStr">
        <is>
          <t>Z033</t>
        </is>
      </c>
      <c r="B559" s="80" t="inlineStr">
        <is>
          <t>Vintage Graded Singles</t>
        </is>
      </c>
      <c r="C559" s="80" t="inlineStr">
        <is>
          <t>T2</t>
        </is>
      </c>
      <c r="D559" s="80" t="inlineStr">
        <is>
          <t>Shining Tyranitar</t>
        </is>
      </c>
      <c r="E559" s="80" t="inlineStr">
        <is>
          <t>Neo Destiny</t>
        </is>
      </c>
      <c r="F559" s="80" t="inlineStr">
        <is>
          <t>113/105</t>
        </is>
      </c>
      <c r="G559" s="80" t="inlineStr">
        <is>
          <t>PSA 10</t>
        </is>
      </c>
      <c r="H559" s="80" t="n">
        <v>2900</v>
      </c>
      <c r="I559" s="123" t="n">
        <v>46154</v>
      </c>
      <c r="J559" s="80" t="n">
        <v>2835.84</v>
      </c>
      <c r="K559" s="80" t="n">
        <v>2612.61</v>
      </c>
      <c r="L559" s="80" t="n">
        <v>2540.69</v>
      </c>
      <c r="M559" s="80">
        <f>IFERROR((H559-J559)/J559,0)</f>
        <v/>
      </c>
      <c r="N559" s="80">
        <f>IFERROR((H559-K559)/K559,0)</f>
        <v/>
      </c>
      <c r="O559" s="80">
        <f>IFERROR((H559-L559)/L559,0)</f>
        <v/>
      </c>
      <c r="P559" s="80" t="n">
        <v>2200</v>
      </c>
      <c r="Q559" s="80" t="n">
        <v>4200</v>
      </c>
      <c r="R559" s="80" t="inlineStr">
        <is>
          <t>5-10yr</t>
        </is>
      </c>
      <c r="S559" s="80" t="n">
        <v>5</v>
      </c>
      <c r="T559" s="80" t="n">
        <v>175</v>
      </c>
      <c r="U559" s="80">
        <f>MAX(0,MIN(100,50+((M559*0.6)+(N559*0.4))*200))</f>
        <v/>
      </c>
      <c r="V559" s="80">
        <f>MAX(20,MIN(100,50+(P559-H559)/P559*100))</f>
        <v/>
      </c>
      <c r="W559" s="80">
        <f>IFERROR(MAX(0,MIN(100,100-LOG10(T559)*16)),60)</f>
        <v/>
      </c>
      <c r="X559" s="80">
        <f>IF(C559="T2",85,IF(C559="T4",70,IF(C559="T1",65,IF(C559="T3",55,45))))</f>
        <v/>
      </c>
      <c r="Y559" s="80">
        <f>U559*0.55+W559*0.20+V559*0.15+X559*0.10+ROW()/1000000</f>
        <v/>
      </c>
      <c r="Z559" s="80">
        <f>IF(Y559&gt;=75,"STRONG BUY",IF(Y559&gt;=60,"BUY",IF(Y559&gt;=40,"HOLD",IF(Y559&gt;=25,"TRIM","SELL"))))</f>
        <v/>
      </c>
      <c r="AA559" s="80" t="inlineStr">
        <is>
          <t>https://www.pricecharting.com/game/pokemon-neo-destiny/shining-tyranitar-113</t>
        </is>
      </c>
      <c r="AB559" s="80" t="inlineStr">
        <is>
          <t>Shining Tyranitar grail.</t>
        </is>
      </c>
    </row>
    <row r="560">
      <c r="A560" s="80" t="inlineStr">
        <is>
          <t>Z034</t>
        </is>
      </c>
      <c r="B560" s="80" t="inlineStr">
        <is>
          <t>Vintage Graded Singles</t>
        </is>
      </c>
      <c r="C560" s="80" t="inlineStr">
        <is>
          <t>T2</t>
        </is>
      </c>
      <c r="D560" s="80" t="inlineStr">
        <is>
          <t>Shining Steelix</t>
        </is>
      </c>
      <c r="E560" s="80" t="inlineStr">
        <is>
          <t>Neo Destiny</t>
        </is>
      </c>
      <c r="F560" s="80" t="inlineStr">
        <is>
          <t>112/105</t>
        </is>
      </c>
      <c r="G560" s="80" t="inlineStr">
        <is>
          <t>PSA 10</t>
        </is>
      </c>
      <c r="H560" s="80" t="n">
        <v>1800</v>
      </c>
      <c r="I560" s="123" t="n">
        <v>46154</v>
      </c>
      <c r="J560" s="80" t="n">
        <v>1766.13</v>
      </c>
      <c r="K560" s="80" t="n">
        <v>1651.38</v>
      </c>
      <c r="L560" s="80" t="n">
        <v>1514.39</v>
      </c>
      <c r="M560" s="80">
        <f>IFERROR((H560-J560)/J560,0)</f>
        <v/>
      </c>
      <c r="N560" s="80">
        <f>IFERROR((H560-K560)/K560,0)</f>
        <v/>
      </c>
      <c r="O560" s="80">
        <f>IFERROR((H560-L560)/L560,0)</f>
        <v/>
      </c>
      <c r="P560" s="80" t="n">
        <v>1400</v>
      </c>
      <c r="Q560" s="80" t="n">
        <v>2600</v>
      </c>
      <c r="R560" s="80" t="inlineStr">
        <is>
          <t>5-10yr</t>
        </is>
      </c>
      <c r="S560" s="80" t="n">
        <v>4</v>
      </c>
      <c r="T560" s="80" t="n">
        <v>155</v>
      </c>
      <c r="U560" s="80">
        <f>MAX(0,MIN(100,50+((M560*0.6)+(N560*0.4))*200))</f>
        <v/>
      </c>
      <c r="V560" s="80">
        <f>MAX(20,MIN(100,50+(P560-H560)/P560*100))</f>
        <v/>
      </c>
      <c r="W560" s="80">
        <f>IFERROR(MAX(0,MIN(100,100-LOG10(T560)*16)),60)</f>
        <v/>
      </c>
      <c r="X560" s="80">
        <f>IF(C560="T2",85,IF(C560="T4",70,IF(C560="T1",65,IF(C560="T3",55,45))))</f>
        <v/>
      </c>
      <c r="Y560" s="80">
        <f>U560*0.55+W560*0.20+V560*0.15+X560*0.10+ROW()/1000000</f>
        <v/>
      </c>
      <c r="Z560" s="80">
        <f>IF(Y560&gt;=75,"STRONG BUY",IF(Y560&gt;=60,"BUY",IF(Y560&gt;=40,"HOLD",IF(Y560&gt;=25,"TRIM","SELL"))))</f>
        <v/>
      </c>
      <c r="AA560" s="80" t="inlineStr">
        <is>
          <t>https://www.pricecharting.com/game/pokemon-neo-destiny/shining-steelix-112</t>
        </is>
      </c>
      <c r="AB560" s="80" t="inlineStr">
        <is>
          <t>Shining Steelix.</t>
        </is>
      </c>
    </row>
    <row r="561">
      <c r="A561" s="80" t="inlineStr">
        <is>
          <t>Z040</t>
        </is>
      </c>
      <c r="B561" s="80" t="inlineStr">
        <is>
          <t>Vintage Graded Singles</t>
        </is>
      </c>
      <c r="C561" s="80" t="inlineStr">
        <is>
          <t>T1</t>
        </is>
      </c>
      <c r="D561" s="80" t="inlineStr">
        <is>
          <t>Misty's Tentacruel</t>
        </is>
      </c>
      <c r="E561" s="80" t="inlineStr">
        <is>
          <t>Gym Heroes</t>
        </is>
      </c>
      <c r="F561" s="80" t="inlineStr">
        <is>
          <t>9/132</t>
        </is>
      </c>
      <c r="G561" s="80" t="inlineStr">
        <is>
          <t>PSA 10</t>
        </is>
      </c>
      <c r="H561" s="80" t="n">
        <v>1200</v>
      </c>
      <c r="I561" s="123" t="n">
        <v>46154</v>
      </c>
      <c r="J561" s="80" t="n">
        <v>1193.36</v>
      </c>
      <c r="K561" s="80" t="n">
        <v>1121.5</v>
      </c>
      <c r="L561" s="80" t="n">
        <v>1069.34</v>
      </c>
      <c r="M561" s="80">
        <f>IFERROR((H561-J561)/J561,0)</f>
        <v/>
      </c>
      <c r="N561" s="80">
        <f>IFERROR((H561-K561)/K561,0)</f>
        <v/>
      </c>
      <c r="O561" s="80">
        <f>IFERROR((H561-L561)/L561,0)</f>
        <v/>
      </c>
      <c r="P561" s="80" t="n">
        <v>950</v>
      </c>
      <c r="Q561" s="80" t="n">
        <v>1750</v>
      </c>
      <c r="R561" s="80" t="inlineStr">
        <is>
          <t>5-10yr</t>
        </is>
      </c>
      <c r="S561" s="80" t="n">
        <v>4</v>
      </c>
      <c r="T561" s="80" t="n">
        <v>215</v>
      </c>
      <c r="U561" s="80">
        <f>MAX(0,MIN(100,50+((M561*0.6)+(N561*0.4))*200))</f>
        <v/>
      </c>
      <c r="V561" s="80">
        <f>MAX(20,MIN(100,50+(P561-H561)/P561*100))</f>
        <v/>
      </c>
      <c r="W561" s="80">
        <f>IFERROR(MAX(0,MIN(100,100-LOG10(T561)*16)),60)</f>
        <v/>
      </c>
      <c r="X561" s="80">
        <f>IF(C561="T2",85,IF(C561="T4",70,IF(C561="T1",65,IF(C561="T3",55,45))))</f>
        <v/>
      </c>
      <c r="Y561" s="80">
        <f>U561*0.55+W561*0.20+V561*0.15+X561*0.10+ROW()/1000000</f>
        <v/>
      </c>
      <c r="Z561" s="80">
        <f>IF(Y561&gt;=75,"STRONG BUY",IF(Y561&gt;=60,"BUY",IF(Y561&gt;=40,"HOLD",IF(Y561&gt;=25,"TRIM","SELL"))))</f>
        <v/>
      </c>
      <c r="AA561" s="80" t="inlineStr">
        <is>
          <t>https://www.pricecharting.com/game/pokemon-gym-heroes/mistys-tentacruel-9</t>
        </is>
      </c>
      <c r="AB561" s="80" t="inlineStr">
        <is>
          <t>Gym Heroes Misty card.</t>
        </is>
      </c>
    </row>
    <row r="562">
      <c r="A562" s="80" t="inlineStr">
        <is>
          <t>Z041</t>
        </is>
      </c>
      <c r="B562" s="80" t="inlineStr">
        <is>
          <t>Vintage Graded Singles</t>
        </is>
      </c>
      <c r="C562" s="80" t="inlineStr">
        <is>
          <t>T1</t>
        </is>
      </c>
      <c r="D562" s="80" t="inlineStr">
        <is>
          <t>Erika's Dragonair</t>
        </is>
      </c>
      <c r="E562" s="80" t="inlineStr">
        <is>
          <t>Gym Heroes</t>
        </is>
      </c>
      <c r="F562" s="80" t="inlineStr">
        <is>
          <t>3/132</t>
        </is>
      </c>
      <c r="G562" s="80" t="inlineStr">
        <is>
          <t>PSA 10</t>
        </is>
      </c>
      <c r="H562" s="80" t="n">
        <v>1100</v>
      </c>
      <c r="I562" s="123" t="n">
        <v>46154</v>
      </c>
      <c r="J562" s="80" t="n">
        <v>1078.95</v>
      </c>
      <c r="K562" s="80" t="n">
        <v>1018.52</v>
      </c>
      <c r="L562" s="80" t="n">
        <v>941.02</v>
      </c>
      <c r="M562" s="80">
        <f>IFERROR((H562-J562)/J562,0)</f>
        <v/>
      </c>
      <c r="N562" s="80">
        <f>IFERROR((H562-K562)/K562,0)</f>
        <v/>
      </c>
      <c r="O562" s="80">
        <f>IFERROR((H562-L562)/L562,0)</f>
        <v/>
      </c>
      <c r="P562" s="80" t="n">
        <v>850</v>
      </c>
      <c r="Q562" s="80" t="n">
        <v>1600</v>
      </c>
      <c r="R562" s="80" t="inlineStr">
        <is>
          <t>5-10yr</t>
        </is>
      </c>
      <c r="S562" s="80" t="n">
        <v>4</v>
      </c>
      <c r="T562" s="80" t="n">
        <v>195</v>
      </c>
      <c r="U562" s="80">
        <f>MAX(0,MIN(100,50+((M562*0.6)+(N562*0.4))*200))</f>
        <v/>
      </c>
      <c r="V562" s="80">
        <f>MAX(20,MIN(100,50+(P562-H562)/P562*100))</f>
        <v/>
      </c>
      <c r="W562" s="80">
        <f>IFERROR(MAX(0,MIN(100,100-LOG10(T562)*16)),60)</f>
        <v/>
      </c>
      <c r="X562" s="80">
        <f>IF(C562="T2",85,IF(C562="T4",70,IF(C562="T1",65,IF(C562="T3",55,45))))</f>
        <v/>
      </c>
      <c r="Y562" s="80">
        <f>U562*0.55+W562*0.20+V562*0.15+X562*0.10+ROW()/1000000</f>
        <v/>
      </c>
      <c r="Z562" s="80">
        <f>IF(Y562&gt;=75,"STRONG BUY",IF(Y562&gt;=60,"BUY",IF(Y562&gt;=40,"HOLD",IF(Y562&gt;=25,"TRIM","SELL"))))</f>
        <v/>
      </c>
      <c r="AA562" s="80" t="inlineStr">
        <is>
          <t>https://www.pricecharting.com/game/pokemon-gym-heroes/erikas-dragonair-3</t>
        </is>
      </c>
      <c r="AB562" s="80" t="inlineStr">
        <is>
          <t>Erika's Dragonair holo.</t>
        </is>
      </c>
    </row>
    <row r="563">
      <c r="A563" s="80" t="inlineStr">
        <is>
          <t>Z042</t>
        </is>
      </c>
      <c r="B563" s="80" t="inlineStr">
        <is>
          <t>Vintage Graded Singles</t>
        </is>
      </c>
      <c r="C563" s="80" t="inlineStr">
        <is>
          <t>T1</t>
        </is>
      </c>
      <c r="D563" s="80" t="inlineStr">
        <is>
          <t>Rocket's Zapdos</t>
        </is>
      </c>
      <c r="E563" s="80" t="inlineStr">
        <is>
          <t>Gym Challenge</t>
        </is>
      </c>
      <c r="F563" s="80" t="inlineStr">
        <is>
          <t>15/132</t>
        </is>
      </c>
      <c r="G563" s="80" t="inlineStr">
        <is>
          <t>PSA 10</t>
        </is>
      </c>
      <c r="H563" s="80" t="n">
        <v>1700</v>
      </c>
      <c r="I563" s="123" t="n">
        <v>46154</v>
      </c>
      <c r="J563" s="80" t="n">
        <v>1644.76</v>
      </c>
      <c r="K563" s="80" t="n">
        <v>1559.63</v>
      </c>
      <c r="L563" s="80" t="n">
        <v>1422.59</v>
      </c>
      <c r="M563" s="80">
        <f>IFERROR((H563-J563)/J563,0)</f>
        <v/>
      </c>
      <c r="N563" s="80">
        <f>IFERROR((H563-K563)/K563,0)</f>
        <v/>
      </c>
      <c r="O563" s="80">
        <f>IFERROR((H563-L563)/L563,0)</f>
        <v/>
      </c>
      <c r="P563" s="80" t="n">
        <v>1300</v>
      </c>
      <c r="Q563" s="80" t="n">
        <v>2500</v>
      </c>
      <c r="R563" s="80" t="inlineStr">
        <is>
          <t>5-10yr</t>
        </is>
      </c>
      <c r="S563" s="80" t="n">
        <v>5</v>
      </c>
      <c r="T563" s="80" t="n">
        <v>165</v>
      </c>
      <c r="U563" s="80">
        <f>MAX(0,MIN(100,50+((M563*0.6)+(N563*0.4))*200))</f>
        <v/>
      </c>
      <c r="V563" s="80">
        <f>MAX(20,MIN(100,50+(P563-H563)/P563*100))</f>
        <v/>
      </c>
      <c r="W563" s="80">
        <f>IFERROR(MAX(0,MIN(100,100-LOG10(T563)*16)),60)</f>
        <v/>
      </c>
      <c r="X563" s="80">
        <f>IF(C563="T2",85,IF(C563="T4",70,IF(C563="T1",65,IF(C563="T3",55,45))))</f>
        <v/>
      </c>
      <c r="Y563" s="80">
        <f>U563*0.55+W563*0.20+V563*0.15+X563*0.10+ROW()/1000000</f>
        <v/>
      </c>
      <c r="Z563" s="80">
        <f>IF(Y563&gt;=75,"STRONG BUY",IF(Y563&gt;=60,"BUY",IF(Y563&gt;=40,"HOLD",IF(Y563&gt;=25,"TRIM","SELL"))))</f>
        <v/>
      </c>
      <c r="AA563" s="80" t="inlineStr">
        <is>
          <t>https://www.pricecharting.com/game/pokemon-gym-challenge/rockets-zapdos-15</t>
        </is>
      </c>
      <c r="AB563" s="80" t="inlineStr">
        <is>
          <t>Rocket's Zapdos - legendary.</t>
        </is>
      </c>
    </row>
    <row r="564">
      <c r="A564" s="80" t="inlineStr">
        <is>
          <t>Z043</t>
        </is>
      </c>
      <c r="B564" s="80" t="inlineStr">
        <is>
          <t>Vintage Graded Singles</t>
        </is>
      </c>
      <c r="C564" s="80" t="inlineStr">
        <is>
          <t>T1</t>
        </is>
      </c>
      <c r="D564" s="80" t="inlineStr">
        <is>
          <t>Giovanni's Gyarados</t>
        </is>
      </c>
      <c r="E564" s="80" t="inlineStr">
        <is>
          <t>Gym Challenge</t>
        </is>
      </c>
      <c r="F564" s="80" t="inlineStr">
        <is>
          <t>5/132</t>
        </is>
      </c>
      <c r="G564" s="80" t="inlineStr">
        <is>
          <t>PSA 10</t>
        </is>
      </c>
      <c r="H564" s="80" t="n">
        <v>1500</v>
      </c>
      <c r="I564" s="123" t="n">
        <v>46154</v>
      </c>
      <c r="J564" s="80" t="n">
        <v>1475.14</v>
      </c>
      <c r="K564" s="80" t="n">
        <v>1363.64</v>
      </c>
      <c r="L564" s="80" t="n">
        <v>1330.9</v>
      </c>
      <c r="M564" s="80">
        <f>IFERROR((H564-J564)/J564,0)</f>
        <v/>
      </c>
      <c r="N564" s="80">
        <f>IFERROR((H564-K564)/K564,0)</f>
        <v/>
      </c>
      <c r="O564" s="80">
        <f>IFERROR((H564-L564)/L564,0)</f>
        <v/>
      </c>
      <c r="P564" s="80" t="n">
        <v>1150</v>
      </c>
      <c r="Q564" s="80" t="n">
        <v>2200</v>
      </c>
      <c r="R564" s="80" t="inlineStr">
        <is>
          <t>5-10yr</t>
        </is>
      </c>
      <c r="S564" s="80" t="n">
        <v>4</v>
      </c>
      <c r="T564" s="80" t="n">
        <v>185</v>
      </c>
      <c r="U564" s="80">
        <f>MAX(0,MIN(100,50+((M564*0.6)+(N564*0.4))*200))</f>
        <v/>
      </c>
      <c r="V564" s="80">
        <f>MAX(20,MIN(100,50+(P564-H564)/P564*100))</f>
        <v/>
      </c>
      <c r="W564" s="80">
        <f>IFERROR(MAX(0,MIN(100,100-LOG10(T564)*16)),60)</f>
        <v/>
      </c>
      <c r="X564" s="80">
        <f>IF(C564="T2",85,IF(C564="T4",70,IF(C564="T1",65,IF(C564="T3",55,45))))</f>
        <v/>
      </c>
      <c r="Y564" s="80">
        <f>U564*0.55+W564*0.20+V564*0.15+X564*0.10+ROW()/1000000</f>
        <v/>
      </c>
      <c r="Z564" s="80">
        <f>IF(Y564&gt;=75,"STRONG BUY",IF(Y564&gt;=60,"BUY",IF(Y564&gt;=40,"HOLD",IF(Y564&gt;=25,"TRIM","SELL"))))</f>
        <v/>
      </c>
      <c r="AA564" s="80" t="inlineStr">
        <is>
          <t>https://www.pricecharting.com/game/pokemon-gym-challenge/giovannis-gyarados-5</t>
        </is>
      </c>
      <c r="AB564" s="80" t="inlineStr">
        <is>
          <t>Giovanni boss card.</t>
        </is>
      </c>
    </row>
    <row r="565">
      <c r="A565" s="80" t="inlineStr">
        <is>
          <t>Z044</t>
        </is>
      </c>
      <c r="B565" s="80" t="inlineStr">
        <is>
          <t>Vintage Graded Singles</t>
        </is>
      </c>
      <c r="C565" s="80" t="inlineStr">
        <is>
          <t>T1</t>
        </is>
      </c>
      <c r="D565" s="80" t="inlineStr">
        <is>
          <t>Blaine's Charizard</t>
        </is>
      </c>
      <c r="E565" s="80" t="inlineStr">
        <is>
          <t>Gym Challenge</t>
        </is>
      </c>
      <c r="F565" s="80" t="inlineStr">
        <is>
          <t>2/132</t>
        </is>
      </c>
      <c r="G565" s="80" t="inlineStr">
        <is>
          <t>PSA 10</t>
        </is>
      </c>
      <c r="H565" s="80" t="n">
        <v>3500</v>
      </c>
      <c r="I565" s="123" t="n">
        <v>46154</v>
      </c>
      <c r="J565" s="80" t="n">
        <v>3439.6</v>
      </c>
      <c r="K565" s="80" t="n">
        <v>3240.74</v>
      </c>
      <c r="L565" s="80" t="n">
        <v>3080.51</v>
      </c>
      <c r="M565" s="80">
        <f>IFERROR((H565-J565)/J565,0)</f>
        <v/>
      </c>
      <c r="N565" s="80">
        <f>IFERROR((H565-K565)/K565,0)</f>
        <v/>
      </c>
      <c r="O565" s="80">
        <f>IFERROR((H565-L565)/L565,0)</f>
        <v/>
      </c>
      <c r="P565" s="80" t="n">
        <v>2750</v>
      </c>
      <c r="Q565" s="80" t="n">
        <v>5000</v>
      </c>
      <c r="R565" s="80" t="inlineStr">
        <is>
          <t>5-10yr</t>
        </is>
      </c>
      <c r="S565" s="80" t="n">
        <v>5</v>
      </c>
      <c r="T565" s="80" t="n">
        <v>145</v>
      </c>
      <c r="U565" s="80">
        <f>MAX(0,MIN(100,50+((M565*0.6)+(N565*0.4))*200))</f>
        <v/>
      </c>
      <c r="V565" s="80">
        <f>MAX(20,MIN(100,50+(P565-H565)/P565*100))</f>
        <v/>
      </c>
      <c r="W565" s="80">
        <f>IFERROR(MAX(0,MIN(100,100-LOG10(T565)*16)),60)</f>
        <v/>
      </c>
      <c r="X565" s="80">
        <f>IF(C565="T2",85,IF(C565="T4",70,IF(C565="T1",65,IF(C565="T3",55,45))))</f>
        <v/>
      </c>
      <c r="Y565" s="80">
        <f>U565*0.55+W565*0.20+V565*0.15+X565*0.10+ROW()/1000000</f>
        <v/>
      </c>
      <c r="Z565" s="80">
        <f>IF(Y565&gt;=75,"STRONG BUY",IF(Y565&gt;=60,"BUY",IF(Y565&gt;=40,"HOLD",IF(Y565&gt;=25,"TRIM","SELL"))))</f>
        <v/>
      </c>
      <c r="AA565" s="80" t="inlineStr">
        <is>
          <t>https://www.pricecharting.com/game/pokemon-gym-challenge/blaines-charizard-2</t>
        </is>
      </c>
      <c r="AB565" s="80" t="inlineStr">
        <is>
          <t>Blaine's Charizard - Gym era grail.</t>
        </is>
      </c>
    </row>
    <row r="566">
      <c r="A566" s="80" t="inlineStr">
        <is>
          <t>Z045</t>
        </is>
      </c>
      <c r="B566" s="80" t="inlineStr">
        <is>
          <t>Vintage Graded Singles</t>
        </is>
      </c>
      <c r="C566" s="80" t="inlineStr">
        <is>
          <t>T1</t>
        </is>
      </c>
      <c r="D566" s="80" t="inlineStr">
        <is>
          <t>Blaine's Charizard</t>
        </is>
      </c>
      <c r="E566" s="80" t="inlineStr">
        <is>
          <t>Gym Challenge</t>
        </is>
      </c>
      <c r="F566" s="80" t="inlineStr">
        <is>
          <t>2/132</t>
        </is>
      </c>
      <c r="G566" s="80" t="inlineStr">
        <is>
          <t>PSA 9</t>
        </is>
      </c>
      <c r="H566" s="80" t="n">
        <v>850</v>
      </c>
      <c r="I566" s="123" t="n">
        <v>46154</v>
      </c>
      <c r="J566" s="80" t="n">
        <v>829.24</v>
      </c>
      <c r="K566" s="80" t="n">
        <v>801.89</v>
      </c>
      <c r="L566" s="80" t="n">
        <v>747.0700000000001</v>
      </c>
      <c r="M566" s="80">
        <f>IFERROR((H566-J566)/J566,0)</f>
        <v/>
      </c>
      <c r="N566" s="80">
        <f>IFERROR((H566-K566)/K566,0)</f>
        <v/>
      </c>
      <c r="O566" s="80">
        <f>IFERROR((H566-L566)/L566,0)</f>
        <v/>
      </c>
      <c r="P566" s="80" t="n">
        <v>650</v>
      </c>
      <c r="Q566" s="80" t="n">
        <v>1250</v>
      </c>
      <c r="R566" s="80" t="inlineStr">
        <is>
          <t>3-7yr</t>
        </is>
      </c>
      <c r="S566" s="80" t="n">
        <v>4</v>
      </c>
      <c r="T566" s="80" t="n">
        <v>950</v>
      </c>
      <c r="U566" s="80">
        <f>MAX(0,MIN(100,50+((M566*0.6)+(N566*0.4))*200))</f>
        <v/>
      </c>
      <c r="V566" s="80">
        <f>MAX(20,MIN(100,50+(P566-H566)/P566*100))</f>
        <v/>
      </c>
      <c r="W566" s="80">
        <f>IFERROR(MAX(0,MIN(100,100-LOG10(T566)*16)),60)</f>
        <v/>
      </c>
      <c r="X566" s="80">
        <f>IF(C566="T2",85,IF(C566="T4",70,IF(C566="T1",65,IF(C566="T3",55,45))))</f>
        <v/>
      </c>
      <c r="Y566" s="80">
        <f>U566*0.55+W566*0.20+V566*0.15+X566*0.10+ROW()/1000000</f>
        <v/>
      </c>
      <c r="Z566" s="80">
        <f>IF(Y566&gt;=75,"STRONG BUY",IF(Y566&gt;=60,"BUY",IF(Y566&gt;=40,"HOLD",IF(Y566&gt;=25,"TRIM","SELL"))))</f>
        <v/>
      </c>
      <c r="AA566" s="80" t="inlineStr">
        <is>
          <t>https://www.pricecharting.com/game/pokemon-gym-challenge/blaines-charizard-2</t>
        </is>
      </c>
      <c r="AB566" s="80" t="inlineStr">
        <is>
          <t>Blaine's Charizard PSA 9 entry.</t>
        </is>
      </c>
    </row>
    <row r="567">
      <c r="A567" s="80" t="inlineStr">
        <is>
          <t>Z046</t>
        </is>
      </c>
      <c r="B567" s="80" t="inlineStr">
        <is>
          <t>Vintage Graded Singles</t>
        </is>
      </c>
      <c r="C567" s="80" t="inlineStr">
        <is>
          <t>T1</t>
        </is>
      </c>
      <c r="D567" s="80" t="inlineStr">
        <is>
          <t>Rocket's Mewtwo 1st Ed</t>
        </is>
      </c>
      <c r="E567" s="80" t="inlineStr">
        <is>
          <t>Gym Challenge 1st Edition</t>
        </is>
      </c>
      <c r="F567" s="80" t="inlineStr">
        <is>
          <t>14/132</t>
        </is>
      </c>
      <c r="G567" s="80" t="inlineStr">
        <is>
          <t>PSA 10</t>
        </is>
      </c>
      <c r="H567" s="80" t="n">
        <v>4200</v>
      </c>
      <c r="I567" s="123" t="n">
        <v>46154</v>
      </c>
      <c r="J567" s="80" t="n">
        <v>4164.62</v>
      </c>
      <c r="K567" s="80" t="n">
        <v>3853.21</v>
      </c>
      <c r="L567" s="80" t="n">
        <v>3606</v>
      </c>
      <c r="M567" s="80">
        <f>IFERROR((H567-J567)/J567,0)</f>
        <v/>
      </c>
      <c r="N567" s="80">
        <f>IFERROR((H567-K567)/K567,0)</f>
        <v/>
      </c>
      <c r="O567" s="80">
        <f>IFERROR((H567-L567)/L567,0)</f>
        <v/>
      </c>
      <c r="P567" s="80" t="n">
        <v>3300</v>
      </c>
      <c r="Q567" s="80" t="n">
        <v>6000</v>
      </c>
      <c r="R567" s="80" t="inlineStr">
        <is>
          <t>5-10yr</t>
        </is>
      </c>
      <c r="S567" s="80" t="n">
        <v>5</v>
      </c>
      <c r="T567" s="80" t="n">
        <v>95</v>
      </c>
      <c r="U567" s="80">
        <f>MAX(0,MIN(100,50+((M567*0.6)+(N567*0.4))*200))</f>
        <v/>
      </c>
      <c r="V567" s="80">
        <f>MAX(20,MIN(100,50+(P567-H567)/P567*100))</f>
        <v/>
      </c>
      <c r="W567" s="80">
        <f>IFERROR(MAX(0,MIN(100,100-LOG10(T567)*16)),60)</f>
        <v/>
      </c>
      <c r="X567" s="80">
        <f>IF(C567="T2",85,IF(C567="T4",70,IF(C567="T1",65,IF(C567="T3",55,45))))</f>
        <v/>
      </c>
      <c r="Y567" s="80">
        <f>U567*0.55+W567*0.20+V567*0.15+X567*0.10+ROW()/1000000</f>
        <v/>
      </c>
      <c r="Z567" s="80">
        <f>IF(Y567&gt;=75,"STRONG BUY",IF(Y567&gt;=60,"BUY",IF(Y567&gt;=40,"HOLD",IF(Y567&gt;=25,"TRIM","SELL"))))</f>
        <v/>
      </c>
      <c r="AA567" s="80" t="inlineStr">
        <is>
          <t>https://www.pricecharting.com/game/pokemon-gym-challenge-1st-edition/rockets-mewtwo-14</t>
        </is>
      </c>
      <c r="AB567" s="80" t="inlineStr">
        <is>
          <t>1st Ed Rocket's Mewtwo - low pop.</t>
        </is>
      </c>
    </row>
    <row r="568">
      <c r="A568" s="80" t="inlineStr">
        <is>
          <t>Z050</t>
        </is>
      </c>
      <c r="B568" s="80" t="inlineStr">
        <is>
          <t>Vintage Graded Singles</t>
        </is>
      </c>
      <c r="C568" s="80" t="inlineStr">
        <is>
          <t>T1</t>
        </is>
      </c>
      <c r="D568" s="80" t="inlineStr">
        <is>
          <t>Charizard Crystal</t>
        </is>
      </c>
      <c r="E568" s="80" t="inlineStr">
        <is>
          <t>Skyridge</t>
        </is>
      </c>
      <c r="F568" s="80" t="inlineStr">
        <is>
          <t>146/144</t>
        </is>
      </c>
      <c r="G568" s="80" t="inlineStr">
        <is>
          <t>PSA 10</t>
        </is>
      </c>
      <c r="H568" s="80" t="n">
        <v>18500</v>
      </c>
      <c r="I568" s="123" t="n">
        <v>46154</v>
      </c>
      <c r="J568" s="80" t="n">
        <v>17776.63</v>
      </c>
      <c r="K568" s="80" t="n">
        <v>16666.67</v>
      </c>
      <c r="L568" s="80" t="n">
        <v>15673.43</v>
      </c>
      <c r="M568" s="80">
        <f>IFERROR((H568-J568)/J568,0)</f>
        <v/>
      </c>
      <c r="N568" s="80">
        <f>IFERROR((H568-K568)/K568,0)</f>
        <v/>
      </c>
      <c r="O568" s="80">
        <f>IFERROR((H568-L568)/L568,0)</f>
        <v/>
      </c>
      <c r="P568" s="80" t="n">
        <v>14500</v>
      </c>
      <c r="Q568" s="80" t="n">
        <v>27000</v>
      </c>
      <c r="R568" s="80" t="inlineStr">
        <is>
          <t>5-10yr</t>
        </is>
      </c>
      <c r="S568" s="80" t="n">
        <v>5</v>
      </c>
      <c r="T568" s="80" t="n">
        <v>85</v>
      </c>
      <c r="U568" s="80">
        <f>MAX(0,MIN(100,50+((M568*0.6)+(N568*0.4))*200))</f>
        <v/>
      </c>
      <c r="V568" s="80">
        <f>MAX(20,MIN(100,50+(P568-H568)/P568*100))</f>
        <v/>
      </c>
      <c r="W568" s="80">
        <f>IFERROR(MAX(0,MIN(100,100-LOG10(T568)*16)),60)</f>
        <v/>
      </c>
      <c r="X568" s="80">
        <f>IF(C568="T2",85,IF(C568="T4",70,IF(C568="T1",65,IF(C568="T3",55,45))))</f>
        <v/>
      </c>
      <c r="Y568" s="80">
        <f>U568*0.55+W568*0.20+V568*0.15+X568*0.10+ROW()/1000000</f>
        <v/>
      </c>
      <c r="Z568" s="80">
        <f>IF(Y568&gt;=75,"STRONG BUY",IF(Y568&gt;=60,"BUY",IF(Y568&gt;=40,"HOLD",IF(Y568&gt;=25,"TRIM","SELL"))))</f>
        <v/>
      </c>
      <c r="AA568" s="80" t="inlineStr">
        <is>
          <t>https://www.pricecharting.com/game/pokemon-skyridge/charizard-crystal-146</t>
        </is>
      </c>
      <c r="AB568" s="80" t="inlineStr">
        <is>
          <t>Crystal Charizard - Skyridge crown jewel.</t>
        </is>
      </c>
    </row>
    <row r="569">
      <c r="A569" s="80" t="inlineStr">
        <is>
          <t>Z051</t>
        </is>
      </c>
      <c r="B569" s="80" t="inlineStr">
        <is>
          <t>Vintage Graded Singles</t>
        </is>
      </c>
      <c r="C569" s="80" t="inlineStr">
        <is>
          <t>T1</t>
        </is>
      </c>
      <c r="D569" s="80" t="inlineStr">
        <is>
          <t>Charizard Crystal</t>
        </is>
      </c>
      <c r="E569" s="80" t="inlineStr">
        <is>
          <t>Skyridge</t>
        </is>
      </c>
      <c r="F569" s="80" t="inlineStr">
        <is>
          <t>146/144</t>
        </is>
      </c>
      <c r="G569" s="80" t="inlineStr">
        <is>
          <t>PSA 9</t>
        </is>
      </c>
      <c r="H569" s="80" t="n">
        <v>5500</v>
      </c>
      <c r="I569" s="123" t="n">
        <v>46154</v>
      </c>
      <c r="J569" s="80" t="n">
        <v>5436.06</v>
      </c>
      <c r="K569" s="80" t="n">
        <v>5092.59</v>
      </c>
      <c r="L569" s="80" t="n">
        <v>4601.57</v>
      </c>
      <c r="M569" s="80">
        <f>IFERROR((H569-J569)/J569,0)</f>
        <v/>
      </c>
      <c r="N569" s="80">
        <f>IFERROR((H569-K569)/K569,0)</f>
        <v/>
      </c>
      <c r="O569" s="80">
        <f>IFERROR((H569-L569)/L569,0)</f>
        <v/>
      </c>
      <c r="P569" s="80" t="n">
        <v>4200</v>
      </c>
      <c r="Q569" s="80" t="n">
        <v>8000</v>
      </c>
      <c r="R569" s="80" t="inlineStr">
        <is>
          <t>5-10yr</t>
        </is>
      </c>
      <c r="S569" s="80" t="n">
        <v>5</v>
      </c>
      <c r="T569" s="80" t="n">
        <v>245</v>
      </c>
      <c r="U569" s="80">
        <f>MAX(0,MIN(100,50+((M569*0.6)+(N569*0.4))*200))</f>
        <v/>
      </c>
      <c r="V569" s="80">
        <f>MAX(20,MIN(100,50+(P569-H569)/P569*100))</f>
        <v/>
      </c>
      <c r="W569" s="80">
        <f>IFERROR(MAX(0,MIN(100,100-LOG10(T569)*16)),60)</f>
        <v/>
      </c>
      <c r="X569" s="80">
        <f>IF(C569="T2",85,IF(C569="T4",70,IF(C569="T1",65,IF(C569="T3",55,45))))</f>
        <v/>
      </c>
      <c r="Y569" s="80">
        <f>U569*0.55+W569*0.20+V569*0.15+X569*0.10+ROW()/1000000</f>
        <v/>
      </c>
      <c r="Z569" s="80">
        <f>IF(Y569&gt;=75,"STRONG BUY",IF(Y569&gt;=60,"BUY",IF(Y569&gt;=40,"HOLD",IF(Y569&gt;=25,"TRIM","SELL"))))</f>
        <v/>
      </c>
      <c r="AA569" s="80" t="inlineStr">
        <is>
          <t>https://www.pricecharting.com/game/pokemon-skyridge/charizard-crystal-146</t>
        </is>
      </c>
      <c r="AB569" s="80" t="inlineStr">
        <is>
          <t>PSA 9 Crystal Charizard.</t>
        </is>
      </c>
    </row>
    <row r="570">
      <c r="A570" s="80" t="inlineStr">
        <is>
          <t>Z052</t>
        </is>
      </c>
      <c r="B570" s="80" t="inlineStr">
        <is>
          <t>Vintage Graded Singles</t>
        </is>
      </c>
      <c r="C570" s="80" t="inlineStr">
        <is>
          <t>T1</t>
        </is>
      </c>
      <c r="D570" s="80" t="inlineStr">
        <is>
          <t>Crystal Lugia</t>
        </is>
      </c>
      <c r="E570" s="80" t="inlineStr">
        <is>
          <t>Aquapolis</t>
        </is>
      </c>
      <c r="F570" s="80" t="inlineStr">
        <is>
          <t>149/147</t>
        </is>
      </c>
      <c r="G570" s="80" t="inlineStr">
        <is>
          <t>PSA 10</t>
        </is>
      </c>
      <c r="H570" s="80" t="n">
        <v>6500</v>
      </c>
      <c r="I570" s="123" t="n">
        <v>46154</v>
      </c>
      <c r="J570" s="80" t="n">
        <v>6379.46</v>
      </c>
      <c r="K570" s="80" t="n">
        <v>5909.09</v>
      </c>
      <c r="L570" s="80" t="n">
        <v>5771.37</v>
      </c>
      <c r="M570" s="80">
        <f>IFERROR((H570-J570)/J570,0)</f>
        <v/>
      </c>
      <c r="N570" s="80">
        <f>IFERROR((H570-K570)/K570,0)</f>
        <v/>
      </c>
      <c r="O570" s="80">
        <f>IFERROR((H570-L570)/L570,0)</f>
        <v/>
      </c>
      <c r="P570" s="80" t="n">
        <v>5000</v>
      </c>
      <c r="Q570" s="80" t="n">
        <v>9500</v>
      </c>
      <c r="R570" s="80" t="inlineStr">
        <is>
          <t>5-10yr</t>
        </is>
      </c>
      <c r="S570" s="80" t="n">
        <v>5</v>
      </c>
      <c r="T570" s="80" t="n">
        <v>95</v>
      </c>
      <c r="U570" s="80">
        <f>MAX(0,MIN(100,50+((M570*0.6)+(N570*0.4))*200))</f>
        <v/>
      </c>
      <c r="V570" s="80">
        <f>MAX(20,MIN(100,50+(P570-H570)/P570*100))</f>
        <v/>
      </c>
      <c r="W570" s="80">
        <f>IFERROR(MAX(0,MIN(100,100-LOG10(T570)*16)),60)</f>
        <v/>
      </c>
      <c r="X570" s="80">
        <f>IF(C570="T2",85,IF(C570="T4",70,IF(C570="T1",65,IF(C570="T3",55,45))))</f>
        <v/>
      </c>
      <c r="Y570" s="80">
        <f>U570*0.55+W570*0.20+V570*0.15+X570*0.10+ROW()/1000000</f>
        <v/>
      </c>
      <c r="Z570" s="80">
        <f>IF(Y570&gt;=75,"STRONG BUY",IF(Y570&gt;=60,"BUY",IF(Y570&gt;=40,"HOLD",IF(Y570&gt;=25,"TRIM","SELL"))))</f>
        <v/>
      </c>
      <c r="AA570" s="80" t="inlineStr">
        <is>
          <t>https://www.pricecharting.com/game/pokemon-aquapolis/crystal-lugia-149</t>
        </is>
      </c>
      <c r="AB570" s="80" t="inlineStr">
        <is>
          <t>Crystal Lugia from Aquapolis.</t>
        </is>
      </c>
    </row>
    <row r="571">
      <c r="A571" s="80" t="inlineStr">
        <is>
          <t>Z053</t>
        </is>
      </c>
      <c r="B571" s="80" t="inlineStr">
        <is>
          <t>Vintage Graded Singles</t>
        </is>
      </c>
      <c r="C571" s="80" t="inlineStr">
        <is>
          <t>T2</t>
        </is>
      </c>
      <c r="D571" s="80" t="inlineStr">
        <is>
          <t>Crystal Charizard</t>
        </is>
      </c>
      <c r="E571" s="80" t="inlineStr">
        <is>
          <t>Expedition</t>
        </is>
      </c>
      <c r="F571" s="80" t="inlineStr">
        <is>
          <t>78/165</t>
        </is>
      </c>
      <c r="G571" s="80" t="inlineStr">
        <is>
          <t>PSA 10</t>
        </is>
      </c>
      <c r="H571" s="80" t="n">
        <v>1800</v>
      </c>
      <c r="I571" s="123" t="n">
        <v>46154</v>
      </c>
      <c r="J571" s="80" t="n">
        <v>1793.69</v>
      </c>
      <c r="K571" s="80" t="n">
        <v>1682.24</v>
      </c>
      <c r="L571" s="80" t="n">
        <v>1567.6</v>
      </c>
      <c r="M571" s="80">
        <f>IFERROR((H571-J571)/J571,0)</f>
        <v/>
      </c>
      <c r="N571" s="80">
        <f>IFERROR((H571-K571)/K571,0)</f>
        <v/>
      </c>
      <c r="O571" s="80">
        <f>IFERROR((H571-L571)/L571,0)</f>
        <v/>
      </c>
      <c r="P571" s="80" t="n">
        <v>1400</v>
      </c>
      <c r="Q571" s="80" t="n">
        <v>2600</v>
      </c>
      <c r="R571" s="80" t="inlineStr">
        <is>
          <t>5-10yr</t>
        </is>
      </c>
      <c r="S571" s="80" t="n">
        <v>4</v>
      </c>
      <c r="T571" s="80" t="n">
        <v>175</v>
      </c>
      <c r="U571" s="80">
        <f>MAX(0,MIN(100,50+((M571*0.6)+(N571*0.4))*200))</f>
        <v/>
      </c>
      <c r="V571" s="80">
        <f>MAX(20,MIN(100,50+(P571-H571)/P571*100))</f>
        <v/>
      </c>
      <c r="W571" s="80">
        <f>IFERROR(MAX(0,MIN(100,100-LOG10(T571)*16)),60)</f>
        <v/>
      </c>
      <c r="X571" s="80">
        <f>IF(C571="T2",85,IF(C571="T4",70,IF(C571="T1",65,IF(C571="T3",55,45))))</f>
        <v/>
      </c>
      <c r="Y571" s="80">
        <f>U571*0.55+W571*0.20+V571*0.15+X571*0.10+ROW()/1000000</f>
        <v/>
      </c>
      <c r="Z571" s="80">
        <f>IF(Y571&gt;=75,"STRONG BUY",IF(Y571&gt;=60,"BUY",IF(Y571&gt;=40,"HOLD",IF(Y571&gt;=25,"TRIM","SELL"))))</f>
        <v/>
      </c>
      <c r="AA571" s="80" t="inlineStr">
        <is>
          <t>https://www.pricecharting.com/game/pokemon-expedition/charizard-78</t>
        </is>
      </c>
      <c r="AB571" s="80" t="inlineStr">
        <is>
          <t>Expedition Charizard holo.</t>
        </is>
      </c>
    </row>
    <row r="572">
      <c r="A572" s="80" t="inlineStr">
        <is>
          <t>Z054</t>
        </is>
      </c>
      <c r="B572" s="80" t="inlineStr">
        <is>
          <t>Vintage Graded Singles</t>
        </is>
      </c>
      <c r="C572" s="80" t="inlineStr">
        <is>
          <t>T2</t>
        </is>
      </c>
      <c r="D572" s="80" t="inlineStr">
        <is>
          <t>Mewtwo</t>
        </is>
      </c>
      <c r="E572" s="80" t="inlineStr">
        <is>
          <t>Expedition</t>
        </is>
      </c>
      <c r="F572" s="80" t="inlineStr">
        <is>
          <t>32/165</t>
        </is>
      </c>
      <c r="G572" s="80" t="inlineStr">
        <is>
          <t>PSA 10</t>
        </is>
      </c>
      <c r="H572" s="80" t="n">
        <v>950</v>
      </c>
      <c r="I572" s="123" t="n">
        <v>46154</v>
      </c>
      <c r="J572" s="80" t="n">
        <v>919.13</v>
      </c>
      <c r="K572" s="80" t="n">
        <v>879.63</v>
      </c>
      <c r="L572" s="80" t="n">
        <v>853.09</v>
      </c>
      <c r="M572" s="80">
        <f>IFERROR((H572-J572)/J572,0)</f>
        <v/>
      </c>
      <c r="N572" s="80">
        <f>IFERROR((H572-K572)/K572,0)</f>
        <v/>
      </c>
      <c r="O572" s="80">
        <f>IFERROR((H572-L572)/L572,0)</f>
        <v/>
      </c>
      <c r="P572" s="80" t="n">
        <v>750</v>
      </c>
      <c r="Q572" s="80" t="n">
        <v>1400</v>
      </c>
      <c r="R572" s="80" t="inlineStr">
        <is>
          <t>3-7yr</t>
        </is>
      </c>
      <c r="S572" s="80" t="n">
        <v>4</v>
      </c>
      <c r="T572" s="80" t="n">
        <v>285</v>
      </c>
      <c r="U572" s="80">
        <f>MAX(0,MIN(100,50+((M572*0.6)+(N572*0.4))*200))</f>
        <v/>
      </c>
      <c r="V572" s="80">
        <f>MAX(20,MIN(100,50+(P572-H572)/P572*100))</f>
        <v/>
      </c>
      <c r="W572" s="80">
        <f>IFERROR(MAX(0,MIN(100,100-LOG10(T572)*16)),60)</f>
        <v/>
      </c>
      <c r="X572" s="80">
        <f>IF(C572="T2",85,IF(C572="T4",70,IF(C572="T1",65,IF(C572="T3",55,45))))</f>
        <v/>
      </c>
      <c r="Y572" s="80">
        <f>U572*0.55+W572*0.20+V572*0.15+X572*0.10+ROW()/1000000</f>
        <v/>
      </c>
      <c r="Z572" s="80">
        <f>IF(Y572&gt;=75,"STRONG BUY",IF(Y572&gt;=60,"BUY",IF(Y572&gt;=40,"HOLD",IF(Y572&gt;=25,"TRIM","SELL"))))</f>
        <v/>
      </c>
      <c r="AA572" s="80" t="inlineStr">
        <is>
          <t>https://www.pricecharting.com/game/pokemon-expedition/mewtwo-32</t>
        </is>
      </c>
      <c r="AB572" s="80" t="inlineStr">
        <is>
          <t>Expedition Mewtwo holo.</t>
        </is>
      </c>
    </row>
    <row r="573">
      <c r="A573" s="80" t="inlineStr">
        <is>
          <t>Q005</t>
        </is>
      </c>
      <c r="B573" s="80" t="inlineStr">
        <is>
          <t>Modern Chase PSA 10</t>
        </is>
      </c>
      <c r="C573" s="80" t="inlineStr">
        <is>
          <t>T5</t>
        </is>
      </c>
      <c r="D573" s="80" t="inlineStr">
        <is>
          <t>Greninja ex SIR</t>
        </is>
      </c>
      <c r="E573" s="80" t="inlineStr">
        <is>
          <t>Twilight Masquerade</t>
        </is>
      </c>
      <c r="F573" s="80" t="inlineStr">
        <is>
          <t>214/167</t>
        </is>
      </c>
      <c r="G573" s="80" t="inlineStr">
        <is>
          <t>Raw NM</t>
        </is>
      </c>
      <c r="H573" s="80" t="n">
        <v>95</v>
      </c>
      <c r="I573" s="123" t="n">
        <v>46154</v>
      </c>
      <c r="J573" s="80" t="n">
        <v>91.45</v>
      </c>
      <c r="K573" s="80" t="n">
        <v>86.36</v>
      </c>
      <c r="L573" s="80" t="n">
        <v>80.04000000000001</v>
      </c>
      <c r="M573" s="80">
        <f>IFERROR((H573-J573)/J573,0)</f>
        <v/>
      </c>
      <c r="N573" s="80">
        <f>IFERROR((H573-K573)/K573,0)</f>
        <v/>
      </c>
      <c r="O573" s="80">
        <f>IFERROR((H573-L573)/L573,0)</f>
        <v/>
      </c>
      <c r="P573" s="80" t="n">
        <v>70</v>
      </c>
      <c r="Q573" s="80" t="n">
        <v>145</v>
      </c>
      <c r="R573" s="80" t="inlineStr">
        <is>
          <t>2-4yr</t>
        </is>
      </c>
      <c r="S573" s="80" t="n">
        <v>4</v>
      </c>
      <c r="T573" s="80" t="n">
        <v>1850</v>
      </c>
      <c r="U573" s="80">
        <f>MAX(0,MIN(100,50+((M573*0.6)+(N573*0.4))*200))</f>
        <v/>
      </c>
      <c r="V573" s="80">
        <f>MAX(20,MIN(100,50+(P573-H573)/P573*100))</f>
        <v/>
      </c>
      <c r="W573" s="80">
        <f>IFERROR(MAX(0,MIN(100,100-LOG10(T573)*16)),60)</f>
        <v/>
      </c>
      <c r="X573" s="80">
        <f>IF(C573="T2",85,IF(C573="T4",70,IF(C573="T1",65,IF(C573="T3",55,45))))</f>
        <v/>
      </c>
      <c r="Y573" s="80">
        <f>U573*0.55+W573*0.20+V573*0.15+X573*0.10+ROW()/1000000</f>
        <v/>
      </c>
      <c r="Z573" s="80">
        <f>IF(Y573&gt;=75,"STRONG BUY",IF(Y573&gt;=60,"BUY",IF(Y573&gt;=40,"HOLD",IF(Y573&gt;=25,"TRIM","SELL"))))</f>
        <v/>
      </c>
      <c r="AA573" s="80" t="inlineStr">
        <is>
          <t>https://www.tcgplayer.com/product/536145</t>
        </is>
      </c>
      <c r="AB573" s="80" t="inlineStr">
        <is>
          <t>Greninja ex SIR - Naruto crossover appeal.</t>
        </is>
      </c>
    </row>
    <row r="574">
      <c r="A574" s="80" t="inlineStr">
        <is>
          <t>Q006</t>
        </is>
      </c>
      <c r="B574" s="80" t="inlineStr">
        <is>
          <t>Modern Chase PSA 10</t>
        </is>
      </c>
      <c r="C574" s="80" t="inlineStr">
        <is>
          <t>T5</t>
        </is>
      </c>
      <c r="D574" s="80" t="inlineStr">
        <is>
          <t>Greninja ex SIR</t>
        </is>
      </c>
      <c r="E574" s="80" t="inlineStr">
        <is>
          <t>Twilight Masquerade</t>
        </is>
      </c>
      <c r="F574" s="80" t="inlineStr">
        <is>
          <t>214/167</t>
        </is>
      </c>
      <c r="G574" s="80" t="inlineStr">
        <is>
          <t>PSA 10</t>
        </is>
      </c>
      <c r="H574" s="80" t="n">
        <v>285</v>
      </c>
      <c r="I574" s="123" t="n">
        <v>46154</v>
      </c>
      <c r="J574" s="80" t="n">
        <v>273.49</v>
      </c>
      <c r="K574" s="80" t="n">
        <v>254.46</v>
      </c>
      <c r="L574" s="80" t="n">
        <v>232.94</v>
      </c>
      <c r="M574" s="80">
        <f>IFERROR((H574-J574)/J574,0)</f>
        <v/>
      </c>
      <c r="N574" s="80">
        <f>IFERROR((H574-K574)/K574,0)</f>
        <v/>
      </c>
      <c r="O574" s="80">
        <f>IFERROR((H574-L574)/L574,0)</f>
        <v/>
      </c>
      <c r="P574" s="80" t="n">
        <v>220</v>
      </c>
      <c r="Q574" s="80" t="n">
        <v>420</v>
      </c>
      <c r="R574" s="80" t="inlineStr">
        <is>
          <t>2-4yr</t>
        </is>
      </c>
      <c r="S574" s="80" t="n">
        <v>4</v>
      </c>
      <c r="T574" s="80" t="n">
        <v>425</v>
      </c>
      <c r="U574" s="80">
        <f>MAX(0,MIN(100,50+((M574*0.6)+(N574*0.4))*200))</f>
        <v/>
      </c>
      <c r="V574" s="80">
        <f>MAX(20,MIN(100,50+(P574-H574)/P574*100))</f>
        <v/>
      </c>
      <c r="W574" s="80">
        <f>IFERROR(MAX(0,MIN(100,100-LOG10(T574)*16)),60)</f>
        <v/>
      </c>
      <c r="X574" s="80">
        <f>IF(C574="T2",85,IF(C574="T4",70,IF(C574="T1",65,IF(C574="T3",55,45))))</f>
        <v/>
      </c>
      <c r="Y574" s="80">
        <f>U574*0.55+W574*0.20+V574*0.15+X574*0.10+ROW()/1000000</f>
        <v/>
      </c>
      <c r="Z574" s="80">
        <f>IF(Y574&gt;=75,"STRONG BUY",IF(Y574&gt;=60,"BUY",IF(Y574&gt;=40,"HOLD",IF(Y574&gt;=25,"TRIM","SELL"))))</f>
        <v/>
      </c>
      <c r="AA574" s="80" t="inlineStr">
        <is>
          <t>https://www.pricecharting.com/game/pokemon-twilight-masquerade/greninja-ex-214</t>
        </is>
      </c>
      <c r="AB574" s="80" t="inlineStr">
        <is>
          <t>Greninja ex SIR PSA 10.</t>
        </is>
      </c>
    </row>
    <row r="575">
      <c r="A575" s="80" t="inlineStr">
        <is>
          <t>Q007</t>
        </is>
      </c>
      <c r="B575" s="80" t="inlineStr">
        <is>
          <t>Modern Chase PSA 10</t>
        </is>
      </c>
      <c r="C575" s="80" t="inlineStr">
        <is>
          <t>T5</t>
        </is>
      </c>
      <c r="D575" s="80" t="inlineStr">
        <is>
          <t>Bloodmoon Ursaluna ex SIR</t>
        </is>
      </c>
      <c r="E575" s="80" t="inlineStr">
        <is>
          <t>Twilight Masquerade</t>
        </is>
      </c>
      <c r="F575" s="80" t="inlineStr">
        <is>
          <t>216/167</t>
        </is>
      </c>
      <c r="G575" s="80" t="inlineStr">
        <is>
          <t>Raw NM</t>
        </is>
      </c>
      <c r="H575" s="80" t="n">
        <v>55</v>
      </c>
      <c r="I575" s="123" t="n">
        <v>46154</v>
      </c>
      <c r="J575" s="80" t="n">
        <v>53.25</v>
      </c>
      <c r="K575" s="80" t="n">
        <v>50.93</v>
      </c>
      <c r="L575" s="80" t="n">
        <v>47.73</v>
      </c>
      <c r="M575" s="80">
        <f>IFERROR((H575-J575)/J575,0)</f>
        <v/>
      </c>
      <c r="N575" s="80">
        <f>IFERROR((H575-K575)/K575,0)</f>
        <v/>
      </c>
      <c r="O575" s="80">
        <f>IFERROR((H575-L575)/L575,0)</f>
        <v/>
      </c>
      <c r="P575" s="80" t="n">
        <v>42</v>
      </c>
      <c r="Q575" s="80" t="n">
        <v>85</v>
      </c>
      <c r="R575" s="80" t="inlineStr">
        <is>
          <t>2-4yr</t>
        </is>
      </c>
      <c r="S575" s="80" t="n">
        <v>3</v>
      </c>
      <c r="T575" s="80" t="n">
        <v>2150</v>
      </c>
      <c r="U575" s="80">
        <f>MAX(0,MIN(100,50+((M575*0.6)+(N575*0.4))*200))</f>
        <v/>
      </c>
      <c r="V575" s="80">
        <f>MAX(20,MIN(100,50+(P575-H575)/P575*100))</f>
        <v/>
      </c>
      <c r="W575" s="80">
        <f>IFERROR(MAX(0,MIN(100,100-LOG10(T575)*16)),60)</f>
        <v/>
      </c>
      <c r="X575" s="80">
        <f>IF(C575="T2",85,IF(C575="T4",70,IF(C575="T1",65,IF(C575="T3",55,45))))</f>
        <v/>
      </c>
      <c r="Y575" s="80">
        <f>U575*0.55+W575*0.20+V575*0.15+X575*0.10+ROW()/1000000</f>
        <v/>
      </c>
      <c r="Z575" s="80">
        <f>IF(Y575&gt;=75,"STRONG BUY",IF(Y575&gt;=60,"BUY",IF(Y575&gt;=40,"HOLD",IF(Y575&gt;=25,"TRIM","SELL"))))</f>
        <v/>
      </c>
      <c r="AA575" s="80" t="inlineStr">
        <is>
          <t>https://www.tcgplayer.com/product/536147</t>
        </is>
      </c>
      <c r="AB575" s="80" t="inlineStr">
        <is>
          <t>Bloodmoon Ursaluna - meta card.</t>
        </is>
      </c>
    </row>
    <row r="576">
      <c r="A576" s="80" t="inlineStr">
        <is>
          <t>Q008</t>
        </is>
      </c>
      <c r="B576" s="80" t="inlineStr">
        <is>
          <t>Modern Chase PSA 10</t>
        </is>
      </c>
      <c r="C576" s="80" t="inlineStr">
        <is>
          <t>T5</t>
        </is>
      </c>
      <c r="D576" s="80" t="inlineStr">
        <is>
          <t>Pecharunt ex SIR</t>
        </is>
      </c>
      <c r="E576" s="80" t="inlineStr">
        <is>
          <t>Shrouded Fable</t>
        </is>
      </c>
      <c r="F576" s="80" t="inlineStr">
        <is>
          <t>086/064</t>
        </is>
      </c>
      <c r="G576" s="80" t="inlineStr">
        <is>
          <t>Raw NM</t>
        </is>
      </c>
      <c r="H576" s="80" t="n">
        <v>28</v>
      </c>
      <c r="I576" s="123" t="n">
        <v>46154</v>
      </c>
      <c r="J576" s="80" t="n">
        <v>27.6</v>
      </c>
      <c r="K576" s="80" t="n">
        <v>26.67</v>
      </c>
      <c r="L576" s="80" t="n">
        <v>26.05</v>
      </c>
      <c r="M576" s="80">
        <f>IFERROR((H576-J576)/J576,0)</f>
        <v/>
      </c>
      <c r="N576" s="80">
        <f>IFERROR((H576-K576)/K576,0)</f>
        <v/>
      </c>
      <c r="O576" s="80">
        <f>IFERROR((H576-L576)/L576,0)</f>
        <v/>
      </c>
      <c r="P576" s="80" t="n">
        <v>22</v>
      </c>
      <c r="Q576" s="80" t="n">
        <v>45</v>
      </c>
      <c r="R576" s="80" t="inlineStr">
        <is>
          <t>1-3yr</t>
        </is>
      </c>
      <c r="S576" s="80" t="n">
        <v>3</v>
      </c>
      <c r="T576" s="80" t="n">
        <v>1850</v>
      </c>
      <c r="U576" s="80">
        <f>MAX(0,MIN(100,50+((M576*0.6)+(N576*0.4))*200))</f>
        <v/>
      </c>
      <c r="V576" s="80">
        <f>MAX(20,MIN(100,50+(P576-H576)/P576*100))</f>
        <v/>
      </c>
      <c r="W576" s="80">
        <f>IFERROR(MAX(0,MIN(100,100-LOG10(T576)*16)),60)</f>
        <v/>
      </c>
      <c r="X576" s="80">
        <f>IF(C576="T2",85,IF(C576="T4",70,IF(C576="T1",65,IF(C576="T3",55,45))))</f>
        <v/>
      </c>
      <c r="Y576" s="80">
        <f>U576*0.55+W576*0.20+V576*0.15+X576*0.10+ROW()/1000000</f>
        <v/>
      </c>
      <c r="Z576" s="80">
        <f>IF(Y576&gt;=75,"STRONG BUY",IF(Y576&gt;=60,"BUY",IF(Y576&gt;=40,"HOLD",IF(Y576&gt;=25,"TRIM","SELL"))))</f>
        <v/>
      </c>
      <c r="AA576" s="80" t="inlineStr">
        <is>
          <t>https://www.tcgplayer.com/product/586420</t>
        </is>
      </c>
      <c r="AB576" s="80" t="inlineStr">
        <is>
          <t>Pecharunt mythical.</t>
        </is>
      </c>
    </row>
    <row r="577">
      <c r="A577" s="80" t="inlineStr">
        <is>
          <t>Q009</t>
        </is>
      </c>
      <c r="B577" s="80" t="inlineStr">
        <is>
          <t>Modern Chase PSA 10</t>
        </is>
      </c>
      <c r="C577" s="80" t="inlineStr">
        <is>
          <t>T5</t>
        </is>
      </c>
      <c r="D577" s="80" t="inlineStr">
        <is>
          <t>Iono SIR</t>
        </is>
      </c>
      <c r="E577" s="80" t="inlineStr">
        <is>
          <t>Paldea Evolved</t>
        </is>
      </c>
      <c r="F577" s="80" t="inlineStr">
        <is>
          <t>266/193</t>
        </is>
      </c>
      <c r="G577" s="80" t="inlineStr">
        <is>
          <t>PSA 10</t>
        </is>
      </c>
      <c r="H577" s="80" t="n">
        <v>850</v>
      </c>
      <c r="I577" s="123" t="n">
        <v>46154</v>
      </c>
      <c r="J577" s="80" t="n">
        <v>799.0599999999999</v>
      </c>
      <c r="K577" s="80" t="n">
        <v>720.34</v>
      </c>
      <c r="L577" s="80" t="n">
        <v>653.86</v>
      </c>
      <c r="M577" s="80">
        <f>IFERROR((H577-J577)/J577,0)</f>
        <v/>
      </c>
      <c r="N577" s="80">
        <f>IFERROR((H577-K577)/K577,0)</f>
        <v/>
      </c>
      <c r="O577" s="80">
        <f>IFERROR((H577-L577)/L577,0)</f>
        <v/>
      </c>
      <c r="P577" s="80" t="n">
        <v>650</v>
      </c>
      <c r="Q577" s="80" t="n">
        <v>1250</v>
      </c>
      <c r="R577" s="80" t="inlineStr">
        <is>
          <t>2-5yr</t>
        </is>
      </c>
      <c r="S577" s="80" t="n">
        <v>5</v>
      </c>
      <c r="T577" s="80" t="n">
        <v>285</v>
      </c>
      <c r="U577" s="80">
        <f>MAX(0,MIN(100,50+((M577*0.6)+(N577*0.4))*200))</f>
        <v/>
      </c>
      <c r="V577" s="80">
        <f>MAX(20,MIN(100,50+(P577-H577)/P577*100))</f>
        <v/>
      </c>
      <c r="W577" s="80">
        <f>IFERROR(MAX(0,MIN(100,100-LOG10(T577)*16)),60)</f>
        <v/>
      </c>
      <c r="X577" s="80">
        <f>IF(C577="T2",85,IF(C577="T4",70,IF(C577="T1",65,IF(C577="T3",55,45))))</f>
        <v/>
      </c>
      <c r="Y577" s="80">
        <f>U577*0.55+W577*0.20+V577*0.15+X577*0.10+ROW()/1000000</f>
        <v/>
      </c>
      <c r="Z577" s="80">
        <f>IF(Y577&gt;=75,"STRONG BUY",IF(Y577&gt;=60,"BUY",IF(Y577&gt;=40,"HOLD",IF(Y577&gt;=25,"TRIM","SELL"))))</f>
        <v/>
      </c>
      <c r="AA577" s="80" t="inlineStr">
        <is>
          <t>https://www.pricecharting.com/game/pokemon-paldea-evolved/iono-266</t>
        </is>
      </c>
      <c r="AB577" s="80" t="inlineStr">
        <is>
          <t>Iono OG SIR. Waifu trainer premium.</t>
        </is>
      </c>
    </row>
    <row r="578">
      <c r="A578" s="80" t="inlineStr">
        <is>
          <t>Q010</t>
        </is>
      </c>
      <c r="B578" s="80" t="inlineStr">
        <is>
          <t>Modern Chase PSA 10</t>
        </is>
      </c>
      <c r="C578" s="80" t="inlineStr">
        <is>
          <t>T5</t>
        </is>
      </c>
      <c r="D578" s="80" t="inlineStr">
        <is>
          <t>Iono SIR</t>
        </is>
      </c>
      <c r="E578" s="80" t="inlineStr">
        <is>
          <t>Paldea Evolved</t>
        </is>
      </c>
      <c r="F578" s="80" t="inlineStr">
        <is>
          <t>266/193</t>
        </is>
      </c>
      <c r="G578" s="80" t="inlineStr">
        <is>
          <t>Raw NM</t>
        </is>
      </c>
      <c r="H578" s="80" t="n">
        <v>220</v>
      </c>
      <c r="I578" s="123" t="n">
        <v>46154</v>
      </c>
      <c r="J578" s="80" t="n">
        <v>214.9</v>
      </c>
      <c r="K578" s="80" t="n">
        <v>191.3</v>
      </c>
      <c r="L578" s="80" t="n">
        <v>185.58</v>
      </c>
      <c r="M578" s="80">
        <f>IFERROR((H578-J578)/J578,0)</f>
        <v/>
      </c>
      <c r="N578" s="80">
        <f>IFERROR((H578-K578)/K578,0)</f>
        <v/>
      </c>
      <c r="O578" s="80">
        <f>IFERROR((H578-L578)/L578,0)</f>
        <v/>
      </c>
      <c r="P578" s="80" t="n">
        <v>175</v>
      </c>
      <c r="Q578" s="80" t="n">
        <v>320</v>
      </c>
      <c r="R578" s="80" t="inlineStr">
        <is>
          <t>1-3yr</t>
        </is>
      </c>
      <c r="S578" s="80" t="n">
        <v>4</v>
      </c>
      <c r="T578" s="80" t="n">
        <v>1450</v>
      </c>
      <c r="U578" s="80">
        <f>MAX(0,MIN(100,50+((M578*0.6)+(N578*0.4))*200))</f>
        <v/>
      </c>
      <c r="V578" s="80">
        <f>MAX(20,MIN(100,50+(P578-H578)/P578*100))</f>
        <v/>
      </c>
      <c r="W578" s="80">
        <f>IFERROR(MAX(0,MIN(100,100-LOG10(T578)*16)),60)</f>
        <v/>
      </c>
      <c r="X578" s="80">
        <f>IF(C578="T2",85,IF(C578="T4",70,IF(C578="T1",65,IF(C578="T3",55,45))))</f>
        <v/>
      </c>
      <c r="Y578" s="80">
        <f>U578*0.55+W578*0.20+V578*0.15+X578*0.10+ROW()/1000000</f>
        <v/>
      </c>
      <c r="Z578" s="80">
        <f>IF(Y578&gt;=75,"STRONG BUY",IF(Y578&gt;=60,"BUY",IF(Y578&gt;=40,"HOLD",IF(Y578&gt;=25,"TRIM","SELL"))))</f>
        <v/>
      </c>
      <c r="AA578" s="80" t="inlineStr">
        <is>
          <t>https://www.tcgplayer.com/product/494569</t>
        </is>
      </c>
      <c r="AB578" s="80" t="inlineStr">
        <is>
          <t>Iono OG raw - grade potential.</t>
        </is>
      </c>
    </row>
    <row r="579">
      <c r="A579" s="80" t="inlineStr">
        <is>
          <t>Q011</t>
        </is>
      </c>
      <c r="B579" s="80" t="inlineStr">
        <is>
          <t>Modern Chase PSA 10</t>
        </is>
      </c>
      <c r="C579" s="80" t="inlineStr">
        <is>
          <t>T5</t>
        </is>
      </c>
      <c r="D579" s="80" t="inlineStr">
        <is>
          <t>Roaring Moon ex SIR</t>
        </is>
      </c>
      <c r="E579" s="80" t="inlineStr">
        <is>
          <t>Paradox Rift</t>
        </is>
      </c>
      <c r="F579" s="80" t="inlineStr">
        <is>
          <t>262/182</t>
        </is>
      </c>
      <c r="G579" s="80" t="inlineStr">
        <is>
          <t>PSA 10</t>
        </is>
      </c>
      <c r="H579" s="80" t="n">
        <v>320</v>
      </c>
      <c r="I579" s="123" t="n">
        <v>46154</v>
      </c>
      <c r="J579" s="80" t="n">
        <v>314.25</v>
      </c>
      <c r="K579" s="80" t="n">
        <v>290.91</v>
      </c>
      <c r="L579" s="80" t="n">
        <v>262.07</v>
      </c>
      <c r="M579" s="80">
        <f>IFERROR((H579-J579)/J579,0)</f>
        <v/>
      </c>
      <c r="N579" s="80">
        <f>IFERROR((H579-K579)/K579,0)</f>
        <v/>
      </c>
      <c r="O579" s="80">
        <f>IFERROR((H579-L579)/L579,0)</f>
        <v/>
      </c>
      <c r="P579" s="80" t="n">
        <v>250</v>
      </c>
      <c r="Q579" s="80" t="n">
        <v>470</v>
      </c>
      <c r="R579" s="80" t="inlineStr">
        <is>
          <t>2-4yr</t>
        </is>
      </c>
      <c r="S579" s="80" t="n">
        <v>4</v>
      </c>
      <c r="T579" s="80" t="n">
        <v>685</v>
      </c>
      <c r="U579" s="80">
        <f>MAX(0,MIN(100,50+((M579*0.6)+(N579*0.4))*200))</f>
        <v/>
      </c>
      <c r="V579" s="80">
        <f>MAX(20,MIN(100,50+(P579-H579)/P579*100))</f>
        <v/>
      </c>
      <c r="W579" s="80">
        <f>IFERROR(MAX(0,MIN(100,100-LOG10(T579)*16)),60)</f>
        <v/>
      </c>
      <c r="X579" s="80">
        <f>IF(C579="T2",85,IF(C579="T4",70,IF(C579="T1",65,IF(C579="T3",55,45))))</f>
        <v/>
      </c>
      <c r="Y579" s="80">
        <f>U579*0.55+W579*0.20+V579*0.15+X579*0.10+ROW()/1000000</f>
        <v/>
      </c>
      <c r="Z579" s="80">
        <f>IF(Y579&gt;=75,"STRONG BUY",IF(Y579&gt;=60,"BUY",IF(Y579&gt;=40,"HOLD",IF(Y579&gt;=25,"TRIM","SELL"))))</f>
        <v/>
      </c>
      <c r="AA579" s="80" t="inlineStr">
        <is>
          <t>https://www.pricecharting.com/game/pokemon-paradox-rift/roaring-moon-ex-262</t>
        </is>
      </c>
      <c r="AB579" s="80" t="inlineStr">
        <is>
          <t>Paradox dark dragon SIR.</t>
        </is>
      </c>
    </row>
    <row r="580">
      <c r="A580" s="80" t="inlineStr">
        <is>
          <t>Q012</t>
        </is>
      </c>
      <c r="B580" s="80" t="inlineStr">
        <is>
          <t>Modern Chase PSA 10</t>
        </is>
      </c>
      <c r="C580" s="80" t="inlineStr">
        <is>
          <t>T5</t>
        </is>
      </c>
      <c r="D580" s="80" t="inlineStr">
        <is>
          <t>Iron Valiant ex SIR</t>
        </is>
      </c>
      <c r="E580" s="80" t="inlineStr">
        <is>
          <t>Paradox Rift</t>
        </is>
      </c>
      <c r="F580" s="80" t="inlineStr">
        <is>
          <t>263/182</t>
        </is>
      </c>
      <c r="G580" s="80" t="inlineStr">
        <is>
          <t>PSA 10</t>
        </is>
      </c>
      <c r="H580" s="80" t="n">
        <v>280</v>
      </c>
      <c r="I580" s="123" t="n">
        <v>46154</v>
      </c>
      <c r="J580" s="80" t="n">
        <v>277.79</v>
      </c>
      <c r="K580" s="80" t="n">
        <v>259.26</v>
      </c>
      <c r="L580" s="80" t="n">
        <v>235.72</v>
      </c>
      <c r="M580" s="80">
        <f>IFERROR((H580-J580)/J580,0)</f>
        <v/>
      </c>
      <c r="N580" s="80">
        <f>IFERROR((H580-K580)/K580,0)</f>
        <v/>
      </c>
      <c r="O580" s="80">
        <f>IFERROR((H580-L580)/L580,0)</f>
        <v/>
      </c>
      <c r="P580" s="80" t="n">
        <v>215</v>
      </c>
      <c r="Q580" s="80" t="n">
        <v>410</v>
      </c>
      <c r="R580" s="80" t="inlineStr">
        <is>
          <t>2-4yr</t>
        </is>
      </c>
      <c r="S580" s="80" t="n">
        <v>4</v>
      </c>
      <c r="T580" s="80" t="n">
        <v>745</v>
      </c>
      <c r="U580" s="80">
        <f>MAX(0,MIN(100,50+((M580*0.6)+(N580*0.4))*200))</f>
        <v/>
      </c>
      <c r="V580" s="80">
        <f>MAX(20,MIN(100,50+(P580-H580)/P580*100))</f>
        <v/>
      </c>
      <c r="W580" s="80">
        <f>IFERROR(MAX(0,MIN(100,100-LOG10(T580)*16)),60)</f>
        <v/>
      </c>
      <c r="X580" s="80">
        <f>IF(C580="T2",85,IF(C580="T4",70,IF(C580="T1",65,IF(C580="T3",55,45))))</f>
        <v/>
      </c>
      <c r="Y580" s="80">
        <f>U580*0.55+W580*0.20+V580*0.15+X580*0.10+ROW()/1000000</f>
        <v/>
      </c>
      <c r="Z580" s="80">
        <f>IF(Y580&gt;=75,"STRONG BUY",IF(Y580&gt;=60,"BUY",IF(Y580&gt;=40,"HOLD",IF(Y580&gt;=25,"TRIM","SELL"))))</f>
        <v/>
      </c>
      <c r="AA580" s="80" t="inlineStr">
        <is>
          <t>https://www.pricecharting.com/game/pokemon-paradox-rift/iron-valiant-ex-263</t>
        </is>
      </c>
      <c r="AB580" s="80" t="inlineStr">
        <is>
          <t>Future paradox SIR.</t>
        </is>
      </c>
    </row>
    <row r="581">
      <c r="A581" s="80" t="inlineStr">
        <is>
          <t>Q013</t>
        </is>
      </c>
      <c r="B581" s="80" t="inlineStr">
        <is>
          <t>Modern Chase PSA 10</t>
        </is>
      </c>
      <c r="C581" s="80" t="inlineStr">
        <is>
          <t>T5</t>
        </is>
      </c>
      <c r="D581" s="80" t="inlineStr">
        <is>
          <t>Walking Wake ex SIR</t>
        </is>
      </c>
      <c r="E581" s="80" t="inlineStr">
        <is>
          <t>Temporal Forces</t>
        </is>
      </c>
      <c r="F581" s="80" t="inlineStr">
        <is>
          <t>208/162</t>
        </is>
      </c>
      <c r="G581" s="80" t="inlineStr">
        <is>
          <t>PSA 10</t>
        </is>
      </c>
      <c r="H581" s="80" t="n">
        <v>225</v>
      </c>
      <c r="I581" s="123" t="n">
        <v>46154</v>
      </c>
      <c r="J581" s="80" t="n">
        <v>218.84</v>
      </c>
      <c r="K581" s="80" t="n">
        <v>206.42</v>
      </c>
      <c r="L581" s="80" t="n">
        <v>190.45</v>
      </c>
      <c r="M581" s="80">
        <f>IFERROR((H581-J581)/J581,0)</f>
        <v/>
      </c>
      <c r="N581" s="80">
        <f>IFERROR((H581-K581)/K581,0)</f>
        <v/>
      </c>
      <c r="O581" s="80">
        <f>IFERROR((H581-L581)/L581,0)</f>
        <v/>
      </c>
      <c r="P581" s="80" t="n">
        <v>175</v>
      </c>
      <c r="Q581" s="80" t="n">
        <v>330</v>
      </c>
      <c r="R581" s="80" t="inlineStr">
        <is>
          <t>2-4yr</t>
        </is>
      </c>
      <c r="S581" s="80" t="n">
        <v>4</v>
      </c>
      <c r="T581" s="80" t="n">
        <v>825</v>
      </c>
      <c r="U581" s="80">
        <f>MAX(0,MIN(100,50+((M581*0.6)+(N581*0.4))*200))</f>
        <v/>
      </c>
      <c r="V581" s="80">
        <f>MAX(20,MIN(100,50+(P581-H581)/P581*100))</f>
        <v/>
      </c>
      <c r="W581" s="80">
        <f>IFERROR(MAX(0,MIN(100,100-LOG10(T581)*16)),60)</f>
        <v/>
      </c>
      <c r="X581" s="80">
        <f>IF(C581="T2",85,IF(C581="T4",70,IF(C581="T1",65,IF(C581="T3",55,45))))</f>
        <v/>
      </c>
      <c r="Y581" s="80">
        <f>U581*0.55+W581*0.20+V581*0.15+X581*0.10+ROW()/1000000</f>
        <v/>
      </c>
      <c r="Z581" s="80">
        <f>IF(Y581&gt;=75,"STRONG BUY",IF(Y581&gt;=60,"BUY",IF(Y581&gt;=40,"HOLD",IF(Y581&gt;=25,"TRIM","SELL"))))</f>
        <v/>
      </c>
      <c r="AA581" s="80" t="inlineStr">
        <is>
          <t>https://www.pricecharting.com/game/pokemon-temporal-forces/walking-wake-ex-208</t>
        </is>
      </c>
      <c r="AB581" s="80" t="inlineStr">
        <is>
          <t>Temporal Forces ancient SIR.</t>
        </is>
      </c>
    </row>
    <row r="582">
      <c r="A582" s="80" t="inlineStr">
        <is>
          <t>Q014</t>
        </is>
      </c>
      <c r="B582" s="80" t="inlineStr">
        <is>
          <t>Modern Chase PSA 10</t>
        </is>
      </c>
      <c r="C582" s="80" t="inlineStr">
        <is>
          <t>T5</t>
        </is>
      </c>
      <c r="D582" s="80" t="inlineStr">
        <is>
          <t>Iron Leaves ex SIR</t>
        </is>
      </c>
      <c r="E582" s="80" t="inlineStr">
        <is>
          <t>Temporal Forces</t>
        </is>
      </c>
      <c r="F582" s="80" t="inlineStr">
        <is>
          <t>209/162</t>
        </is>
      </c>
      <c r="G582" s="80" t="inlineStr">
        <is>
          <t>PSA 10</t>
        </is>
      </c>
      <c r="H582" s="80" t="n">
        <v>195</v>
      </c>
      <c r="I582" s="123" t="n">
        <v>46154</v>
      </c>
      <c r="J582" s="80" t="n">
        <v>191.58</v>
      </c>
      <c r="K582" s="80" t="n">
        <v>182.24</v>
      </c>
      <c r="L582" s="80" t="n">
        <v>164.93</v>
      </c>
      <c r="M582" s="80">
        <f>IFERROR((H582-J582)/J582,0)</f>
        <v/>
      </c>
      <c r="N582" s="80">
        <f>IFERROR((H582-K582)/K582,0)</f>
        <v/>
      </c>
      <c r="O582" s="80">
        <f>IFERROR((H582-L582)/L582,0)</f>
        <v/>
      </c>
      <c r="P582" s="80" t="n">
        <v>150</v>
      </c>
      <c r="Q582" s="80" t="n">
        <v>285</v>
      </c>
      <c r="R582" s="80" t="inlineStr">
        <is>
          <t>2-4yr</t>
        </is>
      </c>
      <c r="S582" s="80" t="n">
        <v>4</v>
      </c>
      <c r="T582" s="80" t="n">
        <v>855</v>
      </c>
      <c r="U582" s="80">
        <f>MAX(0,MIN(100,50+((M582*0.6)+(N582*0.4))*200))</f>
        <v/>
      </c>
      <c r="V582" s="80">
        <f>MAX(20,MIN(100,50+(P582-H582)/P582*100))</f>
        <v/>
      </c>
      <c r="W582" s="80">
        <f>IFERROR(MAX(0,MIN(100,100-LOG10(T582)*16)),60)</f>
        <v/>
      </c>
      <c r="X582" s="80">
        <f>IF(C582="T2",85,IF(C582="T4",70,IF(C582="T1",65,IF(C582="T3",55,45))))</f>
        <v/>
      </c>
      <c r="Y582" s="80">
        <f>U582*0.55+W582*0.20+V582*0.15+X582*0.10+ROW()/1000000</f>
        <v/>
      </c>
      <c r="Z582" s="80">
        <f>IF(Y582&gt;=75,"STRONG BUY",IF(Y582&gt;=60,"BUY",IF(Y582&gt;=40,"HOLD",IF(Y582&gt;=25,"TRIM","SELL"))))</f>
        <v/>
      </c>
      <c r="AA582" s="80" t="inlineStr">
        <is>
          <t>https://www.pricecharting.com/game/pokemon-temporal-forces/iron-leaves-ex-209</t>
        </is>
      </c>
      <c r="AB582" s="80" t="inlineStr">
        <is>
          <t>Future iron leaves SIR.</t>
        </is>
      </c>
    </row>
    <row r="583">
      <c r="A583" s="80" t="inlineStr">
        <is>
          <t>Y001</t>
        </is>
      </c>
      <c r="B583" s="80" t="inlineStr">
        <is>
          <t>Modern Chase PSA 10</t>
        </is>
      </c>
      <c r="C583" s="80" t="inlineStr">
        <is>
          <t>T5</t>
        </is>
      </c>
      <c r="D583" s="80" t="inlineStr">
        <is>
          <t>Pikachu V Special Set (JP)</t>
        </is>
      </c>
      <c r="E583" s="80" t="inlineStr">
        <is>
          <t>S-P Promo 270</t>
        </is>
      </c>
      <c r="F583" s="80" t="inlineStr">
        <is>
          <t>270/S-P</t>
        </is>
      </c>
      <c r="G583" s="80" t="inlineStr">
        <is>
          <t>Raw NM</t>
        </is>
      </c>
      <c r="H583" s="80" t="n">
        <v>95</v>
      </c>
      <c r="I583" s="123" t="n">
        <v>46154</v>
      </c>
      <c r="J583" s="80" t="n">
        <v>93.68000000000001</v>
      </c>
      <c r="K583" s="80" t="n">
        <v>87.95999999999999</v>
      </c>
      <c r="L583" s="80" t="n">
        <v>80.27</v>
      </c>
      <c r="M583" s="80">
        <f>IFERROR((H583-J583)/J583,0)</f>
        <v/>
      </c>
      <c r="N583" s="80">
        <f>IFERROR((H583-K583)/K583,0)</f>
        <v/>
      </c>
      <c r="O583" s="80">
        <f>IFERROR((H583-L583)/L583,0)</f>
        <v/>
      </c>
      <c r="P583" s="80" t="n">
        <v>75</v>
      </c>
      <c r="Q583" s="80" t="n">
        <v>145</v>
      </c>
      <c r="R583" s="80" t="inlineStr">
        <is>
          <t>2-4yr</t>
        </is>
      </c>
      <c r="S583" s="80" t="n">
        <v>4</v>
      </c>
      <c r="T583" s="80" t="n">
        <v>1450</v>
      </c>
      <c r="U583" s="80">
        <f>MAX(0,MIN(100,50+((M583*0.6)+(N583*0.4))*200))</f>
        <v/>
      </c>
      <c r="V583" s="80">
        <f>MAX(20,MIN(100,50+(P583-H583)/P583*100))</f>
        <v/>
      </c>
      <c r="W583" s="80">
        <f>IFERROR(MAX(0,MIN(100,100-LOG10(T583)*16)),60)</f>
        <v/>
      </c>
      <c r="X583" s="80">
        <f>IF(C583="T2",85,IF(C583="T4",70,IF(C583="T1",65,IF(C583="T3",55,45))))</f>
        <v/>
      </c>
      <c r="Y583" s="80">
        <f>U583*0.55+W583*0.20+V583*0.15+X583*0.10+ROW()/1000000</f>
        <v/>
      </c>
      <c r="Z583" s="80">
        <f>IF(Y583&gt;=75,"STRONG BUY",IF(Y583&gt;=60,"BUY",IF(Y583&gt;=40,"HOLD",IF(Y583&gt;=25,"TRIM","SELL"))))</f>
        <v/>
      </c>
      <c r="AA583" s="80" t="inlineStr">
        <is>
          <t>https://www.tcgplayer.com/product/263089</t>
        </is>
      </c>
      <c r="AB583" s="80" t="inlineStr">
        <is>
          <t>Special Pikachu V promo - JP.</t>
        </is>
      </c>
    </row>
    <row r="584">
      <c r="A584" s="80" t="inlineStr">
        <is>
          <t>Y002</t>
        </is>
      </c>
      <c r="B584" s="80" t="inlineStr">
        <is>
          <t>Modern Chase PSA 10</t>
        </is>
      </c>
      <c r="C584" s="80" t="inlineStr">
        <is>
          <t>T5</t>
        </is>
      </c>
      <c r="D584" s="80" t="inlineStr">
        <is>
          <t>Charizard V (Promo)</t>
        </is>
      </c>
      <c r="E584" s="80" t="inlineStr">
        <is>
          <t>Sword &amp; Shield Promo SWSH050</t>
        </is>
      </c>
      <c r="F584" s="80" t="inlineStr">
        <is>
          <t>SWSH050</t>
        </is>
      </c>
      <c r="G584" s="80" t="inlineStr">
        <is>
          <t>Raw NM</t>
        </is>
      </c>
      <c r="H584" s="80" t="n">
        <v>285</v>
      </c>
      <c r="I584" s="123" t="n">
        <v>46154</v>
      </c>
      <c r="J584" s="80" t="n">
        <v>279.5</v>
      </c>
      <c r="K584" s="80" t="n">
        <v>254.46</v>
      </c>
      <c r="L584" s="80" t="n">
        <v>241.53</v>
      </c>
      <c r="M584" s="80">
        <f>IFERROR((H584-J584)/J584,0)</f>
        <v/>
      </c>
      <c r="N584" s="80">
        <f>IFERROR((H584-K584)/K584,0)</f>
        <v/>
      </c>
      <c r="O584" s="80">
        <f>IFERROR((H584-L584)/L584,0)</f>
        <v/>
      </c>
      <c r="P584" s="80" t="n">
        <v>220</v>
      </c>
      <c r="Q584" s="80" t="n">
        <v>420</v>
      </c>
      <c r="R584" s="80" t="inlineStr">
        <is>
          <t>2-4yr</t>
        </is>
      </c>
      <c r="S584" s="80" t="n">
        <v>4</v>
      </c>
      <c r="T584" s="80" t="n">
        <v>685</v>
      </c>
      <c r="U584" s="80">
        <f>MAX(0,MIN(100,50+((M584*0.6)+(N584*0.4))*200))</f>
        <v/>
      </c>
      <c r="V584" s="80">
        <f>MAX(20,MIN(100,50+(P584-H584)/P584*100))</f>
        <v/>
      </c>
      <c r="W584" s="80">
        <f>IFERROR(MAX(0,MIN(100,100-LOG10(T584)*16)),60)</f>
        <v/>
      </c>
      <c r="X584" s="80">
        <f>IF(C584="T2",85,IF(C584="T4",70,IF(C584="T1",65,IF(C584="T3",55,45))))</f>
        <v/>
      </c>
      <c r="Y584" s="80">
        <f>U584*0.55+W584*0.20+V584*0.15+X584*0.10+ROW()/1000000</f>
        <v/>
      </c>
      <c r="Z584" s="80">
        <f>IF(Y584&gt;=75,"STRONG BUY",IF(Y584&gt;=60,"BUY",IF(Y584&gt;=40,"HOLD",IF(Y584&gt;=25,"TRIM","SELL"))))</f>
        <v/>
      </c>
      <c r="AA584" s="80" t="inlineStr">
        <is>
          <t>https://www.tcgplayer.com/product/231785</t>
        </is>
      </c>
      <c r="AB584" s="80" t="inlineStr">
        <is>
          <t>Charizard V Shining Fates collection promo.</t>
        </is>
      </c>
    </row>
    <row r="585">
      <c r="A585" s="80" t="inlineStr">
        <is>
          <t>Y003</t>
        </is>
      </c>
      <c r="B585" s="80" t="inlineStr">
        <is>
          <t>Modern Chase PSA 10</t>
        </is>
      </c>
      <c r="C585" s="80" t="inlineStr">
        <is>
          <t>T5</t>
        </is>
      </c>
      <c r="D585" s="80" t="inlineStr">
        <is>
          <t>Mew V Special Art (JP)</t>
        </is>
      </c>
      <c r="E585" s="80" t="inlineStr">
        <is>
          <t>S12a Vstar Universe</t>
        </is>
      </c>
      <c r="F585" s="80" t="inlineStr">
        <is>
          <t>248/172</t>
        </is>
      </c>
      <c r="G585" s="80" t="inlineStr">
        <is>
          <t>Raw NM</t>
        </is>
      </c>
      <c r="H585" s="80" t="n">
        <v>165</v>
      </c>
      <c r="I585" s="123" t="n">
        <v>46154</v>
      </c>
      <c r="J585" s="80" t="n">
        <v>161.93</v>
      </c>
      <c r="K585" s="80" t="n">
        <v>150</v>
      </c>
      <c r="L585" s="80" t="n">
        <v>145.88</v>
      </c>
      <c r="M585" s="80">
        <f>IFERROR((H585-J585)/J585,0)</f>
        <v/>
      </c>
      <c r="N585" s="80">
        <f>IFERROR((H585-K585)/K585,0)</f>
        <v/>
      </c>
      <c r="O585" s="80">
        <f>IFERROR((H585-L585)/L585,0)</f>
        <v/>
      </c>
      <c r="P585" s="80" t="n">
        <v>130</v>
      </c>
      <c r="Q585" s="80" t="n">
        <v>240</v>
      </c>
      <c r="R585" s="80" t="inlineStr">
        <is>
          <t>2-4yr</t>
        </is>
      </c>
      <c r="S585" s="80" t="n">
        <v>4</v>
      </c>
      <c r="T585" s="80" t="n">
        <v>825</v>
      </c>
      <c r="U585" s="80">
        <f>MAX(0,MIN(100,50+((M585*0.6)+(N585*0.4))*200))</f>
        <v/>
      </c>
      <c r="V585" s="80">
        <f>MAX(20,MIN(100,50+(P585-H585)/P585*100))</f>
        <v/>
      </c>
      <c r="W585" s="80">
        <f>IFERROR(MAX(0,MIN(100,100-LOG10(T585)*16)),60)</f>
        <v/>
      </c>
      <c r="X585" s="80">
        <f>IF(C585="T2",85,IF(C585="T4",70,IF(C585="T1",65,IF(C585="T3",55,45))))</f>
        <v/>
      </c>
      <c r="Y585" s="80">
        <f>U585*0.55+W585*0.20+V585*0.15+X585*0.10+ROW()/1000000</f>
        <v/>
      </c>
      <c r="Z585" s="80">
        <f>IF(Y585&gt;=75,"STRONG BUY",IF(Y585&gt;=60,"BUY",IF(Y585&gt;=40,"HOLD",IF(Y585&gt;=25,"TRIM","SELL"))))</f>
        <v/>
      </c>
      <c r="AA585" s="80" t="inlineStr">
        <is>
          <t>https://www.tcgplayer.com/product/270585</t>
        </is>
      </c>
      <c r="AB585" s="80" t="inlineStr">
        <is>
          <t>Mew V SA from Japanese Vstar Universe.</t>
        </is>
      </c>
    </row>
    <row r="586">
      <c r="A586" s="80" t="inlineStr">
        <is>
          <t>Y004</t>
        </is>
      </c>
      <c r="B586" s="80" t="inlineStr">
        <is>
          <t>Modern Chase PSA 10</t>
        </is>
      </c>
      <c r="C586" s="80" t="inlineStr">
        <is>
          <t>T5</t>
        </is>
      </c>
      <c r="D586" s="80" t="inlineStr">
        <is>
          <t>Charizard VStar Universe SAR (JP)</t>
        </is>
      </c>
      <c r="E586" s="80" t="inlineStr">
        <is>
          <t>S12a Vstar Universe</t>
        </is>
      </c>
      <c r="F586" s="80" t="inlineStr">
        <is>
          <t>263/172</t>
        </is>
      </c>
      <c r="G586" s="80" t="inlineStr">
        <is>
          <t>Raw NM</t>
        </is>
      </c>
      <c r="H586" s="80" t="n">
        <v>285</v>
      </c>
      <c r="I586" s="123" t="n">
        <v>46154</v>
      </c>
      <c r="J586" s="80" t="n">
        <v>272.51</v>
      </c>
      <c r="K586" s="80" t="n">
        <v>250</v>
      </c>
      <c r="L586" s="80" t="n">
        <v>226.27</v>
      </c>
      <c r="M586" s="80">
        <f>IFERROR((H586-J586)/J586,0)</f>
        <v/>
      </c>
      <c r="N586" s="80">
        <f>IFERROR((H586-K586)/K586,0)</f>
        <v/>
      </c>
      <c r="O586" s="80">
        <f>IFERROR((H586-L586)/L586,0)</f>
        <v/>
      </c>
      <c r="P586" s="80" t="n">
        <v>220</v>
      </c>
      <c r="Q586" s="80" t="n">
        <v>420</v>
      </c>
      <c r="R586" s="80" t="inlineStr">
        <is>
          <t>2-4yr</t>
        </is>
      </c>
      <c r="S586" s="80" t="n">
        <v>5</v>
      </c>
      <c r="T586" s="80" t="n">
        <v>545</v>
      </c>
      <c r="U586" s="80">
        <f>MAX(0,MIN(100,50+((M586*0.6)+(N586*0.4))*200))</f>
        <v/>
      </c>
      <c r="V586" s="80">
        <f>MAX(20,MIN(100,50+(P586-H586)/P586*100))</f>
        <v/>
      </c>
      <c r="W586" s="80">
        <f>IFERROR(MAX(0,MIN(100,100-LOG10(T586)*16)),60)</f>
        <v/>
      </c>
      <c r="X586" s="80">
        <f>IF(C586="T2",85,IF(C586="T4",70,IF(C586="T1",65,IF(C586="T3",55,45))))</f>
        <v/>
      </c>
      <c r="Y586" s="80">
        <f>U586*0.55+W586*0.20+V586*0.15+X586*0.10+ROW()/1000000</f>
        <v/>
      </c>
      <c r="Z586" s="80">
        <f>IF(Y586&gt;=75,"STRONG BUY",IF(Y586&gt;=60,"BUY",IF(Y586&gt;=40,"HOLD",IF(Y586&gt;=25,"TRIM","SELL"))))</f>
        <v/>
      </c>
      <c r="AA586" s="80" t="inlineStr">
        <is>
          <t>https://www.tcgplayer.com/product/270600</t>
        </is>
      </c>
      <c r="AB586" s="80" t="inlineStr">
        <is>
          <t>Charizard VStar SAR - JP exclusive.</t>
        </is>
      </c>
    </row>
    <row r="587">
      <c r="A587" s="80" t="inlineStr">
        <is>
          <t>Y005</t>
        </is>
      </c>
      <c r="B587" s="80" t="inlineStr">
        <is>
          <t>Modern Chase PSA 10</t>
        </is>
      </c>
      <c r="C587" s="80" t="inlineStr">
        <is>
          <t>T5</t>
        </is>
      </c>
      <c r="D587" s="80" t="inlineStr">
        <is>
          <t>Umbreon VMAX Alt Art (JP)</t>
        </is>
      </c>
      <c r="E587" s="80" t="inlineStr">
        <is>
          <t>S6a Eevee Heroes</t>
        </is>
      </c>
      <c r="F587" s="80" t="inlineStr">
        <is>
          <t>215/069</t>
        </is>
      </c>
      <c r="G587" s="80" t="inlineStr">
        <is>
          <t>Raw NM</t>
        </is>
      </c>
      <c r="H587" s="80" t="n">
        <v>4200</v>
      </c>
      <c r="I587" s="123" t="n">
        <v>46154</v>
      </c>
      <c r="J587" s="80" t="n">
        <v>4082.99</v>
      </c>
      <c r="K587" s="80" t="n">
        <v>3818.18</v>
      </c>
      <c r="L587" s="80" t="n">
        <v>3532.57</v>
      </c>
      <c r="M587" s="80">
        <f>IFERROR((H587-J587)/J587,0)</f>
        <v/>
      </c>
      <c r="N587" s="80">
        <f>IFERROR((H587-K587)/K587,0)</f>
        <v/>
      </c>
      <c r="O587" s="80">
        <f>IFERROR((H587-L587)/L587,0)</f>
        <v/>
      </c>
      <c r="P587" s="80" t="n">
        <v>3300</v>
      </c>
      <c r="Q587" s="80" t="n">
        <v>6000</v>
      </c>
      <c r="R587" s="80" t="inlineStr">
        <is>
          <t>5-10yr</t>
        </is>
      </c>
      <c r="S587" s="80" t="n">
        <v>5</v>
      </c>
      <c r="T587" s="80" t="n">
        <v>285</v>
      </c>
      <c r="U587" s="80">
        <f>MAX(0,MIN(100,50+((M587*0.6)+(N587*0.4))*200))</f>
        <v/>
      </c>
      <c r="V587" s="80">
        <f>MAX(20,MIN(100,50+(P587-H587)/P587*100))</f>
        <v/>
      </c>
      <c r="W587" s="80">
        <f>IFERROR(MAX(0,MIN(100,100-LOG10(T587)*16)),60)</f>
        <v/>
      </c>
      <c r="X587" s="80">
        <f>IF(C587="T2",85,IF(C587="T4",70,IF(C587="T1",65,IF(C587="T3",55,45))))</f>
        <v/>
      </c>
      <c r="Y587" s="80">
        <f>U587*0.55+W587*0.20+V587*0.15+X587*0.10+ROW()/1000000</f>
        <v/>
      </c>
      <c r="Z587" s="80">
        <f>IF(Y587&gt;=75,"STRONG BUY",IF(Y587&gt;=60,"BUY",IF(Y587&gt;=40,"HOLD",IF(Y587&gt;=25,"TRIM","SELL"))))</f>
        <v/>
      </c>
      <c r="AA587" s="80" t="inlineStr">
        <is>
          <t>https://www.tcgplayer.com/product/245835</t>
        </is>
      </c>
      <c r="AB587" s="80" t="inlineStr">
        <is>
          <t>JP Moonbreon original print.</t>
        </is>
      </c>
    </row>
    <row r="588">
      <c r="A588" s="80" t="inlineStr">
        <is>
          <t>Y006</t>
        </is>
      </c>
      <c r="B588" s="80" t="inlineStr">
        <is>
          <t>Modern Chase PSA 10</t>
        </is>
      </c>
      <c r="C588" s="80" t="inlineStr">
        <is>
          <t>T5</t>
        </is>
      </c>
      <c r="D588" s="80" t="inlineStr">
        <is>
          <t>Sylveon VMAX Alt Art (JP)</t>
        </is>
      </c>
      <c r="E588" s="80" t="inlineStr">
        <is>
          <t>S6a Eevee Heroes</t>
        </is>
      </c>
      <c r="F588" s="80" t="inlineStr">
        <is>
          <t>212/069</t>
        </is>
      </c>
      <c r="G588" s="80" t="inlineStr">
        <is>
          <t>Raw NM</t>
        </is>
      </c>
      <c r="H588" s="80" t="n">
        <v>850</v>
      </c>
      <c r="I588" s="123" t="n">
        <v>46154</v>
      </c>
      <c r="J588" s="80" t="n">
        <v>826.4299999999999</v>
      </c>
      <c r="K588" s="80" t="n">
        <v>758.9299999999999</v>
      </c>
      <c r="L588" s="80" t="n">
        <v>727.9400000000001</v>
      </c>
      <c r="M588" s="80">
        <f>IFERROR((H588-J588)/J588,0)</f>
        <v/>
      </c>
      <c r="N588" s="80">
        <f>IFERROR((H588-K588)/K588,0)</f>
        <v/>
      </c>
      <c r="O588" s="80">
        <f>IFERROR((H588-L588)/L588,0)</f>
        <v/>
      </c>
      <c r="P588" s="80" t="n">
        <v>650</v>
      </c>
      <c r="Q588" s="80" t="n">
        <v>1250</v>
      </c>
      <c r="R588" s="80" t="inlineStr">
        <is>
          <t>3-7yr</t>
        </is>
      </c>
      <c r="S588" s="80" t="n">
        <v>5</v>
      </c>
      <c r="T588" s="80" t="n">
        <v>425</v>
      </c>
      <c r="U588" s="80">
        <f>MAX(0,MIN(100,50+((M588*0.6)+(N588*0.4))*200))</f>
        <v/>
      </c>
      <c r="V588" s="80">
        <f>MAX(20,MIN(100,50+(P588-H588)/P588*100))</f>
        <v/>
      </c>
      <c r="W588" s="80">
        <f>IFERROR(MAX(0,MIN(100,100-LOG10(T588)*16)),60)</f>
        <v/>
      </c>
      <c r="X588" s="80">
        <f>IF(C588="T2",85,IF(C588="T4",70,IF(C588="T1",65,IF(C588="T3",55,45))))</f>
        <v/>
      </c>
      <c r="Y588" s="80">
        <f>U588*0.55+W588*0.20+V588*0.15+X588*0.10+ROW()/1000000</f>
        <v/>
      </c>
      <c r="Z588" s="80">
        <f>IF(Y588&gt;=75,"STRONG BUY",IF(Y588&gt;=60,"BUY",IF(Y588&gt;=40,"HOLD",IF(Y588&gt;=25,"TRIM","SELL"))))</f>
        <v/>
      </c>
      <c r="AA588" s="80" t="inlineStr">
        <is>
          <t>https://www.tcgplayer.com/product/245832</t>
        </is>
      </c>
      <c r="AB588" s="80" t="inlineStr">
        <is>
          <t>JP Sylveon Alt Art - Eevee Heroes.</t>
        </is>
      </c>
    </row>
    <row r="589">
      <c r="A589" s="80" t="inlineStr">
        <is>
          <t>Y007</t>
        </is>
      </c>
      <c r="B589" s="80" t="inlineStr">
        <is>
          <t>Modern Chase PSA 10</t>
        </is>
      </c>
      <c r="C589" s="80" t="inlineStr">
        <is>
          <t>T5</t>
        </is>
      </c>
      <c r="D589" s="80" t="inlineStr">
        <is>
          <t>Espeon VMAX Alt Art (JP)</t>
        </is>
      </c>
      <c r="E589" s="80" t="inlineStr">
        <is>
          <t>S6a Eevee Heroes</t>
        </is>
      </c>
      <c r="F589" s="80" t="inlineStr">
        <is>
          <t>211/069</t>
        </is>
      </c>
      <c r="G589" s="80" t="inlineStr">
        <is>
          <t>Raw NM</t>
        </is>
      </c>
      <c r="H589" s="80" t="n">
        <v>950</v>
      </c>
      <c r="I589" s="123" t="n">
        <v>46154</v>
      </c>
      <c r="J589" s="80" t="n">
        <v>921.59</v>
      </c>
      <c r="K589" s="80" t="n">
        <v>840.71</v>
      </c>
      <c r="L589" s="80" t="n">
        <v>762.53</v>
      </c>
      <c r="M589" s="80">
        <f>IFERROR((H589-J589)/J589,0)</f>
        <v/>
      </c>
      <c r="N589" s="80">
        <f>IFERROR((H589-K589)/K589,0)</f>
        <v/>
      </c>
      <c r="O589" s="80">
        <f>IFERROR((H589-L589)/L589,0)</f>
        <v/>
      </c>
      <c r="P589" s="80" t="n">
        <v>750</v>
      </c>
      <c r="Q589" s="80" t="n">
        <v>1400</v>
      </c>
      <c r="R589" s="80" t="inlineStr">
        <is>
          <t>3-7yr</t>
        </is>
      </c>
      <c r="S589" s="80" t="n">
        <v>5</v>
      </c>
      <c r="T589" s="80" t="n">
        <v>385</v>
      </c>
      <c r="U589" s="80">
        <f>MAX(0,MIN(100,50+((M589*0.6)+(N589*0.4))*200))</f>
        <v/>
      </c>
      <c r="V589" s="80">
        <f>MAX(20,MIN(100,50+(P589-H589)/P589*100))</f>
        <v/>
      </c>
      <c r="W589" s="80">
        <f>IFERROR(MAX(0,MIN(100,100-LOG10(T589)*16)),60)</f>
        <v/>
      </c>
      <c r="X589" s="80">
        <f>IF(C589="T2",85,IF(C589="T4",70,IF(C589="T1",65,IF(C589="T3",55,45))))</f>
        <v/>
      </c>
      <c r="Y589" s="80">
        <f>U589*0.55+W589*0.20+V589*0.15+X589*0.10+ROW()/1000000</f>
        <v/>
      </c>
      <c r="Z589" s="80">
        <f>IF(Y589&gt;=75,"STRONG BUY",IF(Y589&gt;=60,"BUY",IF(Y589&gt;=40,"HOLD",IF(Y589&gt;=25,"TRIM","SELL"))))</f>
        <v/>
      </c>
      <c r="AA589" s="80" t="inlineStr">
        <is>
          <t>https://www.tcgplayer.com/product/245831</t>
        </is>
      </c>
      <c r="AB589" s="80" t="inlineStr">
        <is>
          <t>JP Espeon Alt Art.</t>
        </is>
      </c>
    </row>
    <row r="590">
      <c r="A590" s="80" t="inlineStr">
        <is>
          <t>Y008</t>
        </is>
      </c>
      <c r="B590" s="80" t="inlineStr">
        <is>
          <t>Modern Chase PSA 10</t>
        </is>
      </c>
      <c r="C590" s="80" t="inlineStr">
        <is>
          <t>T5</t>
        </is>
      </c>
      <c r="D590" s="80" t="inlineStr">
        <is>
          <t>Glaceon VMAX Alt Art (JP)</t>
        </is>
      </c>
      <c r="E590" s="80" t="inlineStr">
        <is>
          <t>S6a Eevee Heroes</t>
        </is>
      </c>
      <c r="F590" s="80" t="inlineStr">
        <is>
          <t>213/069</t>
        </is>
      </c>
      <c r="G590" s="80" t="inlineStr">
        <is>
          <t>Raw NM</t>
        </is>
      </c>
      <c r="H590" s="80" t="n">
        <v>480</v>
      </c>
      <c r="I590" s="123" t="n">
        <v>46154</v>
      </c>
      <c r="J590" s="80" t="n">
        <v>465.51</v>
      </c>
      <c r="K590" s="80" t="n">
        <v>436.36</v>
      </c>
      <c r="L590" s="80" t="n">
        <v>415.52</v>
      </c>
      <c r="M590" s="80">
        <f>IFERROR((H590-J590)/J590,0)</f>
        <v/>
      </c>
      <c r="N590" s="80">
        <f>IFERROR((H590-K590)/K590,0)</f>
        <v/>
      </c>
      <c r="O590" s="80">
        <f>IFERROR((H590-L590)/L590,0)</f>
        <v/>
      </c>
      <c r="P590" s="80" t="n">
        <v>375</v>
      </c>
      <c r="Q590" s="80" t="n">
        <v>700</v>
      </c>
      <c r="R590" s="80" t="inlineStr">
        <is>
          <t>3-7yr</t>
        </is>
      </c>
      <c r="S590" s="80" t="n">
        <v>4</v>
      </c>
      <c r="T590" s="80" t="n">
        <v>545</v>
      </c>
      <c r="U590" s="80">
        <f>MAX(0,MIN(100,50+((M590*0.6)+(N590*0.4))*200))</f>
        <v/>
      </c>
      <c r="V590" s="80">
        <f>MAX(20,MIN(100,50+(P590-H590)/P590*100))</f>
        <v/>
      </c>
      <c r="W590" s="80">
        <f>IFERROR(MAX(0,MIN(100,100-LOG10(T590)*16)),60)</f>
        <v/>
      </c>
      <c r="X590" s="80">
        <f>IF(C590="T2",85,IF(C590="T4",70,IF(C590="T1",65,IF(C590="T3",55,45))))</f>
        <v/>
      </c>
      <c r="Y590" s="80">
        <f>U590*0.55+W590*0.20+V590*0.15+X590*0.10+ROW()/1000000</f>
        <v/>
      </c>
      <c r="Z590" s="80">
        <f>IF(Y590&gt;=75,"STRONG BUY",IF(Y590&gt;=60,"BUY",IF(Y590&gt;=40,"HOLD",IF(Y590&gt;=25,"TRIM","SELL"))))</f>
        <v/>
      </c>
      <c r="AA590" s="80" t="inlineStr">
        <is>
          <t>https://www.tcgplayer.com/product/245833</t>
        </is>
      </c>
      <c r="AB590" s="80" t="inlineStr">
        <is>
          <t>JP Glaceon Alt Art.</t>
        </is>
      </c>
    </row>
    <row r="591">
      <c r="A591" s="80" t="inlineStr">
        <is>
          <t>Y009</t>
        </is>
      </c>
      <c r="B591" s="80" t="inlineStr">
        <is>
          <t>Modern Chase PSA 10</t>
        </is>
      </c>
      <c r="C591" s="80" t="inlineStr">
        <is>
          <t>T5</t>
        </is>
      </c>
      <c r="D591" s="80" t="inlineStr">
        <is>
          <t>Leafeon VMAX Alt Art (JP)</t>
        </is>
      </c>
      <c r="E591" s="80" t="inlineStr">
        <is>
          <t>S6a Eevee Heroes</t>
        </is>
      </c>
      <c r="F591" s="80" t="inlineStr">
        <is>
          <t>214/069</t>
        </is>
      </c>
      <c r="G591" s="80" t="inlineStr">
        <is>
          <t>Raw NM</t>
        </is>
      </c>
      <c r="H591" s="80" t="n">
        <v>420</v>
      </c>
      <c r="I591" s="123" t="n">
        <v>46154</v>
      </c>
      <c r="J591" s="80" t="n">
        <v>405.54</v>
      </c>
      <c r="K591" s="80" t="n">
        <v>381.82</v>
      </c>
      <c r="L591" s="80" t="n">
        <v>368.75</v>
      </c>
      <c r="M591" s="80">
        <f>IFERROR((H591-J591)/J591,0)</f>
        <v/>
      </c>
      <c r="N591" s="80">
        <f>IFERROR((H591-K591)/K591,0)</f>
        <v/>
      </c>
      <c r="O591" s="80">
        <f>IFERROR((H591-L591)/L591,0)</f>
        <v/>
      </c>
      <c r="P591" s="80" t="n">
        <v>325</v>
      </c>
      <c r="Q591" s="80" t="n">
        <v>615</v>
      </c>
      <c r="R591" s="80" t="inlineStr">
        <is>
          <t>3-7yr</t>
        </is>
      </c>
      <c r="S591" s="80" t="n">
        <v>4</v>
      </c>
      <c r="T591" s="80" t="n">
        <v>565</v>
      </c>
      <c r="U591" s="80">
        <f>MAX(0,MIN(100,50+((M591*0.6)+(N591*0.4))*200))</f>
        <v/>
      </c>
      <c r="V591" s="80">
        <f>MAX(20,MIN(100,50+(P591-H591)/P591*100))</f>
        <v/>
      </c>
      <c r="W591" s="80">
        <f>IFERROR(MAX(0,MIN(100,100-LOG10(T591)*16)),60)</f>
        <v/>
      </c>
      <c r="X591" s="80">
        <f>IF(C591="T2",85,IF(C591="T4",70,IF(C591="T1",65,IF(C591="T3",55,45))))</f>
        <v/>
      </c>
      <c r="Y591" s="80">
        <f>U591*0.55+W591*0.20+V591*0.15+X591*0.10+ROW()/1000000</f>
        <v/>
      </c>
      <c r="Z591" s="80">
        <f>IF(Y591&gt;=75,"STRONG BUY",IF(Y591&gt;=60,"BUY",IF(Y591&gt;=40,"HOLD",IF(Y591&gt;=25,"TRIM","SELL"))))</f>
        <v/>
      </c>
      <c r="AA591" s="80" t="inlineStr">
        <is>
          <t>https://www.tcgplayer.com/product/245834</t>
        </is>
      </c>
      <c r="AB591" s="80" t="inlineStr">
        <is>
          <t>JP Leafeon Alt Art.</t>
        </is>
      </c>
    </row>
    <row r="592">
      <c r="A592" s="80" t="inlineStr">
        <is>
          <t>Y010</t>
        </is>
      </c>
      <c r="B592" s="80" t="inlineStr">
        <is>
          <t>Modern Chase PSA 10</t>
        </is>
      </c>
      <c r="C592" s="80" t="inlineStr">
        <is>
          <t>T5</t>
        </is>
      </c>
      <c r="D592" s="80" t="inlineStr">
        <is>
          <t>Cynthia &amp; Garchomp GX SR (JP)</t>
        </is>
      </c>
      <c r="E592" s="80" t="inlineStr">
        <is>
          <t>SM12a Tag All Stars</t>
        </is>
      </c>
      <c r="F592" s="80" t="inlineStr">
        <is>
          <t>192/173</t>
        </is>
      </c>
      <c r="G592" s="80" t="inlineStr">
        <is>
          <t>Raw NM</t>
        </is>
      </c>
      <c r="H592" s="80" t="n">
        <v>950</v>
      </c>
      <c r="I592" s="123" t="n">
        <v>46154</v>
      </c>
      <c r="J592" s="80" t="n">
        <v>937.95</v>
      </c>
      <c r="K592" s="80" t="n">
        <v>871.5599999999999</v>
      </c>
      <c r="L592" s="80" t="n">
        <v>804.89</v>
      </c>
      <c r="M592" s="80">
        <f>IFERROR((H592-J592)/J592,0)</f>
        <v/>
      </c>
      <c r="N592" s="80">
        <f>IFERROR((H592-K592)/K592,0)</f>
        <v/>
      </c>
      <c r="O592" s="80">
        <f>IFERROR((H592-L592)/L592,0)</f>
        <v/>
      </c>
      <c r="P592" s="80" t="n">
        <v>750</v>
      </c>
      <c r="Q592" s="80" t="n">
        <v>1400</v>
      </c>
      <c r="R592" s="80" t="inlineStr">
        <is>
          <t>3-7yr</t>
        </is>
      </c>
      <c r="S592" s="80" t="n">
        <v>5</v>
      </c>
      <c r="T592" s="80" t="n">
        <v>385</v>
      </c>
      <c r="U592" s="80">
        <f>MAX(0,MIN(100,50+((M592*0.6)+(N592*0.4))*200))</f>
        <v/>
      </c>
      <c r="V592" s="80">
        <f>MAX(20,MIN(100,50+(P592-H592)/P592*100))</f>
        <v/>
      </c>
      <c r="W592" s="80">
        <f>IFERROR(MAX(0,MIN(100,100-LOG10(T592)*16)),60)</f>
        <v/>
      </c>
      <c r="X592" s="80">
        <f>IF(C592="T2",85,IF(C592="T4",70,IF(C592="T1",65,IF(C592="T3",55,45))))</f>
        <v/>
      </c>
      <c r="Y592" s="80">
        <f>U592*0.55+W592*0.20+V592*0.15+X592*0.10+ROW()/1000000</f>
        <v/>
      </c>
      <c r="Z592" s="80">
        <f>IF(Y592&gt;=75,"STRONG BUY",IF(Y592&gt;=60,"BUY",IF(Y592&gt;=40,"HOLD",IF(Y592&gt;=25,"TRIM","SELL"))))</f>
        <v/>
      </c>
      <c r="AA592" s="80" t="inlineStr">
        <is>
          <t>https://www.tcgplayer.com/product/217589</t>
        </is>
      </c>
      <c r="AB592" s="80" t="inlineStr">
        <is>
          <t>Cynthia Tag Team SR - waifu trainer.</t>
        </is>
      </c>
    </row>
    <row r="593">
      <c r="A593" s="80" t="inlineStr">
        <is>
          <t>Y011</t>
        </is>
      </c>
      <c r="B593" s="80" t="inlineStr">
        <is>
          <t>Modern Chase PSA 10</t>
        </is>
      </c>
      <c r="C593" s="80" t="inlineStr">
        <is>
          <t>T5</t>
        </is>
      </c>
      <c r="D593" s="80" t="inlineStr">
        <is>
          <t>Erika's Hospitality Trainer Gallery</t>
        </is>
      </c>
      <c r="E593" s="80" t="inlineStr">
        <is>
          <t>Trainer Gallery (JP)</t>
        </is>
      </c>
      <c r="F593" s="80" t="inlineStr">
        <is>
          <t>TG30/TG30</t>
        </is>
      </c>
      <c r="G593" s="80" t="inlineStr">
        <is>
          <t>Raw NM</t>
        </is>
      </c>
      <c r="H593" s="80" t="n">
        <v>425</v>
      </c>
      <c r="I593" s="123" t="n">
        <v>46154</v>
      </c>
      <c r="J593" s="80" t="n">
        <v>419.24</v>
      </c>
      <c r="K593" s="80" t="n">
        <v>382.88</v>
      </c>
      <c r="L593" s="80" t="n">
        <v>354.71</v>
      </c>
      <c r="M593" s="80">
        <f>IFERROR((H593-J593)/J593,0)</f>
        <v/>
      </c>
      <c r="N593" s="80">
        <f>IFERROR((H593-K593)/K593,0)</f>
        <v/>
      </c>
      <c r="O593" s="80">
        <f>IFERROR((H593-L593)/L593,0)</f>
        <v/>
      </c>
      <c r="P593" s="80" t="n">
        <v>330</v>
      </c>
      <c r="Q593" s="80" t="n">
        <v>620</v>
      </c>
      <c r="R593" s="80" t="inlineStr">
        <is>
          <t>2-5yr</t>
        </is>
      </c>
      <c r="S593" s="80" t="n">
        <v>4</v>
      </c>
      <c r="T593" s="80" t="n">
        <v>685</v>
      </c>
      <c r="U593" s="80">
        <f>MAX(0,MIN(100,50+((M593*0.6)+(N593*0.4))*200))</f>
        <v/>
      </c>
      <c r="V593" s="80">
        <f>MAX(20,MIN(100,50+(P593-H593)/P593*100))</f>
        <v/>
      </c>
      <c r="W593" s="80">
        <f>IFERROR(MAX(0,MIN(100,100-LOG10(T593)*16)),60)</f>
        <v/>
      </c>
      <c r="X593" s="80">
        <f>IF(C593="T2",85,IF(C593="T4",70,IF(C593="T1",65,IF(C593="T3",55,45))))</f>
        <v/>
      </c>
      <c r="Y593" s="80">
        <f>U593*0.55+W593*0.20+V593*0.15+X593*0.10+ROW()/1000000</f>
        <v/>
      </c>
      <c r="Z593" s="80">
        <f>IF(Y593&gt;=75,"STRONG BUY",IF(Y593&gt;=60,"BUY",IF(Y593&gt;=40,"HOLD",IF(Y593&gt;=25,"TRIM","SELL"))))</f>
        <v/>
      </c>
      <c r="AA593" s="80" t="inlineStr">
        <is>
          <t>https://www.tcgplayer.com/product/265428</t>
        </is>
      </c>
      <c r="AB593" s="80" t="inlineStr">
        <is>
          <t>Erika's Hospitality - bath scene trainer.</t>
        </is>
      </c>
    </row>
    <row r="594">
      <c r="A594" s="80" t="inlineStr">
        <is>
          <t>Y012</t>
        </is>
      </c>
      <c r="B594" s="80" t="inlineStr">
        <is>
          <t>Modern Chase PSA 10</t>
        </is>
      </c>
      <c r="C594" s="80" t="inlineStr">
        <is>
          <t>T5</t>
        </is>
      </c>
      <c r="D594" s="80" t="inlineStr">
        <is>
          <t>Lillie's Poké Doll Trainer Promo (JP)</t>
        </is>
      </c>
      <c r="E594" s="80" t="inlineStr">
        <is>
          <t>Special Promo 407</t>
        </is>
      </c>
      <c r="F594" s="80" t="inlineStr">
        <is>
          <t>407/SM-P</t>
        </is>
      </c>
      <c r="G594" s="80" t="inlineStr">
        <is>
          <t>Raw NM</t>
        </is>
      </c>
      <c r="H594" s="80" t="n">
        <v>285</v>
      </c>
      <c r="I594" s="123" t="n">
        <v>46154</v>
      </c>
      <c r="J594" s="80" t="n">
        <v>281.8</v>
      </c>
      <c r="K594" s="80" t="n">
        <v>259.09</v>
      </c>
      <c r="L594" s="80" t="n">
        <v>249.31</v>
      </c>
      <c r="M594" s="80">
        <f>IFERROR((H594-J594)/J594,0)</f>
        <v/>
      </c>
      <c r="N594" s="80">
        <f>IFERROR((H594-K594)/K594,0)</f>
        <v/>
      </c>
      <c r="O594" s="80">
        <f>IFERROR((H594-L594)/L594,0)</f>
        <v/>
      </c>
      <c r="P594" s="80" t="n">
        <v>220</v>
      </c>
      <c r="Q594" s="80" t="n">
        <v>420</v>
      </c>
      <c r="R594" s="80" t="inlineStr">
        <is>
          <t>2-5yr</t>
        </is>
      </c>
      <c r="S594" s="80" t="n">
        <v>4</v>
      </c>
      <c r="T594" s="80" t="n">
        <v>825</v>
      </c>
      <c r="U594" s="80">
        <f>MAX(0,MIN(100,50+((M594*0.6)+(N594*0.4))*200))</f>
        <v/>
      </c>
      <c r="V594" s="80">
        <f>MAX(20,MIN(100,50+(P594-H594)/P594*100))</f>
        <v/>
      </c>
      <c r="W594" s="80">
        <f>IFERROR(MAX(0,MIN(100,100-LOG10(T594)*16)),60)</f>
        <v/>
      </c>
      <c r="X594" s="80">
        <f>IF(C594="T2",85,IF(C594="T4",70,IF(C594="T1",65,IF(C594="T3",55,45))))</f>
        <v/>
      </c>
      <c r="Y594" s="80">
        <f>U594*0.55+W594*0.20+V594*0.15+X594*0.10+ROW()/1000000</f>
        <v/>
      </c>
      <c r="Z594" s="80">
        <f>IF(Y594&gt;=75,"STRONG BUY",IF(Y594&gt;=60,"BUY",IF(Y594&gt;=40,"HOLD",IF(Y594&gt;=25,"TRIM","SELL"))))</f>
        <v/>
      </c>
      <c r="AA594" s="80" t="inlineStr">
        <is>
          <t>https://www.tcgplayer.com/product/200115</t>
        </is>
      </c>
      <c r="AB594" s="80" t="inlineStr">
        <is>
          <t>Lillie's Poke Doll - JP promo.</t>
        </is>
      </c>
    </row>
    <row r="595">
      <c r="A595" s="80" t="inlineStr">
        <is>
          <t>Y013</t>
        </is>
      </c>
      <c r="B595" s="80" t="inlineStr">
        <is>
          <t>Modern Chase PSA 10</t>
        </is>
      </c>
      <c r="C595" s="80" t="inlineStr">
        <is>
          <t>T5</t>
        </is>
      </c>
      <c r="D595" s="80" t="inlineStr">
        <is>
          <t>Marnie Full Art (JP)</t>
        </is>
      </c>
      <c r="E595" s="80" t="inlineStr">
        <is>
          <t>S1a VMAX Climax</t>
        </is>
      </c>
      <c r="F595" s="80" t="inlineStr">
        <is>
          <t>086/050</t>
        </is>
      </c>
      <c r="G595" s="80" t="inlineStr">
        <is>
          <t>Raw NM</t>
        </is>
      </c>
      <c r="H595" s="80" t="n">
        <v>165</v>
      </c>
      <c r="I595" s="123" t="n">
        <v>46154</v>
      </c>
      <c r="J595" s="80" t="n">
        <v>160.15</v>
      </c>
      <c r="K595" s="80" t="n">
        <v>152.78</v>
      </c>
      <c r="L595" s="80" t="n">
        <v>147.08</v>
      </c>
      <c r="M595" s="80">
        <f>IFERROR((H595-J595)/J595,0)</f>
        <v/>
      </c>
      <c r="N595" s="80">
        <f>IFERROR((H595-K595)/K595,0)</f>
        <v/>
      </c>
      <c r="O595" s="80">
        <f>IFERROR((H595-L595)/L595,0)</f>
        <v/>
      </c>
      <c r="P595" s="80" t="n">
        <v>130</v>
      </c>
      <c r="Q595" s="80" t="n">
        <v>240</v>
      </c>
      <c r="R595" s="80" t="inlineStr">
        <is>
          <t>2-5yr</t>
        </is>
      </c>
      <c r="S595" s="80" t="n">
        <v>4</v>
      </c>
      <c r="T595" s="80" t="n">
        <v>1150</v>
      </c>
      <c r="U595" s="80">
        <f>MAX(0,MIN(100,50+((M595*0.6)+(N595*0.4))*200))</f>
        <v/>
      </c>
      <c r="V595" s="80">
        <f>MAX(20,MIN(100,50+(P595-H595)/P595*100))</f>
        <v/>
      </c>
      <c r="W595" s="80">
        <f>IFERROR(MAX(0,MIN(100,100-LOG10(T595)*16)),60)</f>
        <v/>
      </c>
      <c r="X595" s="80">
        <f>IF(C595="T2",85,IF(C595="T4",70,IF(C595="T1",65,IF(C595="T3",55,45))))</f>
        <v/>
      </c>
      <c r="Y595" s="80">
        <f>U595*0.55+W595*0.20+V595*0.15+X595*0.10+ROW()/1000000</f>
        <v/>
      </c>
      <c r="Z595" s="80">
        <f>IF(Y595&gt;=75,"STRONG BUY",IF(Y595&gt;=60,"BUY",IF(Y595&gt;=40,"HOLD",IF(Y595&gt;=25,"TRIM","SELL"))))</f>
        <v/>
      </c>
      <c r="AA595" s="80" t="inlineStr">
        <is>
          <t>https://www.tcgplayer.com/product/250105</t>
        </is>
      </c>
      <c r="AB595" s="80" t="inlineStr">
        <is>
          <t>Marnie FA - JP. Galar gym leader.</t>
        </is>
      </c>
    </row>
    <row r="596">
      <c r="A596" s="80" t="inlineStr">
        <is>
          <t>Y014</t>
        </is>
      </c>
      <c r="B596" s="80" t="inlineStr">
        <is>
          <t>Modern Chase PSA 10</t>
        </is>
      </c>
      <c r="C596" s="80" t="inlineStr">
        <is>
          <t>T5</t>
        </is>
      </c>
      <c r="D596" s="80" t="inlineStr">
        <is>
          <t>Lillie's Poke Doll SR (JP)</t>
        </is>
      </c>
      <c r="E596" s="80" t="inlineStr">
        <is>
          <t>S6a Eevee Heroes</t>
        </is>
      </c>
      <c r="F596" s="80" t="inlineStr">
        <is>
          <t>078/069</t>
        </is>
      </c>
      <c r="G596" s="80" t="inlineStr">
        <is>
          <t>Raw NM</t>
        </is>
      </c>
      <c r="H596" s="80" t="n">
        <v>950</v>
      </c>
      <c r="I596" s="123" t="n">
        <v>46154</v>
      </c>
      <c r="J596" s="80" t="n">
        <v>920.5599999999999</v>
      </c>
      <c r="K596" s="80" t="n">
        <v>855.86</v>
      </c>
      <c r="L596" s="80" t="n">
        <v>770.98</v>
      </c>
      <c r="M596" s="80">
        <f>IFERROR((H596-J596)/J596,0)</f>
        <v/>
      </c>
      <c r="N596" s="80">
        <f>IFERROR((H596-K596)/K596,0)</f>
        <v/>
      </c>
      <c r="O596" s="80">
        <f>IFERROR((H596-L596)/L596,0)</f>
        <v/>
      </c>
      <c r="P596" s="80" t="n">
        <v>750</v>
      </c>
      <c r="Q596" s="80" t="n">
        <v>1400</v>
      </c>
      <c r="R596" s="80" t="inlineStr">
        <is>
          <t>3-7yr</t>
        </is>
      </c>
      <c r="S596" s="80" t="n">
        <v>5</v>
      </c>
      <c r="T596" s="80" t="n">
        <v>285</v>
      </c>
      <c r="U596" s="80">
        <f>MAX(0,MIN(100,50+((M596*0.6)+(N596*0.4))*200))</f>
        <v/>
      </c>
      <c r="V596" s="80">
        <f>MAX(20,MIN(100,50+(P596-H596)/P596*100))</f>
        <v/>
      </c>
      <c r="W596" s="80">
        <f>IFERROR(MAX(0,MIN(100,100-LOG10(T596)*16)),60)</f>
        <v/>
      </c>
      <c r="X596" s="80">
        <f>IF(C596="T2",85,IF(C596="T4",70,IF(C596="T1",65,IF(C596="T3",55,45))))</f>
        <v/>
      </c>
      <c r="Y596" s="80">
        <f>U596*0.55+W596*0.20+V596*0.15+X596*0.10+ROW()/1000000</f>
        <v/>
      </c>
      <c r="Z596" s="80">
        <f>IF(Y596&gt;=75,"STRONG BUY",IF(Y596&gt;=60,"BUY",IF(Y596&gt;=40,"HOLD",IF(Y596&gt;=25,"TRIM","SELL"))))</f>
        <v/>
      </c>
      <c r="AA596" s="80" t="inlineStr">
        <is>
          <t>https://www.tcgplayer.com/product/245750</t>
        </is>
      </c>
      <c r="AB596" s="80" t="inlineStr">
        <is>
          <t>Lillie SR from Eevee Heroes.</t>
        </is>
      </c>
    </row>
    <row r="597">
      <c r="A597" s="80" t="inlineStr">
        <is>
          <t>M201</t>
        </is>
      </c>
      <c r="B597" s="80" t="inlineStr">
        <is>
          <t>Modern Chase PSA 10</t>
        </is>
      </c>
      <c r="C597" s="80" t="inlineStr">
        <is>
          <t>T5</t>
        </is>
      </c>
      <c r="D597" s="80" t="inlineStr">
        <is>
          <t>Garchomp ex SIR</t>
        </is>
      </c>
      <c r="E597" s="80" t="inlineStr">
        <is>
          <t>Stellar Crown</t>
        </is>
      </c>
      <c r="F597" s="80" t="inlineStr">
        <is>
          <t>175/142</t>
        </is>
      </c>
      <c r="G597" s="80" t="inlineStr">
        <is>
          <t>PSA 10</t>
        </is>
      </c>
      <c r="H597" s="80" t="n">
        <v>165</v>
      </c>
      <c r="I597" s="123" t="n">
        <v>46154</v>
      </c>
      <c r="J597" s="80" t="n">
        <v>160.75</v>
      </c>
      <c r="K597" s="80" t="n">
        <v>154.21</v>
      </c>
      <c r="L597" s="80" t="n">
        <v>145.47</v>
      </c>
      <c r="M597" s="80">
        <f>IFERROR((H597-J597)/J597,0)</f>
        <v/>
      </c>
      <c r="N597" s="80">
        <f>IFERROR((H597-K597)/K597,0)</f>
        <v/>
      </c>
      <c r="O597" s="80">
        <f>IFERROR((H597-L597)/L597,0)</f>
        <v/>
      </c>
      <c r="P597" s="80" t="n">
        <v>130</v>
      </c>
      <c r="Q597" s="80" t="n">
        <v>240</v>
      </c>
      <c r="R597" s="80" t="inlineStr">
        <is>
          <t>1-3yr</t>
        </is>
      </c>
      <c r="S597" s="80" t="n">
        <v>4</v>
      </c>
      <c r="T597" s="80" t="n">
        <v>985</v>
      </c>
      <c r="U597" s="80">
        <f>MAX(0,MIN(100,50+((M597*0.6)+(N597*0.4))*200))</f>
        <v/>
      </c>
      <c r="V597" s="80">
        <f>MAX(20,MIN(100,50+(P597-H597)/P597*100))</f>
        <v/>
      </c>
      <c r="W597" s="80">
        <f>IFERROR(MAX(0,MIN(100,100-LOG10(T597)*16)),60)</f>
        <v/>
      </c>
      <c r="X597" s="80">
        <f>IF(C597="T2",85,IF(C597="T4",70,IF(C597="T1",65,IF(C597="T3",55,45))))</f>
        <v/>
      </c>
      <c r="Y597" s="80">
        <f>U597*0.55+W597*0.20+V597*0.15+X597*0.10+ROW()/1000000</f>
        <v/>
      </c>
      <c r="Z597" s="80">
        <f>IF(Y597&gt;=75,"STRONG BUY",IF(Y597&gt;=60,"BUY",IF(Y597&gt;=40,"HOLD",IF(Y597&gt;=25,"TRIM","SELL"))))</f>
        <v/>
      </c>
      <c r="AA597" s="80" t="inlineStr">
        <is>
          <t>https://www.pricecharting.com/game/pokemon-stellar-crown/garchomp-ex-175</t>
        </is>
      </c>
      <c r="AB597" s="80" t="inlineStr">
        <is>
          <t>Garchomp ex SIR PSA 10.</t>
        </is>
      </c>
    </row>
    <row r="598">
      <c r="A598" s="80" t="inlineStr">
        <is>
          <t>M202</t>
        </is>
      </c>
      <c r="B598" s="80" t="inlineStr">
        <is>
          <t>Modern Chase PSA 10</t>
        </is>
      </c>
      <c r="C598" s="80" t="inlineStr">
        <is>
          <t>T5</t>
        </is>
      </c>
      <c r="D598" s="80" t="inlineStr">
        <is>
          <t>Hydreigon ex SIR</t>
        </is>
      </c>
      <c r="E598" s="80" t="inlineStr">
        <is>
          <t>Surging Sparks</t>
        </is>
      </c>
      <c r="F598" s="80" t="inlineStr">
        <is>
          <t>240/191</t>
        </is>
      </c>
      <c r="G598" s="80" t="inlineStr">
        <is>
          <t>PSA 10</t>
        </is>
      </c>
      <c r="H598" s="80" t="n">
        <v>175</v>
      </c>
      <c r="I598" s="123" t="n">
        <v>46154</v>
      </c>
      <c r="J598" s="80" t="n">
        <v>169.2</v>
      </c>
      <c r="K598" s="80" t="n">
        <v>162.04</v>
      </c>
      <c r="L598" s="80" t="n">
        <v>158.44</v>
      </c>
      <c r="M598" s="80">
        <f>IFERROR((H598-J598)/J598,0)</f>
        <v/>
      </c>
      <c r="N598" s="80">
        <f>IFERROR((H598-K598)/K598,0)</f>
        <v/>
      </c>
      <c r="O598" s="80">
        <f>IFERROR((H598-L598)/L598,0)</f>
        <v/>
      </c>
      <c r="P598" s="80" t="n">
        <v>135</v>
      </c>
      <c r="Q598" s="80" t="n">
        <v>255</v>
      </c>
      <c r="R598" s="80" t="inlineStr">
        <is>
          <t>1-3yr</t>
        </is>
      </c>
      <c r="S598" s="80" t="n">
        <v>4</v>
      </c>
      <c r="T598" s="80" t="n">
        <v>925</v>
      </c>
      <c r="U598" s="80">
        <f>MAX(0,MIN(100,50+((M598*0.6)+(N598*0.4))*200))</f>
        <v/>
      </c>
      <c r="V598" s="80">
        <f>MAX(20,MIN(100,50+(P598-H598)/P598*100))</f>
        <v/>
      </c>
      <c r="W598" s="80">
        <f>IFERROR(MAX(0,MIN(100,100-LOG10(T598)*16)),60)</f>
        <v/>
      </c>
      <c r="X598" s="80">
        <f>IF(C598="T2",85,IF(C598="T4",70,IF(C598="T1",65,IF(C598="T3",55,45))))</f>
        <v/>
      </c>
      <c r="Y598" s="80">
        <f>U598*0.55+W598*0.20+V598*0.15+X598*0.10+ROW()/1000000</f>
        <v/>
      </c>
      <c r="Z598" s="80">
        <f>IF(Y598&gt;=75,"STRONG BUY",IF(Y598&gt;=60,"BUY",IF(Y598&gt;=40,"HOLD",IF(Y598&gt;=25,"TRIM","SELL"))))</f>
        <v/>
      </c>
      <c r="AA598" s="80" t="inlineStr">
        <is>
          <t>https://www.pricecharting.com/game/pokemon-surging-sparks/hydreigon-ex-240</t>
        </is>
      </c>
      <c r="AB598" s="80" t="inlineStr">
        <is>
          <t>Pseudo legendary chase.</t>
        </is>
      </c>
    </row>
    <row r="599">
      <c r="A599" s="80" t="inlineStr">
        <is>
          <t>M203</t>
        </is>
      </c>
      <c r="B599" s="80" t="inlineStr">
        <is>
          <t>Modern Chase PSA 10</t>
        </is>
      </c>
      <c r="C599" s="80" t="inlineStr">
        <is>
          <t>T5</t>
        </is>
      </c>
      <c r="D599" s="80" t="inlineStr">
        <is>
          <t>Latias ex SIR</t>
        </is>
      </c>
      <c r="E599" s="80" t="inlineStr">
        <is>
          <t>Surging Sparks</t>
        </is>
      </c>
      <c r="F599" s="80" t="inlineStr">
        <is>
          <t>239/191</t>
        </is>
      </c>
      <c r="G599" s="80" t="inlineStr">
        <is>
          <t>PSA 10</t>
        </is>
      </c>
      <c r="H599" s="80" t="n">
        <v>185</v>
      </c>
      <c r="I599" s="123" t="n">
        <v>46154</v>
      </c>
      <c r="J599" s="80" t="n">
        <v>180.63</v>
      </c>
      <c r="K599" s="80" t="n">
        <v>168.18</v>
      </c>
      <c r="L599" s="80" t="n">
        <v>156.57</v>
      </c>
      <c r="M599" s="80">
        <f>IFERROR((H599-J599)/J599,0)</f>
        <v/>
      </c>
      <c r="N599" s="80">
        <f>IFERROR((H599-K599)/K599,0)</f>
        <v/>
      </c>
      <c r="O599" s="80">
        <f>IFERROR((H599-L599)/L599,0)</f>
        <v/>
      </c>
      <c r="P599" s="80" t="n">
        <v>145</v>
      </c>
      <c r="Q599" s="80" t="n">
        <v>270</v>
      </c>
      <c r="R599" s="80" t="inlineStr">
        <is>
          <t>1-3yr</t>
        </is>
      </c>
      <c r="S599" s="80" t="n">
        <v>4</v>
      </c>
      <c r="T599" s="80" t="n">
        <v>845</v>
      </c>
      <c r="U599" s="80">
        <f>MAX(0,MIN(100,50+((M599*0.6)+(N599*0.4))*200))</f>
        <v/>
      </c>
      <c r="V599" s="80">
        <f>MAX(20,MIN(100,50+(P599-H599)/P599*100))</f>
        <v/>
      </c>
      <c r="W599" s="80">
        <f>IFERROR(MAX(0,MIN(100,100-LOG10(T599)*16)),60)</f>
        <v/>
      </c>
      <c r="X599" s="80">
        <f>IF(C599="T2",85,IF(C599="T4",70,IF(C599="T1",65,IF(C599="T3",55,45))))</f>
        <v/>
      </c>
      <c r="Y599" s="80">
        <f>U599*0.55+W599*0.20+V599*0.15+X599*0.10+ROW()/1000000</f>
        <v/>
      </c>
      <c r="Z599" s="80">
        <f>IF(Y599&gt;=75,"STRONG BUY",IF(Y599&gt;=60,"BUY",IF(Y599&gt;=40,"HOLD",IF(Y599&gt;=25,"TRIM","SELL"))))</f>
        <v/>
      </c>
      <c r="AA599" s="80" t="inlineStr">
        <is>
          <t>https://www.pricecharting.com/game/pokemon-surging-sparks/latias-ex-239</t>
        </is>
      </c>
      <c r="AB599" s="80" t="inlineStr">
        <is>
          <t>Eon duo SIR.</t>
        </is>
      </c>
    </row>
    <row r="600">
      <c r="A600" s="80" t="inlineStr">
        <is>
          <t>M204</t>
        </is>
      </c>
      <c r="B600" s="80" t="inlineStr">
        <is>
          <t>Modern Chase PSA 10</t>
        </is>
      </c>
      <c r="C600" s="80" t="inlineStr">
        <is>
          <t>T5</t>
        </is>
      </c>
      <c r="D600" s="80" t="inlineStr">
        <is>
          <t>Eevee Special Art PSA 10</t>
        </is>
      </c>
      <c r="E600" s="80" t="inlineStr">
        <is>
          <t>Prismatic Evolutions</t>
        </is>
      </c>
      <c r="F600" s="80" t="inlineStr">
        <is>
          <t>167/131</t>
        </is>
      </c>
      <c r="G600" s="80" t="inlineStr">
        <is>
          <t>PSA 10</t>
        </is>
      </c>
      <c r="H600" s="80" t="n">
        <v>425</v>
      </c>
      <c r="I600" s="123" t="n">
        <v>46154</v>
      </c>
      <c r="J600" s="80" t="n">
        <v>406.01</v>
      </c>
      <c r="K600" s="80" t="n">
        <v>360.17</v>
      </c>
      <c r="L600" s="80" t="n">
        <v>326.61</v>
      </c>
      <c r="M600" s="80">
        <f>IFERROR((H600-J600)/J600,0)</f>
        <v/>
      </c>
      <c r="N600" s="80">
        <f>IFERROR((H600-K600)/K600,0)</f>
        <v/>
      </c>
      <c r="O600" s="80">
        <f>IFERROR((H600-L600)/L600,0)</f>
        <v/>
      </c>
      <c r="P600" s="80" t="n">
        <v>330</v>
      </c>
      <c r="Q600" s="80" t="n">
        <v>620</v>
      </c>
      <c r="R600" s="80" t="inlineStr">
        <is>
          <t>2-5yr</t>
        </is>
      </c>
      <c r="S600" s="80" t="n">
        <v>5</v>
      </c>
      <c r="T600" s="80" t="n">
        <v>645</v>
      </c>
      <c r="U600" s="80">
        <f>MAX(0,MIN(100,50+((M600*0.6)+(N600*0.4))*200))</f>
        <v/>
      </c>
      <c r="V600" s="80">
        <f>MAX(20,MIN(100,50+(P600-H600)/P600*100))</f>
        <v/>
      </c>
      <c r="W600" s="80">
        <f>IFERROR(MAX(0,MIN(100,100-LOG10(T600)*16)),60)</f>
        <v/>
      </c>
      <c r="X600" s="80">
        <f>IF(C600="T2",85,IF(C600="T4",70,IF(C600="T1",65,IF(C600="T3",55,45))))</f>
        <v/>
      </c>
      <c r="Y600" s="80">
        <f>U600*0.55+W600*0.20+V600*0.15+X600*0.10+ROW()/1000000</f>
        <v/>
      </c>
      <c r="Z600" s="80">
        <f>IF(Y600&gt;=75,"STRONG BUY",IF(Y600&gt;=60,"BUY",IF(Y600&gt;=40,"HOLD",IF(Y600&gt;=25,"TRIM","SELL"))))</f>
        <v/>
      </c>
      <c r="AA600" s="80" t="inlineStr">
        <is>
          <t>https://www.pricecharting.com/game/pokemon-prismatic-evolutions/eevee-special-art-167</t>
        </is>
      </c>
      <c r="AB600" s="80" t="inlineStr">
        <is>
          <t>PE Eevee SA PSA 10.</t>
        </is>
      </c>
    </row>
    <row r="601">
      <c r="A601" s="80" t="inlineStr">
        <is>
          <t>M205</t>
        </is>
      </c>
      <c r="B601" s="80" t="inlineStr">
        <is>
          <t>Modern Chase PSA 10</t>
        </is>
      </c>
      <c r="C601" s="80" t="inlineStr">
        <is>
          <t>T5</t>
        </is>
      </c>
      <c r="D601" s="80" t="inlineStr">
        <is>
          <t>Mewtwo Special Art PSA 10</t>
        </is>
      </c>
      <c r="E601" s="80" t="inlineStr">
        <is>
          <t>Prismatic Evolutions</t>
        </is>
      </c>
      <c r="F601" s="80" t="inlineStr">
        <is>
          <t>166/131</t>
        </is>
      </c>
      <c r="G601" s="80" t="inlineStr">
        <is>
          <t>PSA 10</t>
        </is>
      </c>
      <c r="H601" s="80" t="n">
        <v>485</v>
      </c>
      <c r="I601" s="123" t="n">
        <v>46154</v>
      </c>
      <c r="J601" s="80" t="n">
        <v>466</v>
      </c>
      <c r="K601" s="80" t="n">
        <v>404.17</v>
      </c>
      <c r="L601" s="80" t="n">
        <v>365.33</v>
      </c>
      <c r="M601" s="80">
        <f>IFERROR((H601-J601)/J601,0)</f>
        <v/>
      </c>
      <c r="N601" s="80">
        <f>IFERROR((H601-K601)/K601,0)</f>
        <v/>
      </c>
      <c r="O601" s="80">
        <f>IFERROR((H601-L601)/L601,0)</f>
        <v/>
      </c>
      <c r="P601" s="80" t="n">
        <v>375</v>
      </c>
      <c r="Q601" s="80" t="n">
        <v>710</v>
      </c>
      <c r="R601" s="80" t="inlineStr">
        <is>
          <t>2-5yr</t>
        </is>
      </c>
      <c r="S601" s="80" t="n">
        <v>5</v>
      </c>
      <c r="T601" s="80" t="n">
        <v>585</v>
      </c>
      <c r="U601" s="80">
        <f>MAX(0,MIN(100,50+((M601*0.6)+(N601*0.4))*200))</f>
        <v/>
      </c>
      <c r="V601" s="80">
        <f>MAX(20,MIN(100,50+(P601-H601)/P601*100))</f>
        <v/>
      </c>
      <c r="W601" s="80">
        <f>IFERROR(MAX(0,MIN(100,100-LOG10(T601)*16)),60)</f>
        <v/>
      </c>
      <c r="X601" s="80">
        <f>IF(C601="T2",85,IF(C601="T4",70,IF(C601="T1",65,IF(C601="T3",55,45))))</f>
        <v/>
      </c>
      <c r="Y601" s="80">
        <f>U601*0.55+W601*0.20+V601*0.15+X601*0.10+ROW()/1000000</f>
        <v/>
      </c>
      <c r="Z601" s="80">
        <f>IF(Y601&gt;=75,"STRONG BUY",IF(Y601&gt;=60,"BUY",IF(Y601&gt;=40,"HOLD",IF(Y601&gt;=25,"TRIM","SELL"))))</f>
        <v/>
      </c>
      <c r="AA601" s="80" t="inlineStr">
        <is>
          <t>https://www.pricecharting.com/game/pokemon-prismatic-evolutions/mewtwo-166</t>
        </is>
      </c>
      <c r="AB601" s="80" t="inlineStr">
        <is>
          <t>PE Mewtwo SA PSA 10.</t>
        </is>
      </c>
    </row>
    <row r="602">
      <c r="A602" s="80" t="inlineStr">
        <is>
          <t>M206</t>
        </is>
      </c>
      <c r="B602" s="80" t="inlineStr">
        <is>
          <t>Modern Chase PSA 10</t>
        </is>
      </c>
      <c r="C602" s="80" t="inlineStr">
        <is>
          <t>T5</t>
        </is>
      </c>
      <c r="D602" s="80" t="inlineStr">
        <is>
          <t>Pikachu Special Art PSA 10</t>
        </is>
      </c>
      <c r="E602" s="80" t="inlineStr">
        <is>
          <t>Prismatic Evolutions</t>
        </is>
      </c>
      <c r="F602" s="80" t="inlineStr">
        <is>
          <t>165/131</t>
        </is>
      </c>
      <c r="G602" s="80" t="inlineStr">
        <is>
          <t>PSA 10</t>
        </is>
      </c>
      <c r="H602" s="80" t="n">
        <v>395</v>
      </c>
      <c r="I602" s="123" t="n">
        <v>46154</v>
      </c>
      <c r="J602" s="80" t="n">
        <v>381.12</v>
      </c>
      <c r="K602" s="80" t="n">
        <v>343.48</v>
      </c>
      <c r="L602" s="80" t="n">
        <v>329.37</v>
      </c>
      <c r="M602" s="80">
        <f>IFERROR((H602-J602)/J602,0)</f>
        <v/>
      </c>
      <c r="N602" s="80">
        <f>IFERROR((H602-K602)/K602,0)</f>
        <v/>
      </c>
      <c r="O602" s="80">
        <f>IFERROR((H602-L602)/L602,0)</f>
        <v/>
      </c>
      <c r="P602" s="80" t="n">
        <v>305</v>
      </c>
      <c r="Q602" s="80" t="n">
        <v>580</v>
      </c>
      <c r="R602" s="80" t="inlineStr">
        <is>
          <t>2-5yr</t>
        </is>
      </c>
      <c r="S602" s="80" t="n">
        <v>4</v>
      </c>
      <c r="T602" s="80" t="n">
        <v>685</v>
      </c>
      <c r="U602" s="80">
        <f>MAX(0,MIN(100,50+((M602*0.6)+(N602*0.4))*200))</f>
        <v/>
      </c>
      <c r="V602" s="80">
        <f>MAX(20,MIN(100,50+(P602-H602)/P602*100))</f>
        <v/>
      </c>
      <c r="W602" s="80">
        <f>IFERROR(MAX(0,MIN(100,100-LOG10(T602)*16)),60)</f>
        <v/>
      </c>
      <c r="X602" s="80">
        <f>IF(C602="T2",85,IF(C602="T4",70,IF(C602="T1",65,IF(C602="T3",55,45))))</f>
        <v/>
      </c>
      <c r="Y602" s="80">
        <f>U602*0.55+W602*0.20+V602*0.15+X602*0.10+ROW()/1000000</f>
        <v/>
      </c>
      <c r="Z602" s="80">
        <f>IF(Y602&gt;=75,"STRONG BUY",IF(Y602&gt;=60,"BUY",IF(Y602&gt;=40,"HOLD",IF(Y602&gt;=25,"TRIM","SELL"))))</f>
        <v/>
      </c>
      <c r="AA602" s="80" t="inlineStr">
        <is>
          <t>https://www.pricecharting.com/game/pokemon-prismatic-evolutions/pikachu-165</t>
        </is>
      </c>
      <c r="AB602" s="80" t="inlineStr">
        <is>
          <t>PE Pikachu SA PSA 10.</t>
        </is>
      </c>
    </row>
    <row r="603">
      <c r="A603" s="80" t="inlineStr">
        <is>
          <t>M207</t>
        </is>
      </c>
      <c r="B603" s="80" t="inlineStr">
        <is>
          <t>Modern Chase PSA 10</t>
        </is>
      </c>
      <c r="C603" s="80" t="inlineStr">
        <is>
          <t>T5</t>
        </is>
      </c>
      <c r="D603" s="80" t="inlineStr">
        <is>
          <t>Ditto Special Art PSA 10</t>
        </is>
      </c>
      <c r="E603" s="80" t="inlineStr">
        <is>
          <t>Prismatic Evolutions</t>
        </is>
      </c>
      <c r="F603" s="80" t="inlineStr">
        <is>
          <t>163/131</t>
        </is>
      </c>
      <c r="G603" s="80" t="inlineStr">
        <is>
          <t>PSA 10</t>
        </is>
      </c>
      <c r="H603" s="80" t="n">
        <v>345</v>
      </c>
      <c r="I603" s="123" t="n">
        <v>46154</v>
      </c>
      <c r="J603" s="80" t="n">
        <v>330.82</v>
      </c>
      <c r="K603" s="80" t="n">
        <v>308.04</v>
      </c>
      <c r="L603" s="80" t="n">
        <v>283.04</v>
      </c>
      <c r="M603" s="80">
        <f>IFERROR((H603-J603)/J603,0)</f>
        <v/>
      </c>
      <c r="N603" s="80">
        <f>IFERROR((H603-K603)/K603,0)</f>
        <v/>
      </c>
      <c r="O603" s="80">
        <f>IFERROR((H603-L603)/L603,0)</f>
        <v/>
      </c>
      <c r="P603" s="80" t="n">
        <v>270</v>
      </c>
      <c r="Q603" s="80" t="n">
        <v>505</v>
      </c>
      <c r="R603" s="80" t="inlineStr">
        <is>
          <t>2-5yr</t>
        </is>
      </c>
      <c r="S603" s="80" t="n">
        <v>4</v>
      </c>
      <c r="T603" s="80" t="n">
        <v>745</v>
      </c>
      <c r="U603" s="80">
        <f>MAX(0,MIN(100,50+((M603*0.6)+(N603*0.4))*200))</f>
        <v/>
      </c>
      <c r="V603" s="80">
        <f>MAX(20,MIN(100,50+(P603-H603)/P603*100))</f>
        <v/>
      </c>
      <c r="W603" s="80">
        <f>IFERROR(MAX(0,MIN(100,100-LOG10(T603)*16)),60)</f>
        <v/>
      </c>
      <c r="X603" s="80">
        <f>IF(C603="T2",85,IF(C603="T4",70,IF(C603="T1",65,IF(C603="T3",55,45))))</f>
        <v/>
      </c>
      <c r="Y603" s="80">
        <f>U603*0.55+W603*0.20+V603*0.15+X603*0.10+ROW()/1000000</f>
        <v/>
      </c>
      <c r="Z603" s="80">
        <f>IF(Y603&gt;=75,"STRONG BUY",IF(Y603&gt;=60,"BUY",IF(Y603&gt;=40,"HOLD",IF(Y603&gt;=25,"TRIM","SELL"))))</f>
        <v/>
      </c>
      <c r="AA603" s="80" t="inlineStr">
        <is>
          <t>https://www.pricecharting.com/game/pokemon-prismatic-evolutions/ditto-163</t>
        </is>
      </c>
      <c r="AB603" s="80" t="inlineStr">
        <is>
          <t>PE Ditto SA PSA 10.</t>
        </is>
      </c>
    </row>
    <row r="604">
      <c r="A604" s="80" t="inlineStr">
        <is>
          <t>M208</t>
        </is>
      </c>
      <c r="B604" s="80" t="inlineStr">
        <is>
          <t>Modern Chase PSA 10</t>
        </is>
      </c>
      <c r="C604" s="80" t="inlineStr">
        <is>
          <t>T5</t>
        </is>
      </c>
      <c r="D604" s="80" t="inlineStr">
        <is>
          <t>Sylveon ex Special Art PSA 10</t>
        </is>
      </c>
      <c r="E604" s="80" t="inlineStr">
        <is>
          <t>Prismatic Evolutions</t>
        </is>
      </c>
      <c r="F604" s="80" t="inlineStr">
        <is>
          <t>156/131</t>
        </is>
      </c>
      <c r="G604" s="80" t="inlineStr">
        <is>
          <t>PSA 10</t>
        </is>
      </c>
      <c r="H604" s="80" t="n">
        <v>165</v>
      </c>
      <c r="I604" s="123" t="n">
        <v>46154</v>
      </c>
      <c r="J604" s="80" t="n">
        <v>159.17</v>
      </c>
      <c r="K604" s="80" t="n">
        <v>150</v>
      </c>
      <c r="L604" s="80" t="n">
        <v>146.93</v>
      </c>
      <c r="M604" s="80">
        <f>IFERROR((H604-J604)/J604,0)</f>
        <v/>
      </c>
      <c r="N604" s="80">
        <f>IFERROR((H604-K604)/K604,0)</f>
        <v/>
      </c>
      <c r="O604" s="80">
        <f>IFERROR((H604-L604)/L604,0)</f>
        <v/>
      </c>
      <c r="P604" s="80" t="n">
        <v>130</v>
      </c>
      <c r="Q604" s="80" t="n">
        <v>240</v>
      </c>
      <c r="R604" s="80" t="inlineStr">
        <is>
          <t>1-3yr</t>
        </is>
      </c>
      <c r="S604" s="80" t="n">
        <v>4</v>
      </c>
      <c r="T604" s="80" t="n">
        <v>1250</v>
      </c>
      <c r="U604" s="80">
        <f>MAX(0,MIN(100,50+((M604*0.6)+(N604*0.4))*200))</f>
        <v/>
      </c>
      <c r="V604" s="80">
        <f>MAX(20,MIN(100,50+(P604-H604)/P604*100))</f>
        <v/>
      </c>
      <c r="W604" s="80">
        <f>IFERROR(MAX(0,MIN(100,100-LOG10(T604)*16)),60)</f>
        <v/>
      </c>
      <c r="X604" s="80">
        <f>IF(C604="T2",85,IF(C604="T4",70,IF(C604="T1",65,IF(C604="T3",55,45))))</f>
        <v/>
      </c>
      <c r="Y604" s="80">
        <f>U604*0.55+W604*0.20+V604*0.15+X604*0.10+ROW()/1000000</f>
        <v/>
      </c>
      <c r="Z604" s="80">
        <f>IF(Y604&gt;=75,"STRONG BUY",IF(Y604&gt;=60,"BUY",IF(Y604&gt;=40,"HOLD",IF(Y604&gt;=25,"TRIM","SELL"))))</f>
        <v/>
      </c>
      <c r="AA604" s="80" t="inlineStr">
        <is>
          <t>https://www.pricecharting.com/game/pokemon-prismatic-evolutions/sylveon-ex-156</t>
        </is>
      </c>
      <c r="AB604" s="80" t="inlineStr">
        <is>
          <t>PE Sylveon ex SA.</t>
        </is>
      </c>
    </row>
    <row r="605">
      <c r="A605" s="80" t="inlineStr">
        <is>
          <t>M209</t>
        </is>
      </c>
      <c r="B605" s="80" t="inlineStr">
        <is>
          <t>Modern Chase PSA 10</t>
        </is>
      </c>
      <c r="C605" s="80" t="inlineStr">
        <is>
          <t>T5</t>
        </is>
      </c>
      <c r="D605" s="80" t="inlineStr">
        <is>
          <t>Umbreon ex Special Art PSA 10</t>
        </is>
      </c>
      <c r="E605" s="80" t="inlineStr">
        <is>
          <t>Prismatic Evolutions</t>
        </is>
      </c>
      <c r="F605" s="80" t="inlineStr">
        <is>
          <t>161/131</t>
        </is>
      </c>
      <c r="G605" s="80" t="inlineStr">
        <is>
          <t>PSA 10</t>
        </is>
      </c>
      <c r="H605" s="80" t="n">
        <v>285</v>
      </c>
      <c r="I605" s="123" t="n">
        <v>46154</v>
      </c>
      <c r="J605" s="80" t="n">
        <v>276.73</v>
      </c>
      <c r="K605" s="80" t="n">
        <v>250</v>
      </c>
      <c r="L605" s="80" t="n">
        <v>242.51</v>
      </c>
      <c r="M605" s="80">
        <f>IFERROR((H605-J605)/J605,0)</f>
        <v/>
      </c>
      <c r="N605" s="80">
        <f>IFERROR((H605-K605)/K605,0)</f>
        <v/>
      </c>
      <c r="O605" s="80">
        <f>IFERROR((H605-L605)/L605,0)</f>
        <v/>
      </c>
      <c r="P605" s="80" t="n">
        <v>220</v>
      </c>
      <c r="Q605" s="80" t="n">
        <v>420</v>
      </c>
      <c r="R605" s="80" t="inlineStr">
        <is>
          <t>1-3yr</t>
        </is>
      </c>
      <c r="S605" s="80" t="n">
        <v>5</v>
      </c>
      <c r="T605" s="80" t="n">
        <v>825</v>
      </c>
      <c r="U605" s="80">
        <f>MAX(0,MIN(100,50+((M605*0.6)+(N605*0.4))*200))</f>
        <v/>
      </c>
      <c r="V605" s="80">
        <f>MAX(20,MIN(100,50+(P605-H605)/P605*100))</f>
        <v/>
      </c>
      <c r="W605" s="80">
        <f>IFERROR(MAX(0,MIN(100,100-LOG10(T605)*16)),60)</f>
        <v/>
      </c>
      <c r="X605" s="80">
        <f>IF(C605="T2",85,IF(C605="T4",70,IF(C605="T1",65,IF(C605="T3",55,45))))</f>
        <v/>
      </c>
      <c r="Y605" s="80">
        <f>U605*0.55+W605*0.20+V605*0.15+X605*0.10+ROW()/1000000</f>
        <v/>
      </c>
      <c r="Z605" s="80">
        <f>IF(Y605&gt;=75,"STRONG BUY",IF(Y605&gt;=60,"BUY",IF(Y605&gt;=40,"HOLD",IF(Y605&gt;=25,"TRIM","SELL"))))</f>
        <v/>
      </c>
      <c r="AA605" s="80" t="inlineStr">
        <is>
          <t>https://www.pricecharting.com/game/pokemon-prismatic-evolutions/umbreon-ex-161</t>
        </is>
      </c>
      <c r="AB605" s="80" t="inlineStr">
        <is>
          <t>PE Umbreon ex SA - regular SAR.</t>
        </is>
      </c>
    </row>
    <row r="606">
      <c r="A606" s="80" t="inlineStr">
        <is>
          <t>M210</t>
        </is>
      </c>
      <c r="B606" s="80" t="inlineStr">
        <is>
          <t>Modern Chase PSA 10</t>
        </is>
      </c>
      <c r="C606" s="80" t="inlineStr">
        <is>
          <t>T5</t>
        </is>
      </c>
      <c r="D606" s="80" t="inlineStr">
        <is>
          <t>Espeon ex Special Art PSA 10</t>
        </is>
      </c>
      <c r="E606" s="80" t="inlineStr">
        <is>
          <t>Prismatic Evolutions</t>
        </is>
      </c>
      <c r="F606" s="80" t="inlineStr">
        <is>
          <t>157/131</t>
        </is>
      </c>
      <c r="G606" s="80" t="inlineStr">
        <is>
          <t>PSA 10</t>
        </is>
      </c>
      <c r="H606" s="80" t="n">
        <v>165</v>
      </c>
      <c r="I606" s="123" t="n">
        <v>46154</v>
      </c>
      <c r="J606" s="80" t="n">
        <v>161.48</v>
      </c>
      <c r="K606" s="80" t="n">
        <v>150</v>
      </c>
      <c r="L606" s="80" t="n">
        <v>144.59</v>
      </c>
      <c r="M606" s="80">
        <f>IFERROR((H606-J606)/J606,0)</f>
        <v/>
      </c>
      <c r="N606" s="80">
        <f>IFERROR((H606-K606)/K606,0)</f>
        <v/>
      </c>
      <c r="O606" s="80">
        <f>IFERROR((H606-L606)/L606,0)</f>
        <v/>
      </c>
      <c r="P606" s="80" t="n">
        <v>130</v>
      </c>
      <c r="Q606" s="80" t="n">
        <v>240</v>
      </c>
      <c r="R606" s="80" t="inlineStr">
        <is>
          <t>1-3yr</t>
        </is>
      </c>
      <c r="S606" s="80" t="n">
        <v>4</v>
      </c>
      <c r="T606" s="80" t="n">
        <v>1150</v>
      </c>
      <c r="U606" s="80">
        <f>MAX(0,MIN(100,50+((M606*0.6)+(N606*0.4))*200))</f>
        <v/>
      </c>
      <c r="V606" s="80">
        <f>MAX(20,MIN(100,50+(P606-H606)/P606*100))</f>
        <v/>
      </c>
      <c r="W606" s="80">
        <f>IFERROR(MAX(0,MIN(100,100-LOG10(T606)*16)),60)</f>
        <v/>
      </c>
      <c r="X606" s="80">
        <f>IF(C606="T2",85,IF(C606="T4",70,IF(C606="T1",65,IF(C606="T3",55,45))))</f>
        <v/>
      </c>
      <c r="Y606" s="80">
        <f>U606*0.55+W606*0.20+V606*0.15+X606*0.10+ROW()/1000000</f>
        <v/>
      </c>
      <c r="Z606" s="80">
        <f>IF(Y606&gt;=75,"STRONG BUY",IF(Y606&gt;=60,"BUY",IF(Y606&gt;=40,"HOLD",IF(Y606&gt;=25,"TRIM","SELL"))))</f>
        <v/>
      </c>
      <c r="AA606" s="80" t="inlineStr">
        <is>
          <t>https://www.pricecharting.com/game/pokemon-prismatic-evolutions/espeon-ex-157</t>
        </is>
      </c>
      <c r="AB606" s="80" t="inlineStr">
        <is>
          <t>PE Espeon ex SA.</t>
        </is>
      </c>
    </row>
    <row r="607">
      <c r="A607" s="80" t="inlineStr">
        <is>
          <t>M220</t>
        </is>
      </c>
      <c r="B607" s="80" t="inlineStr">
        <is>
          <t>Modern Chase PSA 10</t>
        </is>
      </c>
      <c r="C607" s="80" t="inlineStr">
        <is>
          <t>T5</t>
        </is>
      </c>
      <c r="D607" s="80" t="inlineStr">
        <is>
          <t>Charizard ex SIR PSA 10</t>
        </is>
      </c>
      <c r="E607" s="80" t="inlineStr">
        <is>
          <t>Obsidian Flames</t>
        </is>
      </c>
      <c r="F607" s="80" t="inlineStr">
        <is>
          <t>215/197</t>
        </is>
      </c>
      <c r="G607" s="80" t="inlineStr">
        <is>
          <t>PSA 10</t>
        </is>
      </c>
      <c r="H607" s="80" t="n">
        <v>425</v>
      </c>
      <c r="I607" s="123" t="n">
        <v>46154</v>
      </c>
      <c r="J607" s="80" t="n">
        <v>415.54</v>
      </c>
      <c r="K607" s="80" t="n">
        <v>393.52</v>
      </c>
      <c r="L607" s="80" t="n">
        <v>385.18</v>
      </c>
      <c r="M607" s="80">
        <f>IFERROR((H607-J607)/J607,0)</f>
        <v/>
      </c>
      <c r="N607" s="80">
        <f>IFERROR((H607-K607)/K607,0)</f>
        <v/>
      </c>
      <c r="O607" s="80">
        <f>IFERROR((H607-L607)/L607,0)</f>
        <v/>
      </c>
      <c r="P607" s="80" t="n">
        <v>330</v>
      </c>
      <c r="Q607" s="80" t="n">
        <v>620</v>
      </c>
      <c r="R607" s="80" t="inlineStr">
        <is>
          <t>2-5yr</t>
        </is>
      </c>
      <c r="S607" s="80" t="n">
        <v>5</v>
      </c>
      <c r="T607" s="80" t="n">
        <v>545</v>
      </c>
      <c r="U607" s="80">
        <f>MAX(0,MIN(100,50+((M607*0.6)+(N607*0.4))*200))</f>
        <v/>
      </c>
      <c r="V607" s="80">
        <f>MAX(20,MIN(100,50+(P607-H607)/P607*100))</f>
        <v/>
      </c>
      <c r="W607" s="80">
        <f>IFERROR(MAX(0,MIN(100,100-LOG10(T607)*16)),60)</f>
        <v/>
      </c>
      <c r="X607" s="80">
        <f>IF(C607="T2",85,IF(C607="T4",70,IF(C607="T1",65,IF(C607="T3",55,45))))</f>
        <v/>
      </c>
      <c r="Y607" s="80">
        <f>U607*0.55+W607*0.20+V607*0.15+X607*0.10+ROW()/1000000</f>
        <v/>
      </c>
      <c r="Z607" s="80">
        <f>IF(Y607&gt;=75,"STRONG BUY",IF(Y607&gt;=60,"BUY",IF(Y607&gt;=40,"HOLD",IF(Y607&gt;=25,"TRIM","SELL"))))</f>
        <v/>
      </c>
      <c r="AA607" s="80" t="inlineStr">
        <is>
          <t>https://www.pricecharting.com/game/pokemon-obsidian-flames/charizard-ex-215</t>
        </is>
      </c>
      <c r="AB607" s="80" t="inlineStr">
        <is>
          <t>Charizard ex SIR PSA 10.</t>
        </is>
      </c>
    </row>
    <row r="608">
      <c r="A608" s="80" t="inlineStr">
        <is>
          <t>M221</t>
        </is>
      </c>
      <c r="B608" s="80" t="inlineStr">
        <is>
          <t>Modern Chase PSA 10</t>
        </is>
      </c>
      <c r="C608" s="80" t="inlineStr">
        <is>
          <t>T5</t>
        </is>
      </c>
      <c r="D608" s="80" t="inlineStr">
        <is>
          <t>Pikachu ex SIR PSA 10</t>
        </is>
      </c>
      <c r="E608" s="80" t="inlineStr">
        <is>
          <t>Surging Sparks</t>
        </is>
      </c>
      <c r="F608" s="80" t="inlineStr">
        <is>
          <t>238/191</t>
        </is>
      </c>
      <c r="G608" s="80" t="inlineStr">
        <is>
          <t>PSA 10</t>
        </is>
      </c>
      <c r="H608" s="80" t="n">
        <v>485</v>
      </c>
      <c r="I608" s="123" t="n">
        <v>46154</v>
      </c>
      <c r="J608" s="80" t="n">
        <v>468.65</v>
      </c>
      <c r="K608" s="80" t="n">
        <v>433.04</v>
      </c>
      <c r="L608" s="80" t="n">
        <v>413</v>
      </c>
      <c r="M608" s="80">
        <f>IFERROR((H608-J608)/J608,0)</f>
        <v/>
      </c>
      <c r="N608" s="80">
        <f>IFERROR((H608-K608)/K608,0)</f>
        <v/>
      </c>
      <c r="O608" s="80">
        <f>IFERROR((H608-L608)/L608,0)</f>
        <v/>
      </c>
      <c r="P608" s="80" t="n">
        <v>375</v>
      </c>
      <c r="Q608" s="80" t="n">
        <v>710</v>
      </c>
      <c r="R608" s="80" t="inlineStr">
        <is>
          <t>2-5yr</t>
        </is>
      </c>
      <c r="S608" s="80" t="n">
        <v>5</v>
      </c>
      <c r="T608" s="80" t="n">
        <v>425</v>
      </c>
      <c r="U608" s="80">
        <f>MAX(0,MIN(100,50+((M608*0.6)+(N608*0.4))*200))</f>
        <v/>
      </c>
      <c r="V608" s="80">
        <f>MAX(20,MIN(100,50+(P608-H608)/P608*100))</f>
        <v/>
      </c>
      <c r="W608" s="80">
        <f>IFERROR(MAX(0,MIN(100,100-LOG10(T608)*16)),60)</f>
        <v/>
      </c>
      <c r="X608" s="80">
        <f>IF(C608="T2",85,IF(C608="T4",70,IF(C608="T1",65,IF(C608="T3",55,45))))</f>
        <v/>
      </c>
      <c r="Y608" s="80">
        <f>U608*0.55+W608*0.20+V608*0.15+X608*0.10+ROW()/1000000</f>
        <v/>
      </c>
      <c r="Z608" s="80">
        <f>IF(Y608&gt;=75,"STRONG BUY",IF(Y608&gt;=60,"BUY",IF(Y608&gt;=40,"HOLD",IF(Y608&gt;=25,"TRIM","SELL"))))</f>
        <v/>
      </c>
      <c r="AA608" s="80" t="inlineStr">
        <is>
          <t>https://www.pricecharting.com/game/pokemon-surging-sparks/pikachu-ex-238</t>
        </is>
      </c>
      <c r="AB608" s="80" t="inlineStr">
        <is>
          <t>Pikachu ex SIR PSA 10.</t>
        </is>
      </c>
    </row>
    <row r="609">
      <c r="A609" s="80" t="inlineStr">
        <is>
          <t>M222</t>
        </is>
      </c>
      <c r="B609" s="80" t="inlineStr">
        <is>
          <t>Modern Chase PSA 10</t>
        </is>
      </c>
      <c r="C609" s="80" t="inlineStr">
        <is>
          <t>T5</t>
        </is>
      </c>
      <c r="D609" s="80" t="inlineStr">
        <is>
          <t>Iono SIR PSA 10 (PE)</t>
        </is>
      </c>
      <c r="E609" s="80" t="inlineStr">
        <is>
          <t>Prismatic Evolutions</t>
        </is>
      </c>
      <c r="F609" s="80" t="inlineStr">
        <is>
          <t>182/131</t>
        </is>
      </c>
      <c r="G609" s="80" t="inlineStr">
        <is>
          <t>PSA 10</t>
        </is>
      </c>
      <c r="H609" s="80" t="n">
        <v>425</v>
      </c>
      <c r="I609" s="123" t="n">
        <v>46154</v>
      </c>
      <c r="J609" s="80" t="n">
        <v>407.08</v>
      </c>
      <c r="K609" s="80" t="n">
        <v>372.81</v>
      </c>
      <c r="L609" s="80" t="n">
        <v>361.36</v>
      </c>
      <c r="M609" s="80">
        <f>IFERROR((H609-J609)/J609,0)</f>
        <v/>
      </c>
      <c r="N609" s="80">
        <f>IFERROR((H609-K609)/K609,0)</f>
        <v/>
      </c>
      <c r="O609" s="80">
        <f>IFERROR((H609-L609)/L609,0)</f>
        <v/>
      </c>
      <c r="P609" s="80" t="n">
        <v>330</v>
      </c>
      <c r="Q609" s="80" t="n">
        <v>620</v>
      </c>
      <c r="R609" s="80" t="inlineStr">
        <is>
          <t>2-5yr</t>
        </is>
      </c>
      <c r="S609" s="80" t="n">
        <v>5</v>
      </c>
      <c r="T609" s="80" t="n">
        <v>485</v>
      </c>
      <c r="U609" s="80">
        <f>MAX(0,MIN(100,50+((M609*0.6)+(N609*0.4))*200))</f>
        <v/>
      </c>
      <c r="V609" s="80">
        <f>MAX(20,MIN(100,50+(P609-H609)/P609*100))</f>
        <v/>
      </c>
      <c r="W609" s="80">
        <f>IFERROR(MAX(0,MIN(100,100-LOG10(T609)*16)),60)</f>
        <v/>
      </c>
      <c r="X609" s="80">
        <f>IF(C609="T2",85,IF(C609="T4",70,IF(C609="T1",65,IF(C609="T3",55,45))))</f>
        <v/>
      </c>
      <c r="Y609" s="80">
        <f>U609*0.55+W609*0.20+V609*0.15+X609*0.10+ROW()/1000000</f>
        <v/>
      </c>
      <c r="Z609" s="80">
        <f>IF(Y609&gt;=75,"STRONG BUY",IF(Y609&gt;=60,"BUY",IF(Y609&gt;=40,"HOLD",IF(Y609&gt;=25,"TRIM","SELL"))))</f>
        <v/>
      </c>
      <c r="AA609" s="80" t="inlineStr">
        <is>
          <t>https://www.pricecharting.com/game/pokemon-prismatic-evolutions/iono-182</t>
        </is>
      </c>
      <c r="AB609" s="80" t="inlineStr">
        <is>
          <t>Iono SIR PE PSA 10.</t>
        </is>
      </c>
    </row>
    <row r="610">
      <c r="A610" s="80" t="inlineStr">
        <is>
          <t>M223</t>
        </is>
      </c>
      <c r="B610" s="80" t="inlineStr">
        <is>
          <t>Modern Chase PSA 10</t>
        </is>
      </c>
      <c r="C610" s="80" t="inlineStr">
        <is>
          <t>T5</t>
        </is>
      </c>
      <c r="D610" s="80" t="inlineStr">
        <is>
          <t>Terapagos ex SIR PSA 10</t>
        </is>
      </c>
      <c r="E610" s="80" t="inlineStr">
        <is>
          <t>Stellar Crown</t>
        </is>
      </c>
      <c r="F610" s="80" t="inlineStr">
        <is>
          <t>176/142</t>
        </is>
      </c>
      <c r="G610" s="80" t="inlineStr">
        <is>
          <t>PSA 10</t>
        </is>
      </c>
      <c r="H610" s="80" t="n">
        <v>395</v>
      </c>
      <c r="I610" s="123" t="n">
        <v>46154</v>
      </c>
      <c r="J610" s="80" t="n">
        <v>386.02</v>
      </c>
      <c r="K610" s="80" t="n">
        <v>359.09</v>
      </c>
      <c r="L610" s="80" t="n">
        <v>332.01</v>
      </c>
      <c r="M610" s="80">
        <f>IFERROR((H610-J610)/J610,0)</f>
        <v/>
      </c>
      <c r="N610" s="80">
        <f>IFERROR((H610-K610)/K610,0)</f>
        <v/>
      </c>
      <c r="O610" s="80">
        <f>IFERROR((H610-L610)/L610,0)</f>
        <v/>
      </c>
      <c r="P610" s="80" t="n">
        <v>305</v>
      </c>
      <c r="Q610" s="80" t="n">
        <v>580</v>
      </c>
      <c r="R610" s="80" t="inlineStr">
        <is>
          <t>2-5yr</t>
        </is>
      </c>
      <c r="S610" s="80" t="n">
        <v>4</v>
      </c>
      <c r="T610" s="80" t="n">
        <v>525</v>
      </c>
      <c r="U610" s="80">
        <f>MAX(0,MIN(100,50+((M610*0.6)+(N610*0.4))*200))</f>
        <v/>
      </c>
      <c r="V610" s="80">
        <f>MAX(20,MIN(100,50+(P610-H610)/P610*100))</f>
        <v/>
      </c>
      <c r="W610" s="80">
        <f>IFERROR(MAX(0,MIN(100,100-LOG10(T610)*16)),60)</f>
        <v/>
      </c>
      <c r="X610" s="80">
        <f>IF(C610="T2",85,IF(C610="T4",70,IF(C610="T1",65,IF(C610="T3",55,45))))</f>
        <v/>
      </c>
      <c r="Y610" s="80">
        <f>U610*0.55+W610*0.20+V610*0.15+X610*0.10+ROW()/1000000</f>
        <v/>
      </c>
      <c r="Z610" s="80">
        <f>IF(Y610&gt;=75,"STRONG BUY",IF(Y610&gt;=60,"BUY",IF(Y610&gt;=40,"HOLD",IF(Y610&gt;=25,"TRIM","SELL"))))</f>
        <v/>
      </c>
      <c r="AA610" s="80" t="inlineStr">
        <is>
          <t>https://www.pricecharting.com/game/pokemon-stellar-crown/terapagos-ex-176</t>
        </is>
      </c>
      <c r="AB610" s="80" t="inlineStr">
        <is>
          <t>Terapagos PSA 10.</t>
        </is>
      </c>
    </row>
    <row r="611">
      <c r="A611" s="80" t="inlineStr">
        <is>
          <t>M240</t>
        </is>
      </c>
      <c r="B611" s="80" t="inlineStr">
        <is>
          <t>Modern Chase PSA 10</t>
        </is>
      </c>
      <c r="C611" s="80" t="inlineStr">
        <is>
          <t>T5</t>
        </is>
      </c>
      <c r="D611" s="80" t="inlineStr">
        <is>
          <t>Charizard VMAX Rainbow Rare PSA 10</t>
        </is>
      </c>
      <c r="E611" s="80" t="inlineStr">
        <is>
          <t>Darkness Ablaze</t>
        </is>
      </c>
      <c r="F611" s="80" t="inlineStr">
        <is>
          <t>074/189</t>
        </is>
      </c>
      <c r="G611" s="80" t="inlineStr">
        <is>
          <t>PSA 10</t>
        </is>
      </c>
      <c r="H611" s="80" t="n">
        <v>685</v>
      </c>
      <c r="I611" s="123" t="n">
        <v>46154</v>
      </c>
      <c r="J611" s="80" t="n">
        <v>663.42</v>
      </c>
      <c r="K611" s="80" t="n">
        <v>628.4400000000001</v>
      </c>
      <c r="L611" s="80" t="n">
        <v>613.67</v>
      </c>
      <c r="M611" s="80">
        <f>IFERROR((H611-J611)/J611,0)</f>
        <v/>
      </c>
      <c r="N611" s="80">
        <f>IFERROR((H611-K611)/K611,0)</f>
        <v/>
      </c>
      <c r="O611" s="80">
        <f>IFERROR((H611-L611)/L611,0)</f>
        <v/>
      </c>
      <c r="P611" s="80" t="n">
        <v>525</v>
      </c>
      <c r="Q611" s="80" t="n">
        <v>1000</v>
      </c>
      <c r="R611" s="80" t="inlineStr">
        <is>
          <t>3-7yr</t>
        </is>
      </c>
      <c r="S611" s="80" t="n">
        <v>5</v>
      </c>
      <c r="T611" s="80" t="n">
        <v>845</v>
      </c>
      <c r="U611" s="80">
        <f>MAX(0,MIN(100,50+((M611*0.6)+(N611*0.4))*200))</f>
        <v/>
      </c>
      <c r="V611" s="80">
        <f>MAX(20,MIN(100,50+(P611-H611)/P611*100))</f>
        <v/>
      </c>
      <c r="W611" s="80">
        <f>IFERROR(MAX(0,MIN(100,100-LOG10(T611)*16)),60)</f>
        <v/>
      </c>
      <c r="X611" s="80">
        <f>IF(C611="T2",85,IF(C611="T4",70,IF(C611="T1",65,IF(C611="T3",55,45))))</f>
        <v/>
      </c>
      <c r="Y611" s="80">
        <f>U611*0.55+W611*0.20+V611*0.15+X611*0.10+ROW()/1000000</f>
        <v/>
      </c>
      <c r="Z611" s="80">
        <f>IF(Y611&gt;=75,"STRONG BUY",IF(Y611&gt;=60,"BUY",IF(Y611&gt;=40,"HOLD",IF(Y611&gt;=25,"TRIM","SELL"))))</f>
        <v/>
      </c>
      <c r="AA611" s="80" t="inlineStr">
        <is>
          <t>https://www.pricecharting.com/game/pokemon-darkness-ablaze/charizard-vmax-secret</t>
        </is>
      </c>
      <c r="AB611" s="80" t="inlineStr">
        <is>
          <t>Charizard VMAX rainbow rare.</t>
        </is>
      </c>
    </row>
    <row r="612">
      <c r="A612" s="80" t="inlineStr">
        <is>
          <t>M241</t>
        </is>
      </c>
      <c r="B612" s="80" t="inlineStr">
        <is>
          <t>Modern Chase PSA 10</t>
        </is>
      </c>
      <c r="C612" s="80" t="inlineStr">
        <is>
          <t>T5</t>
        </is>
      </c>
      <c r="D612" s="80" t="inlineStr">
        <is>
          <t>Charizard VSTAR Rainbow Rare PSA 10</t>
        </is>
      </c>
      <c r="E612" s="80" t="inlineStr">
        <is>
          <t>Brilliant Stars</t>
        </is>
      </c>
      <c r="F612" s="80" t="inlineStr">
        <is>
          <t>174/172</t>
        </is>
      </c>
      <c r="G612" s="80" t="inlineStr">
        <is>
          <t>PSA 10</t>
        </is>
      </c>
      <c r="H612" s="80" t="n">
        <v>545</v>
      </c>
      <c r="I612" s="123" t="n">
        <v>46154</v>
      </c>
      <c r="J612" s="80" t="n">
        <v>531.67</v>
      </c>
      <c r="K612" s="80" t="n">
        <v>509.35</v>
      </c>
      <c r="L612" s="80" t="n">
        <v>470.66</v>
      </c>
      <c r="M612" s="80">
        <f>IFERROR((H612-J612)/J612,0)</f>
        <v/>
      </c>
      <c r="N612" s="80">
        <f>IFERROR((H612-K612)/K612,0)</f>
        <v/>
      </c>
      <c r="O612" s="80">
        <f>IFERROR((H612-L612)/L612,0)</f>
        <v/>
      </c>
      <c r="P612" s="80" t="n">
        <v>420</v>
      </c>
      <c r="Q612" s="80" t="n">
        <v>800</v>
      </c>
      <c r="R612" s="80" t="inlineStr">
        <is>
          <t>3-7yr</t>
        </is>
      </c>
      <c r="S612" s="80" t="n">
        <v>5</v>
      </c>
      <c r="T612" s="80" t="n">
        <v>925</v>
      </c>
      <c r="U612" s="80">
        <f>MAX(0,MIN(100,50+((M612*0.6)+(N612*0.4))*200))</f>
        <v/>
      </c>
      <c r="V612" s="80">
        <f>MAX(20,MIN(100,50+(P612-H612)/P612*100))</f>
        <v/>
      </c>
      <c r="W612" s="80">
        <f>IFERROR(MAX(0,MIN(100,100-LOG10(T612)*16)),60)</f>
        <v/>
      </c>
      <c r="X612" s="80">
        <f>IF(C612="T2",85,IF(C612="T4",70,IF(C612="T1",65,IF(C612="T3",55,45))))</f>
        <v/>
      </c>
      <c r="Y612" s="80">
        <f>U612*0.55+W612*0.20+V612*0.15+X612*0.10+ROW()/1000000</f>
        <v/>
      </c>
      <c r="Z612" s="80">
        <f>IF(Y612&gt;=75,"STRONG BUY",IF(Y612&gt;=60,"BUY",IF(Y612&gt;=40,"HOLD",IF(Y612&gt;=25,"TRIM","SELL"))))</f>
        <v/>
      </c>
      <c r="AA612" s="80" t="inlineStr">
        <is>
          <t>https://www.pricecharting.com/game/pokemon-brilliant-stars/charizard-vstar-secret-174</t>
        </is>
      </c>
      <c r="AB612" s="80" t="inlineStr">
        <is>
          <t>Charizard VSTAR Rainbow.</t>
        </is>
      </c>
    </row>
    <row r="613">
      <c r="A613" s="80" t="inlineStr">
        <is>
          <t>M242</t>
        </is>
      </c>
      <c r="B613" s="80" t="inlineStr">
        <is>
          <t>Modern Chase PSA 10</t>
        </is>
      </c>
      <c r="C613" s="80" t="inlineStr">
        <is>
          <t>T5</t>
        </is>
      </c>
      <c r="D613" s="80" t="inlineStr">
        <is>
          <t>Giratina V Alt Art PSA 10</t>
        </is>
      </c>
      <c r="E613" s="80" t="inlineStr">
        <is>
          <t>Lost Origin</t>
        </is>
      </c>
      <c r="F613" s="80" t="inlineStr">
        <is>
          <t>186/196</t>
        </is>
      </c>
      <c r="G613" s="80" t="inlineStr">
        <is>
          <t>PSA 10</t>
        </is>
      </c>
      <c r="H613" s="80" t="n">
        <v>850</v>
      </c>
      <c r="I613" s="123" t="n">
        <v>46154</v>
      </c>
      <c r="J613" s="80" t="n">
        <v>825.09</v>
      </c>
      <c r="K613" s="80" t="n">
        <v>779.8200000000001</v>
      </c>
      <c r="L613" s="80" t="n">
        <v>723.8200000000001</v>
      </c>
      <c r="M613" s="80">
        <f>IFERROR((H613-J613)/J613,0)</f>
        <v/>
      </c>
      <c r="N613" s="80">
        <f>IFERROR((H613-K613)/K613,0)</f>
        <v/>
      </c>
      <c r="O613" s="80">
        <f>IFERROR((H613-L613)/L613,0)</f>
        <v/>
      </c>
      <c r="P613" s="80" t="n">
        <v>650</v>
      </c>
      <c r="Q613" s="80" t="n">
        <v>1250</v>
      </c>
      <c r="R613" s="80" t="inlineStr">
        <is>
          <t>3-7yr</t>
        </is>
      </c>
      <c r="S613" s="80" t="n">
        <v>5</v>
      </c>
      <c r="T613" s="80" t="n">
        <v>625</v>
      </c>
      <c r="U613" s="80">
        <f>MAX(0,MIN(100,50+((M613*0.6)+(N613*0.4))*200))</f>
        <v/>
      </c>
      <c r="V613" s="80">
        <f>MAX(20,MIN(100,50+(P613-H613)/P613*100))</f>
        <v/>
      </c>
      <c r="W613" s="80">
        <f>IFERROR(MAX(0,MIN(100,100-LOG10(T613)*16)),60)</f>
        <v/>
      </c>
      <c r="X613" s="80">
        <f>IF(C613="T2",85,IF(C613="T4",70,IF(C613="T1",65,IF(C613="T3",55,45))))</f>
        <v/>
      </c>
      <c r="Y613" s="80">
        <f>U613*0.55+W613*0.20+V613*0.15+X613*0.10+ROW()/1000000</f>
        <v/>
      </c>
      <c r="Z613" s="80">
        <f>IF(Y613&gt;=75,"STRONG BUY",IF(Y613&gt;=60,"BUY",IF(Y613&gt;=40,"HOLD",IF(Y613&gt;=25,"TRIM","SELL"))))</f>
        <v/>
      </c>
      <c r="AA613" s="80" t="inlineStr">
        <is>
          <t>https://www.pricecharting.com/game/pokemon-lost-origin/giratina-v-alt-art-186</t>
        </is>
      </c>
      <c r="AB613" s="80" t="inlineStr">
        <is>
          <t>Giratina V Alt Art - distortion world.</t>
        </is>
      </c>
    </row>
    <row r="614">
      <c r="A614" s="80" t="inlineStr">
        <is>
          <t>M243</t>
        </is>
      </c>
      <c r="B614" s="80" t="inlineStr">
        <is>
          <t>Modern Chase PSA 10</t>
        </is>
      </c>
      <c r="C614" s="80" t="inlineStr">
        <is>
          <t>T5</t>
        </is>
      </c>
      <c r="D614" s="80" t="inlineStr">
        <is>
          <t>Lugia V Alt Art PSA 10</t>
        </is>
      </c>
      <c r="E614" s="80" t="inlineStr">
        <is>
          <t>Silver Tempest</t>
        </is>
      </c>
      <c r="F614" s="80" t="inlineStr">
        <is>
          <t>186/195</t>
        </is>
      </c>
      <c r="G614" s="80" t="inlineStr">
        <is>
          <t>PSA 10</t>
        </is>
      </c>
      <c r="H614" s="80" t="n">
        <v>750</v>
      </c>
      <c r="I614" s="123" t="n">
        <v>46154</v>
      </c>
      <c r="J614" s="80" t="n">
        <v>725.41</v>
      </c>
      <c r="K614" s="80" t="n">
        <v>694.4400000000001</v>
      </c>
      <c r="L614" s="80" t="n">
        <v>641.48</v>
      </c>
      <c r="M614" s="80">
        <f>IFERROR((H614-J614)/J614,0)</f>
        <v/>
      </c>
      <c r="N614" s="80">
        <f>IFERROR((H614-K614)/K614,0)</f>
        <v/>
      </c>
      <c r="O614" s="80">
        <f>IFERROR((H614-L614)/L614,0)</f>
        <v/>
      </c>
      <c r="P614" s="80" t="n">
        <v>575</v>
      </c>
      <c r="Q614" s="80" t="n">
        <v>1100</v>
      </c>
      <c r="R614" s="80" t="inlineStr">
        <is>
          <t>3-7yr</t>
        </is>
      </c>
      <c r="S614" s="80" t="n">
        <v>5</v>
      </c>
      <c r="T614" s="80" t="n">
        <v>745</v>
      </c>
      <c r="U614" s="80">
        <f>MAX(0,MIN(100,50+((M614*0.6)+(N614*0.4))*200))</f>
        <v/>
      </c>
      <c r="V614" s="80">
        <f>MAX(20,MIN(100,50+(P614-H614)/P614*100))</f>
        <v/>
      </c>
      <c r="W614" s="80">
        <f>IFERROR(MAX(0,MIN(100,100-LOG10(T614)*16)),60)</f>
        <v/>
      </c>
      <c r="X614" s="80">
        <f>IF(C614="T2",85,IF(C614="T4",70,IF(C614="T1",65,IF(C614="T3",55,45))))</f>
        <v/>
      </c>
      <c r="Y614" s="80">
        <f>U614*0.55+W614*0.20+V614*0.15+X614*0.10+ROW()/1000000</f>
        <v/>
      </c>
      <c r="Z614" s="80">
        <f>IF(Y614&gt;=75,"STRONG BUY",IF(Y614&gt;=60,"BUY",IF(Y614&gt;=40,"HOLD",IF(Y614&gt;=25,"TRIM","SELL"))))</f>
        <v/>
      </c>
      <c r="AA614" s="80" t="inlineStr">
        <is>
          <t>https://www.pricecharting.com/game/pokemon-silver-tempest/lugia-v-alt-art-186</t>
        </is>
      </c>
      <c r="AB614" s="80" t="inlineStr">
        <is>
          <t>Lugia V Alt Art.</t>
        </is>
      </c>
    </row>
    <row r="615">
      <c r="A615" s="80" t="inlineStr">
        <is>
          <t>M244</t>
        </is>
      </c>
      <c r="B615" s="80" t="inlineStr">
        <is>
          <t>Modern Chase PSA 10</t>
        </is>
      </c>
      <c r="C615" s="80" t="inlineStr">
        <is>
          <t>T5</t>
        </is>
      </c>
      <c r="D615" s="80" t="inlineStr">
        <is>
          <t>Rayquaza VMAX Alt Art PSA 10</t>
        </is>
      </c>
      <c r="E615" s="80" t="inlineStr">
        <is>
          <t>Evolving Skies</t>
        </is>
      </c>
      <c r="F615" s="80" t="inlineStr">
        <is>
          <t>194/203</t>
        </is>
      </c>
      <c r="G615" s="80" t="inlineStr">
        <is>
          <t>PSA 10</t>
        </is>
      </c>
      <c r="H615" s="80" t="n">
        <v>850</v>
      </c>
      <c r="I615" s="123" t="n">
        <v>46154</v>
      </c>
      <c r="J615" s="80" t="n">
        <v>819.63</v>
      </c>
      <c r="K615" s="80" t="n">
        <v>772.73</v>
      </c>
      <c r="L615" s="80" t="n">
        <v>743.47</v>
      </c>
      <c r="M615" s="80">
        <f>IFERROR((H615-J615)/J615,0)</f>
        <v/>
      </c>
      <c r="N615" s="80">
        <f>IFERROR((H615-K615)/K615,0)</f>
        <v/>
      </c>
      <c r="O615" s="80">
        <f>IFERROR((H615-L615)/L615,0)</f>
        <v/>
      </c>
      <c r="P615" s="80" t="n">
        <v>650</v>
      </c>
      <c r="Q615" s="80" t="n">
        <v>1250</v>
      </c>
      <c r="R615" s="80" t="inlineStr">
        <is>
          <t>3-7yr</t>
        </is>
      </c>
      <c r="S615" s="80" t="n">
        <v>5</v>
      </c>
      <c r="T615" s="80" t="n">
        <v>685</v>
      </c>
      <c r="U615" s="80">
        <f>MAX(0,MIN(100,50+((M615*0.6)+(N615*0.4))*200))</f>
        <v/>
      </c>
      <c r="V615" s="80">
        <f>MAX(20,MIN(100,50+(P615-H615)/P615*100))</f>
        <v/>
      </c>
      <c r="W615" s="80">
        <f>IFERROR(MAX(0,MIN(100,100-LOG10(T615)*16)),60)</f>
        <v/>
      </c>
      <c r="X615" s="80">
        <f>IF(C615="T2",85,IF(C615="T4",70,IF(C615="T1",65,IF(C615="T3",55,45))))</f>
        <v/>
      </c>
      <c r="Y615" s="80">
        <f>U615*0.55+W615*0.20+V615*0.15+X615*0.10+ROW()/1000000</f>
        <v/>
      </c>
      <c r="Z615" s="80">
        <f>IF(Y615&gt;=75,"STRONG BUY",IF(Y615&gt;=60,"BUY",IF(Y615&gt;=40,"HOLD",IF(Y615&gt;=25,"TRIM","SELL"))))</f>
        <v/>
      </c>
      <c r="AA615" s="80" t="inlineStr">
        <is>
          <t>https://www.pricecharting.com/game/pokemon-evolving-skies/rayquaza-vmax-194</t>
        </is>
      </c>
      <c r="AB615" s="80" t="inlineStr">
        <is>
          <t>Rayquaza Alt Art ES grail.</t>
        </is>
      </c>
    </row>
    <row r="616">
      <c r="A616" s="80" t="inlineStr">
        <is>
          <t>V100</t>
        </is>
      </c>
      <c r="B616" s="80" t="inlineStr">
        <is>
          <t>Vintage Graded Singles</t>
        </is>
      </c>
      <c r="C616" s="80" t="inlineStr">
        <is>
          <t>T1</t>
        </is>
      </c>
      <c r="D616" s="80" t="inlineStr">
        <is>
          <t>Pikachu Illustrator Promo</t>
        </is>
      </c>
      <c r="E616" s="80" t="inlineStr">
        <is>
          <t>Trophy Promo</t>
        </is>
      </c>
      <c r="F616" s="80" t="inlineStr">
        <is>
          <t>—</t>
        </is>
      </c>
      <c r="G616" s="80" t="inlineStr">
        <is>
          <t>PSA 7</t>
        </is>
      </c>
      <c r="H616" s="80" t="n">
        <v>85000</v>
      </c>
      <c r="I616" s="123" t="n">
        <v>46154</v>
      </c>
      <c r="J616" s="80" t="n">
        <v>84735.5</v>
      </c>
      <c r="K616" s="80" t="n">
        <v>81730.77</v>
      </c>
      <c r="L616" s="80" t="n">
        <v>76990.05</v>
      </c>
      <c r="M616" s="80">
        <f>IFERROR((H616-J616)/J616,0)</f>
        <v/>
      </c>
      <c r="N616" s="80">
        <f>IFERROR((H616-K616)/K616,0)</f>
        <v/>
      </c>
      <c r="O616" s="80">
        <f>IFERROR((H616-L616)/L616,0)</f>
        <v/>
      </c>
      <c r="P616" s="80" t="n">
        <v>65000</v>
      </c>
      <c r="Q616" s="80" t="n">
        <v>125000</v>
      </c>
      <c r="R616" s="80" t="inlineStr">
        <is>
          <t>10yr+</t>
        </is>
      </c>
      <c r="S616" s="80" t="n">
        <v>5</v>
      </c>
      <c r="T616" s="80" t="n">
        <v>18</v>
      </c>
      <c r="U616" s="80">
        <f>MAX(0,MIN(100,50+((M616*0.6)+(N616*0.4))*200))</f>
        <v/>
      </c>
      <c r="V616" s="80">
        <f>MAX(20,MIN(100,50+(P616-H616)/P616*100))</f>
        <v/>
      </c>
      <c r="W616" s="80">
        <f>IFERROR(MAX(0,MIN(100,100-LOG10(T616)*16)),60)</f>
        <v/>
      </c>
      <c r="X616" s="80">
        <f>IF(C616="T2",85,IF(C616="T4",70,IF(C616="T1",65,IF(C616="T3",55,45))))</f>
        <v/>
      </c>
      <c r="Y616" s="80">
        <f>U616*0.55+W616*0.20+V616*0.15+X616*0.10+ROW()/1000000</f>
        <v/>
      </c>
      <c r="Z616" s="80">
        <f>IF(Y616&gt;=75,"STRONG BUY",IF(Y616&gt;=60,"BUY",IF(Y616&gt;=40,"HOLD",IF(Y616&gt;=25,"TRIM","SELL"))))</f>
        <v/>
      </c>
      <c r="AA616" s="80" t="inlineStr">
        <is>
          <t>https://www.pricecharting.com/game/pokemon-promo/pikachu-illustrator</t>
        </is>
      </c>
      <c r="AB616" s="80" t="inlineStr">
        <is>
          <t>Pikachu Illustrator - ultra grail. Limited.</t>
        </is>
      </c>
    </row>
    <row r="617">
      <c r="A617" s="80" t="inlineStr">
        <is>
          <t>V101</t>
        </is>
      </c>
      <c r="B617" s="80" t="inlineStr">
        <is>
          <t>Vintage Graded Singles</t>
        </is>
      </c>
      <c r="C617" s="80" t="inlineStr">
        <is>
          <t>T1</t>
        </is>
      </c>
      <c r="D617" s="80" t="inlineStr">
        <is>
          <t>Trainer No. 3 Trophy</t>
        </is>
      </c>
      <c r="E617" s="80" t="inlineStr">
        <is>
          <t>Trophy Promo</t>
        </is>
      </c>
      <c r="F617" s="80" t="inlineStr">
        <is>
          <t>—</t>
        </is>
      </c>
      <c r="G617" s="80" t="inlineStr">
        <is>
          <t>PSA 9</t>
        </is>
      </c>
      <c r="H617" s="80" t="n">
        <v>65000</v>
      </c>
      <c r="I617" s="123" t="n">
        <v>46154</v>
      </c>
      <c r="J617" s="80" t="n">
        <v>64461.23</v>
      </c>
      <c r="K617" s="80" t="n">
        <v>61904.76</v>
      </c>
      <c r="L617" s="80" t="n">
        <v>59249.95</v>
      </c>
      <c r="M617" s="80">
        <f>IFERROR((H617-J617)/J617,0)</f>
        <v/>
      </c>
      <c r="N617" s="80">
        <f>IFERROR((H617-K617)/K617,0)</f>
        <v/>
      </c>
      <c r="O617" s="80">
        <f>IFERROR((H617-L617)/L617,0)</f>
        <v/>
      </c>
      <c r="P617" s="80" t="n">
        <v>50000</v>
      </c>
      <c r="Q617" s="80" t="n">
        <v>95000</v>
      </c>
      <c r="R617" s="80" t="inlineStr">
        <is>
          <t>10yr+</t>
        </is>
      </c>
      <c r="S617" s="80" t="n">
        <v>5</v>
      </c>
      <c r="T617" s="80" t="n">
        <v>25</v>
      </c>
      <c r="U617" s="80">
        <f>MAX(0,MIN(100,50+((M617*0.6)+(N617*0.4))*200))</f>
        <v/>
      </c>
      <c r="V617" s="80">
        <f>MAX(20,MIN(100,50+(P617-H617)/P617*100))</f>
        <v/>
      </c>
      <c r="W617" s="80">
        <f>IFERROR(MAX(0,MIN(100,100-LOG10(T617)*16)),60)</f>
        <v/>
      </c>
      <c r="X617" s="80">
        <f>IF(C617="T2",85,IF(C617="T4",70,IF(C617="T1",65,IF(C617="T3",55,45))))</f>
        <v/>
      </c>
      <c r="Y617" s="80">
        <f>U617*0.55+W617*0.20+V617*0.15+X617*0.10+ROW()/1000000</f>
        <v/>
      </c>
      <c r="Z617" s="80">
        <f>IF(Y617&gt;=75,"STRONG BUY",IF(Y617&gt;=60,"BUY",IF(Y617&gt;=40,"HOLD",IF(Y617&gt;=25,"TRIM","SELL"))))</f>
        <v/>
      </c>
      <c r="AA617" s="80" t="inlineStr">
        <is>
          <t>https://www.pricecharting.com/game/pokemon-promo/trainer-no-3</t>
        </is>
      </c>
      <c r="AB617" s="80" t="inlineStr">
        <is>
          <t>Trainer No. 3 Trophy - top auction.</t>
        </is>
      </c>
    </row>
    <row r="618">
      <c r="A618" s="80" t="inlineStr">
        <is>
          <t>V102</t>
        </is>
      </c>
      <c r="B618" s="80" t="inlineStr">
        <is>
          <t>Vintage Graded Singles</t>
        </is>
      </c>
      <c r="C618" s="80" t="inlineStr">
        <is>
          <t>T1</t>
        </is>
      </c>
      <c r="D618" s="80" t="inlineStr">
        <is>
          <t>Snap Pikachu Mountain Promo</t>
        </is>
      </c>
      <c r="E618" s="80" t="inlineStr">
        <is>
          <t>Snap Promo</t>
        </is>
      </c>
      <c r="F618" s="80" t="inlineStr">
        <is>
          <t>—</t>
        </is>
      </c>
      <c r="G618" s="80" t="inlineStr">
        <is>
          <t>PSA 10</t>
        </is>
      </c>
      <c r="H618" s="80" t="n">
        <v>4500</v>
      </c>
      <c r="I618" s="123" t="n">
        <v>46154</v>
      </c>
      <c r="J618" s="80" t="n">
        <v>4455.24</v>
      </c>
      <c r="K618" s="80" t="n">
        <v>4245.28</v>
      </c>
      <c r="L618" s="80" t="n">
        <v>4058.82</v>
      </c>
      <c r="M618" s="80">
        <f>IFERROR((H618-J618)/J618,0)</f>
        <v/>
      </c>
      <c r="N618" s="80">
        <f>IFERROR((H618-K618)/K618,0)</f>
        <v/>
      </c>
      <c r="O618" s="80">
        <f>IFERROR((H618-L618)/L618,0)</f>
        <v/>
      </c>
      <c r="P618" s="80" t="n">
        <v>3500</v>
      </c>
      <c r="Q618" s="80" t="n">
        <v>6500</v>
      </c>
      <c r="R618" s="80" t="inlineStr">
        <is>
          <t>5-10yr</t>
        </is>
      </c>
      <c r="S618" s="80" t="n">
        <v>5</v>
      </c>
      <c r="T618" s="80" t="n">
        <v>65</v>
      </c>
      <c r="U618" s="80">
        <f>MAX(0,MIN(100,50+((M618*0.6)+(N618*0.4))*200))</f>
        <v/>
      </c>
      <c r="V618" s="80">
        <f>MAX(20,MIN(100,50+(P618-H618)/P618*100))</f>
        <v/>
      </c>
      <c r="W618" s="80">
        <f>IFERROR(MAX(0,MIN(100,100-LOG10(T618)*16)),60)</f>
        <v/>
      </c>
      <c r="X618" s="80">
        <f>IF(C618="T2",85,IF(C618="T4",70,IF(C618="T1",65,IF(C618="T3",55,45))))</f>
        <v/>
      </c>
      <c r="Y618" s="80">
        <f>U618*0.55+W618*0.20+V618*0.15+X618*0.10+ROW()/1000000</f>
        <v/>
      </c>
      <c r="Z618" s="80">
        <f>IF(Y618&gt;=75,"STRONG BUY",IF(Y618&gt;=60,"BUY",IF(Y618&gt;=40,"HOLD",IF(Y618&gt;=25,"TRIM","SELL"))))</f>
        <v/>
      </c>
      <c r="AA618" s="80" t="inlineStr">
        <is>
          <t>https://www.pricecharting.com/game/pokemon-promo/snap-pikachu-mountain</t>
        </is>
      </c>
      <c r="AB618" s="80" t="inlineStr">
        <is>
          <t>Pokemon Snap promo Pikachu.</t>
        </is>
      </c>
    </row>
    <row r="619">
      <c r="A619" s="80" t="inlineStr">
        <is>
          <t>V103</t>
        </is>
      </c>
      <c r="B619" s="80" t="inlineStr">
        <is>
          <t>Vintage Graded Singles</t>
        </is>
      </c>
      <c r="C619" s="80" t="inlineStr">
        <is>
          <t>T1</t>
        </is>
      </c>
      <c r="D619" s="80" t="inlineStr">
        <is>
          <t>Tropical Mega Battle Trainer</t>
        </is>
      </c>
      <c r="E619" s="80" t="inlineStr">
        <is>
          <t>Tropical Mega Battle</t>
        </is>
      </c>
      <c r="F619" s="80" t="inlineStr">
        <is>
          <t>—</t>
        </is>
      </c>
      <c r="G619" s="80" t="inlineStr">
        <is>
          <t>PSA 9</t>
        </is>
      </c>
      <c r="H619" s="80" t="n">
        <v>18500</v>
      </c>
      <c r="I619" s="123" t="n">
        <v>46154</v>
      </c>
      <c r="J619" s="80" t="n">
        <v>18304.42</v>
      </c>
      <c r="K619" s="80" t="n">
        <v>17788.46</v>
      </c>
      <c r="L619" s="80" t="n">
        <v>16800.77</v>
      </c>
      <c r="M619" s="80">
        <f>IFERROR((H619-J619)/J619,0)</f>
        <v/>
      </c>
      <c r="N619" s="80">
        <f>IFERROR((H619-K619)/K619,0)</f>
        <v/>
      </c>
      <c r="O619" s="80">
        <f>IFERROR((H619-L619)/L619,0)</f>
        <v/>
      </c>
      <c r="P619" s="80" t="n">
        <v>14500</v>
      </c>
      <c r="Q619" s="80" t="n">
        <v>27000</v>
      </c>
      <c r="R619" s="80" t="inlineStr">
        <is>
          <t>10yr+</t>
        </is>
      </c>
      <c r="S619" s="80" t="n">
        <v>5</v>
      </c>
      <c r="T619" s="80" t="n">
        <v>35</v>
      </c>
      <c r="U619" s="80">
        <f>MAX(0,MIN(100,50+((M619*0.6)+(N619*0.4))*200))</f>
        <v/>
      </c>
      <c r="V619" s="80">
        <f>MAX(20,MIN(100,50+(P619-H619)/P619*100))</f>
        <v/>
      </c>
      <c r="W619" s="80">
        <f>IFERROR(MAX(0,MIN(100,100-LOG10(T619)*16)),60)</f>
        <v/>
      </c>
      <c r="X619" s="80">
        <f>IF(C619="T2",85,IF(C619="T4",70,IF(C619="T1",65,IF(C619="T3",55,45))))</f>
        <v/>
      </c>
      <c r="Y619" s="80">
        <f>U619*0.55+W619*0.20+V619*0.15+X619*0.10+ROW()/1000000</f>
        <v/>
      </c>
      <c r="Z619" s="80">
        <f>IF(Y619&gt;=75,"STRONG BUY",IF(Y619&gt;=60,"BUY",IF(Y619&gt;=40,"HOLD",IF(Y619&gt;=25,"TRIM","SELL"))))</f>
        <v/>
      </c>
      <c r="AA619" s="80" t="inlineStr">
        <is>
          <t>https://www.pricecharting.com/game/pokemon-promo/tropical-mega-battle-trainer</t>
        </is>
      </c>
      <c r="AB619" s="80" t="inlineStr">
        <is>
          <t>Tropical Mega Battle promo - elite tournament.</t>
        </is>
      </c>
    </row>
    <row r="620">
      <c r="A620" s="80" t="inlineStr">
        <is>
          <t>V104</t>
        </is>
      </c>
      <c r="B620" s="80" t="inlineStr">
        <is>
          <t>Vintage Graded Singles</t>
        </is>
      </c>
      <c r="C620" s="80" t="inlineStr">
        <is>
          <t>T1</t>
        </is>
      </c>
      <c r="D620" s="80" t="inlineStr">
        <is>
          <t>Master Key Promo</t>
        </is>
      </c>
      <c r="E620" s="80" t="inlineStr">
        <is>
          <t>Trophy</t>
        </is>
      </c>
      <c r="F620" s="80" t="inlineStr">
        <is>
          <t>—</t>
        </is>
      </c>
      <c r="G620" s="80" t="inlineStr">
        <is>
          <t>PSA 9</t>
        </is>
      </c>
      <c r="H620" s="80" t="n">
        <v>12500</v>
      </c>
      <c r="I620" s="123" t="n">
        <v>46154</v>
      </c>
      <c r="J620" s="80" t="n">
        <v>12498.34</v>
      </c>
      <c r="K620" s="80" t="n">
        <v>11904.76</v>
      </c>
      <c r="L620" s="80" t="n">
        <v>10950.26</v>
      </c>
      <c r="M620" s="80">
        <f>IFERROR((H620-J620)/J620,0)</f>
        <v/>
      </c>
      <c r="N620" s="80">
        <f>IFERROR((H620-K620)/K620,0)</f>
        <v/>
      </c>
      <c r="O620" s="80">
        <f>IFERROR((H620-L620)/L620,0)</f>
        <v/>
      </c>
      <c r="P620" s="80" t="n">
        <v>9500</v>
      </c>
      <c r="Q620" s="80" t="n">
        <v>18500</v>
      </c>
      <c r="R620" s="80" t="inlineStr">
        <is>
          <t>10yr+</t>
        </is>
      </c>
      <c r="S620" s="80" t="n">
        <v>5</v>
      </c>
      <c r="T620" s="80" t="n">
        <v>45</v>
      </c>
      <c r="U620" s="80">
        <f>MAX(0,MIN(100,50+((M620*0.6)+(N620*0.4))*200))</f>
        <v/>
      </c>
      <c r="V620" s="80">
        <f>MAX(20,MIN(100,50+(P620-H620)/P620*100))</f>
        <v/>
      </c>
      <c r="W620" s="80">
        <f>IFERROR(MAX(0,MIN(100,100-LOG10(T620)*16)),60)</f>
        <v/>
      </c>
      <c r="X620" s="80">
        <f>IF(C620="T2",85,IF(C620="T4",70,IF(C620="T1",65,IF(C620="T3",55,45))))</f>
        <v/>
      </c>
      <c r="Y620" s="80">
        <f>U620*0.55+W620*0.20+V620*0.15+X620*0.10+ROW()/1000000</f>
        <v/>
      </c>
      <c r="Z620" s="80">
        <f>IF(Y620&gt;=75,"STRONG BUY",IF(Y620&gt;=60,"BUY",IF(Y620&gt;=40,"HOLD",IF(Y620&gt;=25,"TRIM","SELL"))))</f>
        <v/>
      </c>
      <c r="AA620" s="80" t="inlineStr">
        <is>
          <t>https://www.pricecharting.com/game/pokemon-promo/master-key</t>
        </is>
      </c>
      <c r="AB620" s="80" t="inlineStr">
        <is>
          <t>Master Key trophy promo.</t>
        </is>
      </c>
    </row>
    <row r="621">
      <c r="A621" s="80" t="inlineStr">
        <is>
          <t>D101</t>
        </is>
      </c>
      <c r="B621" s="80" t="inlineStr">
        <is>
          <t>Sealed Product</t>
        </is>
      </c>
      <c r="C621" s="80" t="inlineStr">
        <is>
          <t>T2</t>
        </is>
      </c>
      <c r="D621" s="80" t="inlineStr">
        <is>
          <t>Pokemon Base Set Booster Box (Unlimited)</t>
        </is>
      </c>
      <c r="E621" s="80" t="inlineStr">
        <is>
          <t>Base Set Unlimited</t>
        </is>
      </c>
      <c r="F621" s="80" t="inlineStr">
        <is>
          <t>—</t>
        </is>
      </c>
      <c r="G621" s="80" t="inlineStr">
        <is>
          <t>Sealed</t>
        </is>
      </c>
      <c r="H621" s="80" t="n">
        <v>15000</v>
      </c>
      <c r="I621" s="123" t="n">
        <v>46154</v>
      </c>
      <c r="J621" s="80" t="n">
        <v>14759.33</v>
      </c>
      <c r="K621" s="80" t="n">
        <v>14018.69</v>
      </c>
      <c r="L621" s="80" t="n">
        <v>12790.24</v>
      </c>
      <c r="M621" s="80">
        <f>IFERROR((H621-J621)/J621,0)</f>
        <v/>
      </c>
      <c r="N621" s="80">
        <f>IFERROR((H621-K621)/K621,0)</f>
        <v/>
      </c>
      <c r="O621" s="80">
        <f>IFERROR((H621-L621)/L621,0)</f>
        <v/>
      </c>
      <c r="P621" s="80" t="n">
        <v>11500</v>
      </c>
      <c r="Q621" s="80" t="n">
        <v>22000</v>
      </c>
      <c r="R621" s="80" t="inlineStr">
        <is>
          <t>10yr+</t>
        </is>
      </c>
      <c r="S621" s="80" t="n">
        <v>5</v>
      </c>
      <c r="U621" s="80">
        <f>MAX(0,MIN(100,50+((M621*0.6)+(N621*0.4))*200))</f>
        <v/>
      </c>
      <c r="V621" s="80">
        <f>MAX(20,MIN(100,50+(P621-H621)/P621*100))</f>
        <v/>
      </c>
      <c r="W621" s="80">
        <f>IFERROR(MAX(0,MIN(100,100-LOG10(T621)*16)),60)</f>
        <v/>
      </c>
      <c r="X621" s="80">
        <f>IF(C621="T2",85,IF(C621="T4",70,IF(C621="T1",65,IF(C621="T3",55,45))))</f>
        <v/>
      </c>
      <c r="Y621" s="80">
        <f>U621*0.55+W621*0.20+V621*0.15+X621*0.10+ROW()/1000000</f>
        <v/>
      </c>
      <c r="Z621" s="80">
        <f>IF(Y621&gt;=75,"STRONG BUY",IF(Y621&gt;=60,"BUY",IF(Y621&gt;=40,"HOLD",IF(Y621&gt;=25,"TRIM","SELL"))))</f>
        <v/>
      </c>
      <c r="AA621" s="80" t="inlineStr">
        <is>
          <t>https://www.pricecharting.com/game/pokemon-base-set/sealed-booster-box-unlimited</t>
        </is>
      </c>
      <c r="AB621" s="80" t="inlineStr">
        <is>
          <t>Unlimited base box - WoTC grail sealed.</t>
        </is>
      </c>
    </row>
    <row r="622">
      <c r="A622" s="80" t="inlineStr">
        <is>
          <t>D102</t>
        </is>
      </c>
      <c r="B622" s="80" t="inlineStr">
        <is>
          <t>Sealed Product</t>
        </is>
      </c>
      <c r="C622" s="80" t="inlineStr">
        <is>
          <t>T2</t>
        </is>
      </c>
      <c r="D622" s="80" t="inlineStr">
        <is>
          <t>Pokemon Base Set 1st Ed Booster Box</t>
        </is>
      </c>
      <c r="E622" s="80" t="inlineStr">
        <is>
          <t>Base Set 1st Edition</t>
        </is>
      </c>
      <c r="F622" s="80" t="inlineStr">
        <is>
          <t>—</t>
        </is>
      </c>
      <c r="G622" s="80" t="inlineStr">
        <is>
          <t>Sealed</t>
        </is>
      </c>
      <c r="H622" s="80" t="n">
        <v>425000</v>
      </c>
      <c r="I622" s="123" t="n">
        <v>46154</v>
      </c>
      <c r="J622" s="80" t="n">
        <v>420028.24</v>
      </c>
      <c r="K622" s="80" t="n">
        <v>400943.4</v>
      </c>
      <c r="L622" s="80" t="n">
        <v>369708.24</v>
      </c>
      <c r="M622" s="80">
        <f>IFERROR((H622-J622)/J622,0)</f>
        <v/>
      </c>
      <c r="N622" s="80">
        <f>IFERROR((H622-K622)/K622,0)</f>
        <v/>
      </c>
      <c r="O622" s="80">
        <f>IFERROR((H622-L622)/L622,0)</f>
        <v/>
      </c>
      <c r="P622" s="80" t="n">
        <v>325000</v>
      </c>
      <c r="Q622" s="80" t="n">
        <v>625000</v>
      </c>
      <c r="R622" s="80" t="inlineStr">
        <is>
          <t>10yr+</t>
        </is>
      </c>
      <c r="S622" s="80" t="n">
        <v>5</v>
      </c>
      <c r="U622" s="80">
        <f>MAX(0,MIN(100,50+((M622*0.6)+(N622*0.4))*200))</f>
        <v/>
      </c>
      <c r="V622" s="80">
        <f>MAX(20,MIN(100,50+(P622-H622)/P622*100))</f>
        <v/>
      </c>
      <c r="W622" s="80">
        <f>IFERROR(MAX(0,MIN(100,100-LOG10(T622)*16)),60)</f>
        <v/>
      </c>
      <c r="X622" s="80">
        <f>IF(C622="T2",85,IF(C622="T4",70,IF(C622="T1",65,IF(C622="T3",55,45))))</f>
        <v/>
      </c>
      <c r="Y622" s="80">
        <f>U622*0.55+W622*0.20+V622*0.15+X622*0.10+ROW()/1000000</f>
        <v/>
      </c>
      <c r="Z622" s="80">
        <f>IF(Y622&gt;=75,"STRONG BUY",IF(Y622&gt;=60,"BUY",IF(Y622&gt;=40,"HOLD",IF(Y622&gt;=25,"TRIM","SELL"))))</f>
        <v/>
      </c>
      <c r="AA622" s="80" t="inlineStr">
        <is>
          <t>https://www.pricecharting.com/game/pokemon-base-set/sealed-booster-box-1st-edition</t>
        </is>
      </c>
      <c r="AB622" s="80" t="inlineStr">
        <is>
          <t>1st Ed Base Box - museum grade.</t>
        </is>
      </c>
    </row>
    <row r="623">
      <c r="A623" s="80" t="inlineStr">
        <is>
          <t>D103</t>
        </is>
      </c>
      <c r="B623" s="80" t="inlineStr">
        <is>
          <t>Sealed Product</t>
        </is>
      </c>
      <c r="C623" s="80" t="inlineStr">
        <is>
          <t>T2</t>
        </is>
      </c>
      <c r="D623" s="80" t="inlineStr">
        <is>
          <t>Pokemon Jungle Booster Box (Unlimited)</t>
        </is>
      </c>
      <c r="E623" s="80" t="inlineStr">
        <is>
          <t>Jungle Unlimited</t>
        </is>
      </c>
      <c r="F623" s="80" t="inlineStr">
        <is>
          <t>—</t>
        </is>
      </c>
      <c r="G623" s="80" t="inlineStr">
        <is>
          <t>Sealed</t>
        </is>
      </c>
      <c r="H623" s="80" t="n">
        <v>5500</v>
      </c>
      <c r="I623" s="123" t="n">
        <v>46154</v>
      </c>
      <c r="J623" s="80" t="n">
        <v>5434.23</v>
      </c>
      <c r="K623" s="80" t="n">
        <v>5238.1</v>
      </c>
      <c r="L623" s="80" t="n">
        <v>4892.34</v>
      </c>
      <c r="M623" s="80">
        <f>IFERROR((H623-J623)/J623,0)</f>
        <v/>
      </c>
      <c r="N623" s="80">
        <f>IFERROR((H623-K623)/K623,0)</f>
        <v/>
      </c>
      <c r="O623" s="80">
        <f>IFERROR((H623-L623)/L623,0)</f>
        <v/>
      </c>
      <c r="P623" s="80" t="n">
        <v>4200</v>
      </c>
      <c r="Q623" s="80" t="n">
        <v>8000</v>
      </c>
      <c r="R623" s="80" t="inlineStr">
        <is>
          <t>10yr+</t>
        </is>
      </c>
      <c r="S623" s="80" t="n">
        <v>5</v>
      </c>
      <c r="U623" s="80">
        <f>MAX(0,MIN(100,50+((M623*0.6)+(N623*0.4))*200))</f>
        <v/>
      </c>
      <c r="V623" s="80">
        <f>MAX(20,MIN(100,50+(P623-H623)/P623*100))</f>
        <v/>
      </c>
      <c r="W623" s="80">
        <f>IFERROR(MAX(0,MIN(100,100-LOG10(T623)*16)),60)</f>
        <v/>
      </c>
      <c r="X623" s="80">
        <f>IF(C623="T2",85,IF(C623="T4",70,IF(C623="T1",65,IF(C623="T3",55,45))))</f>
        <v/>
      </c>
      <c r="Y623" s="80">
        <f>U623*0.55+W623*0.20+V623*0.15+X623*0.10+ROW()/1000000</f>
        <v/>
      </c>
      <c r="Z623" s="80">
        <f>IF(Y623&gt;=75,"STRONG BUY",IF(Y623&gt;=60,"BUY",IF(Y623&gt;=40,"HOLD",IF(Y623&gt;=25,"TRIM","SELL"))))</f>
        <v/>
      </c>
      <c r="AA623" s="80" t="inlineStr">
        <is>
          <t>https://www.pricecharting.com/game/pokemon-jungle/sealed-booster-box-unlimited</t>
        </is>
      </c>
      <c r="AB623" s="80" t="inlineStr">
        <is>
          <t>Jungle sealed.</t>
        </is>
      </c>
    </row>
    <row r="624">
      <c r="A624" s="80" t="inlineStr">
        <is>
          <t>D104</t>
        </is>
      </c>
      <c r="B624" s="80" t="inlineStr">
        <is>
          <t>Sealed Product</t>
        </is>
      </c>
      <c r="C624" s="80" t="inlineStr">
        <is>
          <t>T2</t>
        </is>
      </c>
      <c r="D624" s="80" t="inlineStr">
        <is>
          <t>Pokemon Fossil Booster Box (Unlimited)</t>
        </is>
      </c>
      <c r="E624" s="80" t="inlineStr">
        <is>
          <t>Fossil Unlimited</t>
        </is>
      </c>
      <c r="F624" s="80" t="inlineStr">
        <is>
          <t>—</t>
        </is>
      </c>
      <c r="G624" s="80" t="inlineStr">
        <is>
          <t>Sealed</t>
        </is>
      </c>
      <c r="H624" s="80" t="n">
        <v>4800</v>
      </c>
      <c r="I624" s="123" t="n">
        <v>46154</v>
      </c>
      <c r="J624" s="80" t="n">
        <v>4698.77</v>
      </c>
      <c r="K624" s="80" t="n">
        <v>4571.43</v>
      </c>
      <c r="L624" s="80" t="n">
        <v>4139.62</v>
      </c>
      <c r="M624" s="80">
        <f>IFERROR((H624-J624)/J624,0)</f>
        <v/>
      </c>
      <c r="N624" s="80">
        <f>IFERROR((H624-K624)/K624,0)</f>
        <v/>
      </c>
      <c r="O624" s="80">
        <f>IFERROR((H624-L624)/L624,0)</f>
        <v/>
      </c>
      <c r="P624" s="80" t="n">
        <v>3700</v>
      </c>
      <c r="Q624" s="80" t="n">
        <v>7000</v>
      </c>
      <c r="R624" s="80" t="inlineStr">
        <is>
          <t>10yr+</t>
        </is>
      </c>
      <c r="S624" s="80" t="n">
        <v>5</v>
      </c>
      <c r="U624" s="80">
        <f>MAX(0,MIN(100,50+((M624*0.6)+(N624*0.4))*200))</f>
        <v/>
      </c>
      <c r="V624" s="80">
        <f>MAX(20,MIN(100,50+(P624-H624)/P624*100))</f>
        <v/>
      </c>
      <c r="W624" s="80">
        <f>IFERROR(MAX(0,MIN(100,100-LOG10(T624)*16)),60)</f>
        <v/>
      </c>
      <c r="X624" s="80">
        <f>IF(C624="T2",85,IF(C624="T4",70,IF(C624="T1",65,IF(C624="T3",55,45))))</f>
        <v/>
      </c>
      <c r="Y624" s="80">
        <f>U624*0.55+W624*0.20+V624*0.15+X624*0.10+ROW()/1000000</f>
        <v/>
      </c>
      <c r="Z624" s="80">
        <f>IF(Y624&gt;=75,"STRONG BUY",IF(Y624&gt;=60,"BUY",IF(Y624&gt;=40,"HOLD",IF(Y624&gt;=25,"TRIM","SELL"))))</f>
        <v/>
      </c>
      <c r="AA624" s="80" t="inlineStr">
        <is>
          <t>https://www.pricecharting.com/game/pokemon-fossil/sealed-booster-box-unlimited</t>
        </is>
      </c>
      <c r="AB624" s="80" t="inlineStr">
        <is>
          <t>Fossil sealed.</t>
        </is>
      </c>
    </row>
    <row r="625">
      <c r="A625" s="80" t="inlineStr">
        <is>
          <t>D105</t>
        </is>
      </c>
      <c r="B625" s="80" t="inlineStr">
        <is>
          <t>Sealed Product</t>
        </is>
      </c>
      <c r="C625" s="80" t="inlineStr">
        <is>
          <t>T2</t>
        </is>
      </c>
      <c r="D625" s="80" t="inlineStr">
        <is>
          <t>Pokemon Team Rocket Booster Box (Unlimited)</t>
        </is>
      </c>
      <c r="E625" s="80" t="inlineStr">
        <is>
          <t>Team Rocket</t>
        </is>
      </c>
      <c r="F625" s="80" t="inlineStr">
        <is>
          <t>—</t>
        </is>
      </c>
      <c r="G625" s="80" t="inlineStr">
        <is>
          <t>Sealed</t>
        </is>
      </c>
      <c r="H625" s="80" t="n">
        <v>6500</v>
      </c>
      <c r="I625" s="123" t="n">
        <v>46154</v>
      </c>
      <c r="J625" s="80" t="n">
        <v>6429.65</v>
      </c>
      <c r="K625" s="80" t="n">
        <v>6132.08</v>
      </c>
      <c r="L625" s="80" t="n">
        <v>5607.38</v>
      </c>
      <c r="M625" s="80">
        <f>IFERROR((H625-J625)/J625,0)</f>
        <v/>
      </c>
      <c r="N625" s="80">
        <f>IFERROR((H625-K625)/K625,0)</f>
        <v/>
      </c>
      <c r="O625" s="80">
        <f>IFERROR((H625-L625)/L625,0)</f>
        <v/>
      </c>
      <c r="P625" s="80" t="n">
        <v>5000</v>
      </c>
      <c r="Q625" s="80" t="n">
        <v>9500</v>
      </c>
      <c r="R625" s="80" t="inlineStr">
        <is>
          <t>10yr+</t>
        </is>
      </c>
      <c r="S625" s="80" t="n">
        <v>5</v>
      </c>
      <c r="U625" s="80">
        <f>MAX(0,MIN(100,50+((M625*0.6)+(N625*0.4))*200))</f>
        <v/>
      </c>
      <c r="V625" s="80">
        <f>MAX(20,MIN(100,50+(P625-H625)/P625*100))</f>
        <v/>
      </c>
      <c r="W625" s="80">
        <f>IFERROR(MAX(0,MIN(100,100-LOG10(T625)*16)),60)</f>
        <v/>
      </c>
      <c r="X625" s="80">
        <f>IF(C625="T2",85,IF(C625="T4",70,IF(C625="T1",65,IF(C625="T3",55,45))))</f>
        <v/>
      </c>
      <c r="Y625" s="80">
        <f>U625*0.55+W625*0.20+V625*0.15+X625*0.10+ROW()/1000000</f>
        <v/>
      </c>
      <c r="Z625" s="80">
        <f>IF(Y625&gt;=75,"STRONG BUY",IF(Y625&gt;=60,"BUY",IF(Y625&gt;=40,"HOLD",IF(Y625&gt;=25,"TRIM","SELL"))))</f>
        <v/>
      </c>
      <c r="AA625" s="80" t="inlineStr">
        <is>
          <t>https://www.pricecharting.com/game/pokemon-team-rocket/sealed-booster-box-unlimited</t>
        </is>
      </c>
      <c r="AB625" s="80" t="inlineStr">
        <is>
          <t>Team Rocket sealed.</t>
        </is>
      </c>
    </row>
    <row r="626">
      <c r="A626" s="80" t="inlineStr">
        <is>
          <t>D106</t>
        </is>
      </c>
      <c r="B626" s="80" t="inlineStr">
        <is>
          <t>Sealed Product</t>
        </is>
      </c>
      <c r="C626" s="80" t="inlineStr">
        <is>
          <t>T2</t>
        </is>
      </c>
      <c r="D626" s="80" t="inlineStr">
        <is>
          <t>Pokemon Gym Heroes Booster Box (Unlimited)</t>
        </is>
      </c>
      <c r="E626" s="80" t="inlineStr">
        <is>
          <t>Gym Heroes</t>
        </is>
      </c>
      <c r="F626" s="80" t="inlineStr">
        <is>
          <t>—</t>
        </is>
      </c>
      <c r="G626" s="80" t="inlineStr">
        <is>
          <t>Sealed</t>
        </is>
      </c>
      <c r="H626" s="80" t="n">
        <v>5200</v>
      </c>
      <c r="I626" s="123" t="n">
        <v>46154</v>
      </c>
      <c r="J626" s="80" t="n">
        <v>5151.59</v>
      </c>
      <c r="K626" s="80" t="n">
        <v>4952.38</v>
      </c>
      <c r="L626" s="80" t="n">
        <v>4843.5</v>
      </c>
      <c r="M626" s="80">
        <f>IFERROR((H626-J626)/J626,0)</f>
        <v/>
      </c>
      <c r="N626" s="80">
        <f>IFERROR((H626-K626)/K626,0)</f>
        <v/>
      </c>
      <c r="O626" s="80">
        <f>IFERROR((H626-L626)/L626,0)</f>
        <v/>
      </c>
      <c r="P626" s="80" t="n">
        <v>4000</v>
      </c>
      <c r="Q626" s="80" t="n">
        <v>7500</v>
      </c>
      <c r="R626" s="80" t="inlineStr">
        <is>
          <t>10yr+</t>
        </is>
      </c>
      <c r="S626" s="80" t="n">
        <v>5</v>
      </c>
      <c r="U626" s="80">
        <f>MAX(0,MIN(100,50+((M626*0.6)+(N626*0.4))*200))</f>
        <v/>
      </c>
      <c r="V626" s="80">
        <f>MAX(20,MIN(100,50+(P626-H626)/P626*100))</f>
        <v/>
      </c>
      <c r="W626" s="80">
        <f>IFERROR(MAX(0,MIN(100,100-LOG10(T626)*16)),60)</f>
        <v/>
      </c>
      <c r="X626" s="80">
        <f>IF(C626="T2",85,IF(C626="T4",70,IF(C626="T1",65,IF(C626="T3",55,45))))</f>
        <v/>
      </c>
      <c r="Y626" s="80">
        <f>U626*0.55+W626*0.20+V626*0.15+X626*0.10+ROW()/1000000</f>
        <v/>
      </c>
      <c r="Z626" s="80">
        <f>IF(Y626&gt;=75,"STRONG BUY",IF(Y626&gt;=60,"BUY",IF(Y626&gt;=40,"HOLD",IF(Y626&gt;=25,"TRIM","SELL"))))</f>
        <v/>
      </c>
      <c r="AA626" s="80" t="inlineStr">
        <is>
          <t>https://www.pricecharting.com/game/pokemon-gym-heroes/sealed-booster-box-unlimited</t>
        </is>
      </c>
      <c r="AB626" s="80" t="inlineStr">
        <is>
          <t>Gym Heroes sealed.</t>
        </is>
      </c>
    </row>
    <row r="627">
      <c r="A627" s="80" t="inlineStr">
        <is>
          <t>D107</t>
        </is>
      </c>
      <c r="B627" s="80" t="inlineStr">
        <is>
          <t>Sealed Product</t>
        </is>
      </c>
      <c r="C627" s="80" t="inlineStr">
        <is>
          <t>T2</t>
        </is>
      </c>
      <c r="D627" s="80" t="inlineStr">
        <is>
          <t>Pokemon Neo Genesis Booster Box (Unlimited)</t>
        </is>
      </c>
      <c r="E627" s="80" t="inlineStr">
        <is>
          <t>Neo Genesis</t>
        </is>
      </c>
      <c r="F627" s="80" t="inlineStr">
        <is>
          <t>—</t>
        </is>
      </c>
      <c r="G627" s="80" t="inlineStr">
        <is>
          <t>Sealed</t>
        </is>
      </c>
      <c r="H627" s="80" t="n">
        <v>11500</v>
      </c>
      <c r="I627" s="123" t="n">
        <v>46154</v>
      </c>
      <c r="J627" s="80" t="n">
        <v>11163.57</v>
      </c>
      <c r="K627" s="80" t="n">
        <v>10747.66</v>
      </c>
      <c r="L627" s="80" t="n">
        <v>9774.530000000001</v>
      </c>
      <c r="M627" s="80">
        <f>IFERROR((H627-J627)/J627,0)</f>
        <v/>
      </c>
      <c r="N627" s="80">
        <f>IFERROR((H627-K627)/K627,0)</f>
        <v/>
      </c>
      <c r="O627" s="80">
        <f>IFERROR((H627-L627)/L627,0)</f>
        <v/>
      </c>
      <c r="P627" s="80" t="n">
        <v>8800</v>
      </c>
      <c r="Q627" s="80" t="n">
        <v>16800</v>
      </c>
      <c r="R627" s="80" t="inlineStr">
        <is>
          <t>10yr+</t>
        </is>
      </c>
      <c r="S627" s="80" t="n">
        <v>5</v>
      </c>
      <c r="U627" s="80">
        <f>MAX(0,MIN(100,50+((M627*0.6)+(N627*0.4))*200))</f>
        <v/>
      </c>
      <c r="V627" s="80">
        <f>MAX(20,MIN(100,50+(P627-H627)/P627*100))</f>
        <v/>
      </c>
      <c r="W627" s="80">
        <f>IFERROR(MAX(0,MIN(100,100-LOG10(T627)*16)),60)</f>
        <v/>
      </c>
      <c r="X627" s="80">
        <f>IF(C627="T2",85,IF(C627="T4",70,IF(C627="T1",65,IF(C627="T3",55,45))))</f>
        <v/>
      </c>
      <c r="Y627" s="80">
        <f>U627*0.55+W627*0.20+V627*0.15+X627*0.10+ROW()/1000000</f>
        <v/>
      </c>
      <c r="Z627" s="80">
        <f>IF(Y627&gt;=75,"STRONG BUY",IF(Y627&gt;=60,"BUY",IF(Y627&gt;=40,"HOLD",IF(Y627&gt;=25,"TRIM","SELL"))))</f>
        <v/>
      </c>
      <c r="AA627" s="80" t="inlineStr">
        <is>
          <t>https://www.pricecharting.com/game/pokemon-neo-genesis/sealed-booster-box-unlimited</t>
        </is>
      </c>
      <c r="AB627" s="80" t="inlineStr">
        <is>
          <t>Neo Genesis sealed - rare to find.</t>
        </is>
      </c>
    </row>
    <row r="628">
      <c r="A628" s="80" t="inlineStr">
        <is>
          <t>D108</t>
        </is>
      </c>
      <c r="B628" s="80" t="inlineStr">
        <is>
          <t>Sealed Product</t>
        </is>
      </c>
      <c r="C628" s="80" t="inlineStr">
        <is>
          <t>T2</t>
        </is>
      </c>
      <c r="D628" s="80" t="inlineStr">
        <is>
          <t>Pokemon Evolutions Booster Box</t>
        </is>
      </c>
      <c r="E628" s="80" t="inlineStr">
        <is>
          <t>Evolutions</t>
        </is>
      </c>
      <c r="F628" s="80" t="inlineStr">
        <is>
          <t>—</t>
        </is>
      </c>
      <c r="G628" s="80" t="inlineStr">
        <is>
          <t>Sealed</t>
        </is>
      </c>
      <c r="H628" s="80" t="n">
        <v>950</v>
      </c>
      <c r="I628" s="123" t="n">
        <v>46154</v>
      </c>
      <c r="J628" s="80" t="n">
        <v>936.6900000000001</v>
      </c>
      <c r="K628" s="80" t="n">
        <v>879.63</v>
      </c>
      <c r="L628" s="80" t="n">
        <v>798.39</v>
      </c>
      <c r="M628" s="80">
        <f>IFERROR((H628-J628)/J628,0)</f>
        <v/>
      </c>
      <c r="N628" s="80">
        <f>IFERROR((H628-K628)/K628,0)</f>
        <v/>
      </c>
      <c r="O628" s="80">
        <f>IFERROR((H628-L628)/L628,0)</f>
        <v/>
      </c>
      <c r="P628" s="80" t="n">
        <v>750</v>
      </c>
      <c r="Q628" s="80" t="n">
        <v>1400</v>
      </c>
      <c r="R628" s="80" t="inlineStr">
        <is>
          <t>3-5yr</t>
        </is>
      </c>
      <c r="S628" s="80" t="n">
        <v>4</v>
      </c>
      <c r="U628" s="80">
        <f>MAX(0,MIN(100,50+((M628*0.6)+(N628*0.4))*200))</f>
        <v/>
      </c>
      <c r="V628" s="80">
        <f>MAX(20,MIN(100,50+(P628-H628)/P628*100))</f>
        <v/>
      </c>
      <c r="W628" s="80">
        <f>IFERROR(MAX(0,MIN(100,100-LOG10(T628)*16)),60)</f>
        <v/>
      </c>
      <c r="X628" s="80">
        <f>IF(C628="T2",85,IF(C628="T4",70,IF(C628="T1",65,IF(C628="T3",55,45))))</f>
        <v/>
      </c>
      <c r="Y628" s="80">
        <f>U628*0.55+W628*0.20+V628*0.15+X628*0.10+ROW()/1000000</f>
        <v/>
      </c>
      <c r="Z628" s="80">
        <f>IF(Y628&gt;=75,"STRONG BUY",IF(Y628&gt;=60,"BUY",IF(Y628&gt;=40,"HOLD",IF(Y628&gt;=25,"TRIM","SELL"))))</f>
        <v/>
      </c>
      <c r="AA628" s="80" t="inlineStr">
        <is>
          <t>https://www.pricecharting.com/game/pokemon-evolutions/sealed-booster-box</t>
        </is>
      </c>
      <c r="AB628" s="80" t="inlineStr">
        <is>
          <t>Evolutions - Base Set callback.</t>
        </is>
      </c>
    </row>
    <row r="629">
      <c r="A629" s="80" t="inlineStr">
        <is>
          <t>D109</t>
        </is>
      </c>
      <c r="B629" s="80" t="inlineStr">
        <is>
          <t>Sealed Product</t>
        </is>
      </c>
      <c r="C629" s="80" t="inlineStr">
        <is>
          <t>T2</t>
        </is>
      </c>
      <c r="D629" s="80" t="inlineStr">
        <is>
          <t>Pokemon Hidden Fates ETB</t>
        </is>
      </c>
      <c r="E629" s="80" t="inlineStr">
        <is>
          <t>Hidden Fates</t>
        </is>
      </c>
      <c r="F629" s="80" t="inlineStr">
        <is>
          <t>—</t>
        </is>
      </c>
      <c r="G629" s="80" t="inlineStr">
        <is>
          <t>Sealed</t>
        </is>
      </c>
      <c r="H629" s="80" t="n">
        <v>425</v>
      </c>
      <c r="I629" s="123" t="n">
        <v>46154</v>
      </c>
      <c r="J629" s="80" t="n">
        <v>419.39</v>
      </c>
      <c r="K629" s="80" t="n">
        <v>386.36</v>
      </c>
      <c r="L629" s="80" t="n">
        <v>371.48</v>
      </c>
      <c r="M629" s="80">
        <f>IFERROR((H629-J629)/J629,0)</f>
        <v/>
      </c>
      <c r="N629" s="80">
        <f>IFERROR((H629-K629)/K629,0)</f>
        <v/>
      </c>
      <c r="O629" s="80">
        <f>IFERROR((H629-L629)/L629,0)</f>
        <v/>
      </c>
      <c r="P629" s="80" t="n">
        <v>330</v>
      </c>
      <c r="Q629" s="80" t="n">
        <v>620</v>
      </c>
      <c r="R629" s="80" t="inlineStr">
        <is>
          <t>2-5yr</t>
        </is>
      </c>
      <c r="S629" s="80" t="n">
        <v>4</v>
      </c>
      <c r="U629" s="80">
        <f>MAX(0,MIN(100,50+((M629*0.6)+(N629*0.4))*200))</f>
        <v/>
      </c>
      <c r="V629" s="80">
        <f>MAX(20,MIN(100,50+(P629-H629)/P629*100))</f>
        <v/>
      </c>
      <c r="W629" s="80">
        <f>IFERROR(MAX(0,MIN(100,100-LOG10(T629)*16)),60)</f>
        <v/>
      </c>
      <c r="X629" s="80">
        <f>IF(C629="T2",85,IF(C629="T4",70,IF(C629="T1",65,IF(C629="T3",55,45))))</f>
        <v/>
      </c>
      <c r="Y629" s="80">
        <f>U629*0.55+W629*0.20+V629*0.15+X629*0.10+ROW()/1000000</f>
        <v/>
      </c>
      <c r="Z629" s="80">
        <f>IF(Y629&gt;=75,"STRONG BUY",IF(Y629&gt;=60,"BUY",IF(Y629&gt;=40,"HOLD",IF(Y629&gt;=25,"TRIM","SELL"))))</f>
        <v/>
      </c>
      <c r="AA629" s="80" t="inlineStr">
        <is>
          <t>https://www.pricecharting.com/game/pokemon-hidden-fates/sealed-elite-trainer-box</t>
        </is>
      </c>
      <c r="AB629" s="80" t="inlineStr">
        <is>
          <t>Hidden Fates ETB - OOP since 2020.</t>
        </is>
      </c>
    </row>
    <row r="630">
      <c r="A630" s="80" t="inlineStr">
        <is>
          <t>D110</t>
        </is>
      </c>
      <c r="B630" s="80" t="inlineStr">
        <is>
          <t>Sealed Product</t>
        </is>
      </c>
      <c r="C630" s="80" t="inlineStr">
        <is>
          <t>T2</t>
        </is>
      </c>
      <c r="D630" s="80" t="inlineStr">
        <is>
          <t>Pokemon Hidden Fates Booster Box</t>
        </is>
      </c>
      <c r="E630" s="80" t="inlineStr">
        <is>
          <t>Hidden Fates</t>
        </is>
      </c>
      <c r="F630" s="80" t="inlineStr">
        <is>
          <t>—</t>
        </is>
      </c>
      <c r="G630" s="80" t="inlineStr">
        <is>
          <t>Sealed</t>
        </is>
      </c>
      <c r="H630" s="80" t="n">
        <v>1850</v>
      </c>
      <c r="I630" s="123" t="n">
        <v>46154</v>
      </c>
      <c r="J630" s="80" t="n">
        <v>1835.3</v>
      </c>
      <c r="K630" s="80" t="n">
        <v>1697.25</v>
      </c>
      <c r="L630" s="80" t="n">
        <v>1580.38</v>
      </c>
      <c r="M630" s="80">
        <f>IFERROR((H630-J630)/J630,0)</f>
        <v/>
      </c>
      <c r="N630" s="80">
        <f>IFERROR((H630-K630)/K630,0)</f>
        <v/>
      </c>
      <c r="O630" s="80">
        <f>IFERROR((H630-L630)/L630,0)</f>
        <v/>
      </c>
      <c r="P630" s="80" t="n">
        <v>1450</v>
      </c>
      <c r="Q630" s="80" t="n">
        <v>2700</v>
      </c>
      <c r="R630" s="80" t="inlineStr">
        <is>
          <t>3-5yr</t>
        </is>
      </c>
      <c r="S630" s="80" t="n">
        <v>5</v>
      </c>
      <c r="U630" s="80">
        <f>MAX(0,MIN(100,50+((M630*0.6)+(N630*0.4))*200))</f>
        <v/>
      </c>
      <c r="V630" s="80">
        <f>MAX(20,MIN(100,50+(P630-H630)/P630*100))</f>
        <v/>
      </c>
      <c r="W630" s="80">
        <f>IFERROR(MAX(0,MIN(100,100-LOG10(T630)*16)),60)</f>
        <v/>
      </c>
      <c r="X630" s="80">
        <f>IF(C630="T2",85,IF(C630="T4",70,IF(C630="T1",65,IF(C630="T3",55,45))))</f>
        <v/>
      </c>
      <c r="Y630" s="80">
        <f>U630*0.55+W630*0.20+V630*0.15+X630*0.10+ROW()/1000000</f>
        <v/>
      </c>
      <c r="Z630" s="80">
        <f>IF(Y630&gt;=75,"STRONG BUY",IF(Y630&gt;=60,"BUY",IF(Y630&gt;=40,"HOLD",IF(Y630&gt;=25,"TRIM","SELL"))))</f>
        <v/>
      </c>
      <c r="AA630" s="80" t="inlineStr">
        <is>
          <t>https://www.pricecharting.com/game/pokemon-hidden-fates/sealed-booster-box</t>
        </is>
      </c>
      <c r="AB630" s="80" t="inlineStr">
        <is>
          <t>Hidden Fates Box - high demand.</t>
        </is>
      </c>
    </row>
    <row r="631">
      <c r="A631" s="80" t="inlineStr">
        <is>
          <t>D111</t>
        </is>
      </c>
      <c r="B631" s="80" t="inlineStr">
        <is>
          <t>Sealed Product</t>
        </is>
      </c>
      <c r="C631" s="80" t="inlineStr">
        <is>
          <t>T2</t>
        </is>
      </c>
      <c r="D631" s="80" t="inlineStr">
        <is>
          <t>Pokemon Shining Fates ETB</t>
        </is>
      </c>
      <c r="E631" s="80" t="inlineStr">
        <is>
          <t>Shining Fates</t>
        </is>
      </c>
      <c r="F631" s="80" t="inlineStr">
        <is>
          <t>—</t>
        </is>
      </c>
      <c r="G631" s="80" t="inlineStr">
        <is>
          <t>Sealed</t>
        </is>
      </c>
      <c r="H631" s="80" t="n">
        <v>245</v>
      </c>
      <c r="I631" s="123" t="n">
        <v>46154</v>
      </c>
      <c r="J631" s="80" t="n">
        <v>243.02</v>
      </c>
      <c r="K631" s="80" t="n">
        <v>231.13</v>
      </c>
      <c r="L631" s="80" t="n">
        <v>216.96</v>
      </c>
      <c r="M631" s="80">
        <f>IFERROR((H631-J631)/J631,0)</f>
        <v/>
      </c>
      <c r="N631" s="80">
        <f>IFERROR((H631-K631)/K631,0)</f>
        <v/>
      </c>
      <c r="O631" s="80">
        <f>IFERROR((H631-L631)/L631,0)</f>
        <v/>
      </c>
      <c r="P631" s="80" t="n">
        <v>190</v>
      </c>
      <c r="Q631" s="80" t="n">
        <v>360</v>
      </c>
      <c r="R631" s="80" t="inlineStr">
        <is>
          <t>2-5yr</t>
        </is>
      </c>
      <c r="S631" s="80" t="n">
        <v>4</v>
      </c>
      <c r="U631" s="80">
        <f>MAX(0,MIN(100,50+((M631*0.6)+(N631*0.4))*200))</f>
        <v/>
      </c>
      <c r="V631" s="80">
        <f>MAX(20,MIN(100,50+(P631-H631)/P631*100))</f>
        <v/>
      </c>
      <c r="W631" s="80">
        <f>IFERROR(MAX(0,MIN(100,100-LOG10(T631)*16)),60)</f>
        <v/>
      </c>
      <c r="X631" s="80">
        <f>IF(C631="T2",85,IF(C631="T4",70,IF(C631="T1",65,IF(C631="T3",55,45))))</f>
        <v/>
      </c>
      <c r="Y631" s="80">
        <f>U631*0.55+W631*0.20+V631*0.15+X631*0.10+ROW()/1000000</f>
        <v/>
      </c>
      <c r="Z631" s="80">
        <f>IF(Y631&gt;=75,"STRONG BUY",IF(Y631&gt;=60,"BUY",IF(Y631&gt;=40,"HOLD",IF(Y631&gt;=25,"TRIM","SELL"))))</f>
        <v/>
      </c>
      <c r="AA631" s="80" t="inlineStr">
        <is>
          <t>https://www.pricecharting.com/game/pokemon-shining-fates/sealed-elite-trainer-box</t>
        </is>
      </c>
      <c r="AB631" s="80" t="inlineStr">
        <is>
          <t>Shining Fates ETB.</t>
        </is>
      </c>
    </row>
    <row r="632">
      <c r="A632" s="80" t="inlineStr">
        <is>
          <t>D112</t>
        </is>
      </c>
      <c r="B632" s="80" t="inlineStr">
        <is>
          <t>Sealed Product</t>
        </is>
      </c>
      <c r="C632" s="80" t="inlineStr">
        <is>
          <t>T2</t>
        </is>
      </c>
      <c r="D632" s="80" t="inlineStr">
        <is>
          <t>Pokemon Champion's Path ETB</t>
        </is>
      </c>
      <c r="E632" s="80" t="inlineStr">
        <is>
          <t>Champion's Path</t>
        </is>
      </c>
      <c r="F632" s="80" t="inlineStr">
        <is>
          <t>—</t>
        </is>
      </c>
      <c r="G632" s="80" t="inlineStr">
        <is>
          <t>Sealed</t>
        </is>
      </c>
      <c r="H632" s="80" t="n">
        <v>385</v>
      </c>
      <c r="I632" s="123" t="n">
        <v>46154</v>
      </c>
      <c r="J632" s="80" t="n">
        <v>373.52</v>
      </c>
      <c r="K632" s="80" t="n">
        <v>353.21</v>
      </c>
      <c r="L632" s="80" t="n">
        <v>332.41</v>
      </c>
      <c r="M632" s="80">
        <f>IFERROR((H632-J632)/J632,0)</f>
        <v/>
      </c>
      <c r="N632" s="80">
        <f>IFERROR((H632-K632)/K632,0)</f>
        <v/>
      </c>
      <c r="O632" s="80">
        <f>IFERROR((H632-L632)/L632,0)</f>
        <v/>
      </c>
      <c r="P632" s="80" t="n">
        <v>295</v>
      </c>
      <c r="Q632" s="80" t="n">
        <v>565</v>
      </c>
      <c r="R632" s="80" t="inlineStr">
        <is>
          <t>2-5yr</t>
        </is>
      </c>
      <c r="S632" s="80" t="n">
        <v>4</v>
      </c>
      <c r="U632" s="80">
        <f>MAX(0,MIN(100,50+((M632*0.6)+(N632*0.4))*200))</f>
        <v/>
      </c>
      <c r="V632" s="80">
        <f>MAX(20,MIN(100,50+(P632-H632)/P632*100))</f>
        <v/>
      </c>
      <c r="W632" s="80">
        <f>IFERROR(MAX(0,MIN(100,100-LOG10(T632)*16)),60)</f>
        <v/>
      </c>
      <c r="X632" s="80">
        <f>IF(C632="T2",85,IF(C632="T4",70,IF(C632="T1",65,IF(C632="T3",55,45))))</f>
        <v/>
      </c>
      <c r="Y632" s="80">
        <f>U632*0.55+W632*0.20+V632*0.15+X632*0.10+ROW()/1000000</f>
        <v/>
      </c>
      <c r="Z632" s="80">
        <f>IF(Y632&gt;=75,"STRONG BUY",IF(Y632&gt;=60,"BUY",IF(Y632&gt;=40,"HOLD",IF(Y632&gt;=25,"TRIM","SELL"))))</f>
        <v/>
      </c>
      <c r="AA632" s="80" t="inlineStr">
        <is>
          <t>https://www.pricecharting.com/game/pokemon-champions-path/sealed-elite-trainer-box</t>
        </is>
      </c>
      <c r="AB632" s="80" t="inlineStr">
        <is>
          <t>Champion's Path ETB - OOP.</t>
        </is>
      </c>
    </row>
    <row r="633">
      <c r="A633" s="80" t="inlineStr">
        <is>
          <t>D113</t>
        </is>
      </c>
      <c r="B633" s="80" t="inlineStr">
        <is>
          <t>Sealed Product</t>
        </is>
      </c>
      <c r="C633" s="80" t="inlineStr">
        <is>
          <t>T2</t>
        </is>
      </c>
      <c r="D633" s="80" t="inlineStr">
        <is>
          <t>Pokemon Crown Zenith ETB</t>
        </is>
      </c>
      <c r="E633" s="80" t="inlineStr">
        <is>
          <t>Crown Zenith</t>
        </is>
      </c>
      <c r="F633" s="80" t="inlineStr">
        <is>
          <t>—</t>
        </is>
      </c>
      <c r="G633" s="80" t="inlineStr">
        <is>
          <t>Sealed</t>
        </is>
      </c>
      <c r="H633" s="80" t="n">
        <v>145</v>
      </c>
      <c r="I633" s="123" t="n">
        <v>46154</v>
      </c>
      <c r="J633" s="80" t="n">
        <v>143.02</v>
      </c>
      <c r="K633" s="80" t="n">
        <v>138.1</v>
      </c>
      <c r="L633" s="80" t="n">
        <v>132.05</v>
      </c>
      <c r="M633" s="80">
        <f>IFERROR((H633-J633)/J633,0)</f>
        <v/>
      </c>
      <c r="N633" s="80">
        <f>IFERROR((H633-K633)/K633,0)</f>
        <v/>
      </c>
      <c r="O633" s="80">
        <f>IFERROR((H633-L633)/L633,0)</f>
        <v/>
      </c>
      <c r="P633" s="80" t="n">
        <v>110</v>
      </c>
      <c r="Q633" s="80" t="n">
        <v>215</v>
      </c>
      <c r="R633" s="80" t="inlineStr">
        <is>
          <t>2-4yr</t>
        </is>
      </c>
      <c r="S633" s="80" t="n">
        <v>4</v>
      </c>
      <c r="U633" s="80">
        <f>MAX(0,MIN(100,50+((M633*0.6)+(N633*0.4))*200))</f>
        <v/>
      </c>
      <c r="V633" s="80">
        <f>MAX(20,MIN(100,50+(P633-H633)/P633*100))</f>
        <v/>
      </c>
      <c r="W633" s="80">
        <f>IFERROR(MAX(0,MIN(100,100-LOG10(T633)*16)),60)</f>
        <v/>
      </c>
      <c r="X633" s="80">
        <f>IF(C633="T2",85,IF(C633="T4",70,IF(C633="T1",65,IF(C633="T3",55,45))))</f>
        <v/>
      </c>
      <c r="Y633" s="80">
        <f>U633*0.55+W633*0.20+V633*0.15+X633*0.10+ROW()/1000000</f>
        <v/>
      </c>
      <c r="Z633" s="80">
        <f>IF(Y633&gt;=75,"STRONG BUY",IF(Y633&gt;=60,"BUY",IF(Y633&gt;=40,"HOLD",IF(Y633&gt;=25,"TRIM","SELL"))))</f>
        <v/>
      </c>
      <c r="AA633" s="80" t="inlineStr">
        <is>
          <t>https://www.pricecharting.com/game/pokemon-crown-zenith/sealed-elite-trainer-box</t>
        </is>
      </c>
      <c r="AB633" s="80" t="inlineStr">
        <is>
          <t>Crown Zenith ETB.</t>
        </is>
      </c>
    </row>
    <row r="634">
      <c r="A634" s="80" t="inlineStr">
        <is>
          <t>D114</t>
        </is>
      </c>
      <c r="B634" s="80" t="inlineStr">
        <is>
          <t>Sealed Product</t>
        </is>
      </c>
      <c r="C634" s="80" t="inlineStr">
        <is>
          <t>T2</t>
        </is>
      </c>
      <c r="D634" s="80" t="inlineStr">
        <is>
          <t>Pokemon Crown Zenith Booster Bundle</t>
        </is>
      </c>
      <c r="E634" s="80" t="inlineStr">
        <is>
          <t>Crown Zenith</t>
        </is>
      </c>
      <c r="F634" s="80" t="inlineStr">
        <is>
          <t>—</t>
        </is>
      </c>
      <c r="G634" s="80" t="inlineStr">
        <is>
          <t>Sealed</t>
        </is>
      </c>
      <c r="H634" s="80" t="n">
        <v>65</v>
      </c>
      <c r="I634" s="123" t="n">
        <v>46154</v>
      </c>
      <c r="J634" s="80" t="n">
        <v>63.72</v>
      </c>
      <c r="K634" s="80" t="n">
        <v>61.32</v>
      </c>
      <c r="L634" s="80" t="n">
        <v>57.92</v>
      </c>
      <c r="M634" s="80">
        <f>IFERROR((H634-J634)/J634,0)</f>
        <v/>
      </c>
      <c r="N634" s="80">
        <f>IFERROR((H634-K634)/K634,0)</f>
        <v/>
      </c>
      <c r="O634" s="80">
        <f>IFERROR((H634-L634)/L634,0)</f>
        <v/>
      </c>
      <c r="P634" s="80" t="n">
        <v>50</v>
      </c>
      <c r="Q634" s="80" t="n">
        <v>95</v>
      </c>
      <c r="R634" s="80" t="inlineStr">
        <is>
          <t>1-3yr</t>
        </is>
      </c>
      <c r="S634" s="80" t="n">
        <v>3</v>
      </c>
      <c r="U634" s="80">
        <f>MAX(0,MIN(100,50+((M634*0.6)+(N634*0.4))*200))</f>
        <v/>
      </c>
      <c r="V634" s="80">
        <f>MAX(20,MIN(100,50+(P634-H634)/P634*100))</f>
        <v/>
      </c>
      <c r="W634" s="80">
        <f>IFERROR(MAX(0,MIN(100,100-LOG10(T634)*16)),60)</f>
        <v/>
      </c>
      <c r="X634" s="80">
        <f>IF(C634="T2",85,IF(C634="T4",70,IF(C634="T1",65,IF(C634="T3",55,45))))</f>
        <v/>
      </c>
      <c r="Y634" s="80">
        <f>U634*0.55+W634*0.20+V634*0.15+X634*0.10+ROW()/1000000</f>
        <v/>
      </c>
      <c r="Z634" s="80">
        <f>IF(Y634&gt;=75,"STRONG BUY",IF(Y634&gt;=60,"BUY",IF(Y634&gt;=40,"HOLD",IF(Y634&gt;=25,"TRIM","SELL"))))</f>
        <v/>
      </c>
      <c r="AA634" s="80" t="inlineStr">
        <is>
          <t>https://www.pricecharting.com/game/pokemon-crown-zenith/sealed-booster-bundle</t>
        </is>
      </c>
      <c r="AB634" s="80" t="inlineStr">
        <is>
          <t>Crown Zenith bundle.</t>
        </is>
      </c>
    </row>
    <row r="635">
      <c r="A635" s="80" t="inlineStr">
        <is>
          <t>D115</t>
        </is>
      </c>
      <c r="B635" s="80" t="inlineStr">
        <is>
          <t>Sealed Product</t>
        </is>
      </c>
      <c r="C635" s="80" t="inlineStr">
        <is>
          <t>T2</t>
        </is>
      </c>
      <c r="D635" s="80" t="inlineStr">
        <is>
          <t>Pokemon 151 ETB</t>
        </is>
      </c>
      <c r="E635" s="80" t="inlineStr">
        <is>
          <t>Pokemon 151</t>
        </is>
      </c>
      <c r="F635" s="80" t="inlineStr">
        <is>
          <t>—</t>
        </is>
      </c>
      <c r="G635" s="80" t="inlineStr">
        <is>
          <t>Sealed</t>
        </is>
      </c>
      <c r="H635" s="80" t="n">
        <v>175</v>
      </c>
      <c r="I635" s="123" t="n">
        <v>46154</v>
      </c>
      <c r="J635" s="80" t="n">
        <v>172.03</v>
      </c>
      <c r="K635" s="80" t="n">
        <v>168.27</v>
      </c>
      <c r="L635" s="80" t="n">
        <v>163.03</v>
      </c>
      <c r="M635" s="80">
        <f>IFERROR((H635-J635)/J635,0)</f>
        <v/>
      </c>
      <c r="N635" s="80">
        <f>IFERROR((H635-K635)/K635,0)</f>
        <v/>
      </c>
      <c r="O635" s="80">
        <f>IFERROR((H635-L635)/L635,0)</f>
        <v/>
      </c>
      <c r="P635" s="80" t="n">
        <v>135</v>
      </c>
      <c r="Q635" s="80" t="n">
        <v>255</v>
      </c>
      <c r="R635" s="80" t="inlineStr">
        <is>
          <t>2-4yr</t>
        </is>
      </c>
      <c r="S635" s="80" t="n">
        <v>4</v>
      </c>
      <c r="U635" s="80">
        <f>MAX(0,MIN(100,50+((M635*0.6)+(N635*0.4))*200))</f>
        <v/>
      </c>
      <c r="V635" s="80">
        <f>MAX(20,MIN(100,50+(P635-H635)/P635*100))</f>
        <v/>
      </c>
      <c r="W635" s="80">
        <f>IFERROR(MAX(0,MIN(100,100-LOG10(T635)*16)),60)</f>
        <v/>
      </c>
      <c r="X635" s="80">
        <f>IF(C635="T2",85,IF(C635="T4",70,IF(C635="T1",65,IF(C635="T3",55,45))))</f>
        <v/>
      </c>
      <c r="Y635" s="80">
        <f>U635*0.55+W635*0.20+V635*0.15+X635*0.10+ROW()/1000000</f>
        <v/>
      </c>
      <c r="Z635" s="80">
        <f>IF(Y635&gt;=75,"STRONG BUY",IF(Y635&gt;=60,"BUY",IF(Y635&gt;=40,"HOLD",IF(Y635&gt;=25,"TRIM","SELL"))))</f>
        <v/>
      </c>
      <c r="AA635" s="80" t="inlineStr">
        <is>
          <t>https://www.pricecharting.com/game/pokemon-151/sealed-elite-trainer-box</t>
        </is>
      </c>
      <c r="AB635" s="80" t="inlineStr">
        <is>
          <t>151 ETB - first reprint stabilized.</t>
        </is>
      </c>
    </row>
    <row r="636">
      <c r="A636" s="80" t="inlineStr">
        <is>
          <t>D116</t>
        </is>
      </c>
      <c r="B636" s="80" t="inlineStr">
        <is>
          <t>Sealed Product</t>
        </is>
      </c>
      <c r="C636" s="80" t="inlineStr">
        <is>
          <t>T2</t>
        </is>
      </c>
      <c r="D636" s="80" t="inlineStr">
        <is>
          <t>Pokemon Prismatic Evolutions ETB</t>
        </is>
      </c>
      <c r="E636" s="80" t="inlineStr">
        <is>
          <t>Prismatic Evolutions</t>
        </is>
      </c>
      <c r="F636" s="80" t="inlineStr">
        <is>
          <t>—</t>
        </is>
      </c>
      <c r="G636" s="80" t="inlineStr">
        <is>
          <t>Sealed</t>
        </is>
      </c>
      <c r="H636" s="80" t="n">
        <v>285</v>
      </c>
      <c r="I636" s="123" t="n">
        <v>46154</v>
      </c>
      <c r="J636" s="80" t="n">
        <v>276.91</v>
      </c>
      <c r="K636" s="80" t="n">
        <v>247.83</v>
      </c>
      <c r="L636" s="80" t="n">
        <v>235.77</v>
      </c>
      <c r="M636" s="80">
        <f>IFERROR((H636-J636)/J636,0)</f>
        <v/>
      </c>
      <c r="N636" s="80">
        <f>IFERROR((H636-K636)/K636,0)</f>
        <v/>
      </c>
      <c r="O636" s="80">
        <f>IFERROR((H636-L636)/L636,0)</f>
        <v/>
      </c>
      <c r="P636" s="80" t="n">
        <v>220</v>
      </c>
      <c r="Q636" s="80" t="n">
        <v>420</v>
      </c>
      <c r="R636" s="80" t="inlineStr">
        <is>
          <t>2-4yr</t>
        </is>
      </c>
      <c r="S636" s="80" t="n">
        <v>5</v>
      </c>
      <c r="U636" s="80">
        <f>MAX(0,MIN(100,50+((M636*0.6)+(N636*0.4))*200))</f>
        <v/>
      </c>
      <c r="V636" s="80">
        <f>MAX(20,MIN(100,50+(P636-H636)/P636*100))</f>
        <v/>
      </c>
      <c r="W636" s="80">
        <f>IFERROR(MAX(0,MIN(100,100-LOG10(T636)*16)),60)</f>
        <v/>
      </c>
      <c r="X636" s="80">
        <f>IF(C636="T2",85,IF(C636="T4",70,IF(C636="T1",65,IF(C636="T3",55,45))))</f>
        <v/>
      </c>
      <c r="Y636" s="80">
        <f>U636*0.55+W636*0.20+V636*0.15+X636*0.10+ROW()/1000000</f>
        <v/>
      </c>
      <c r="Z636" s="80">
        <f>IF(Y636&gt;=75,"STRONG BUY",IF(Y636&gt;=60,"BUY",IF(Y636&gt;=40,"HOLD",IF(Y636&gt;=25,"TRIM","SELL"))))</f>
        <v/>
      </c>
      <c r="AA636" s="80" t="inlineStr">
        <is>
          <t>https://www.pricecharting.com/game/pokemon-prismatic-evolutions/sealed-elite-trainer-box</t>
        </is>
      </c>
      <c r="AB636" s="80" t="inlineStr">
        <is>
          <t>PE ETB - heavy demand.</t>
        </is>
      </c>
    </row>
    <row r="637">
      <c r="A637" s="80" t="inlineStr">
        <is>
          <t>D117</t>
        </is>
      </c>
      <c r="B637" s="80" t="inlineStr">
        <is>
          <t>Sealed Product</t>
        </is>
      </c>
      <c r="C637" s="80" t="inlineStr">
        <is>
          <t>T2</t>
        </is>
      </c>
      <c r="D637" s="80" t="inlineStr">
        <is>
          <t>Pokemon Surging Sparks Booster Box</t>
        </is>
      </c>
      <c r="E637" s="80" t="inlineStr">
        <is>
          <t>Surging Sparks</t>
        </is>
      </c>
      <c r="F637" s="80" t="inlineStr">
        <is>
          <t>—</t>
        </is>
      </c>
      <c r="G637" s="80" t="inlineStr">
        <is>
          <t>Sealed</t>
        </is>
      </c>
      <c r="H637" s="80" t="n">
        <v>285</v>
      </c>
      <c r="I637" s="123" t="n">
        <v>46154</v>
      </c>
      <c r="J637" s="80" t="n">
        <v>279.57</v>
      </c>
      <c r="K637" s="80" t="n">
        <v>268.87</v>
      </c>
      <c r="L637" s="80" t="n">
        <v>246.64</v>
      </c>
      <c r="M637" s="80">
        <f>IFERROR((H637-J637)/J637,0)</f>
        <v/>
      </c>
      <c r="N637" s="80">
        <f>IFERROR((H637-K637)/K637,0)</f>
        <v/>
      </c>
      <c r="O637" s="80">
        <f>IFERROR((H637-L637)/L637,0)</f>
        <v/>
      </c>
      <c r="P637" s="80" t="n">
        <v>220</v>
      </c>
      <c r="Q637" s="80" t="n">
        <v>420</v>
      </c>
      <c r="R637" s="80" t="inlineStr">
        <is>
          <t>1-3yr</t>
        </is>
      </c>
      <c r="S637" s="80" t="n">
        <v>4</v>
      </c>
      <c r="U637" s="80">
        <f>MAX(0,MIN(100,50+((M637*0.6)+(N637*0.4))*200))</f>
        <v/>
      </c>
      <c r="V637" s="80">
        <f>MAX(20,MIN(100,50+(P637-H637)/P637*100))</f>
        <v/>
      </c>
      <c r="W637" s="80">
        <f>IFERROR(MAX(0,MIN(100,100-LOG10(T637)*16)),60)</f>
        <v/>
      </c>
      <c r="X637" s="80">
        <f>IF(C637="T2",85,IF(C637="T4",70,IF(C637="T1",65,IF(C637="T3",55,45))))</f>
        <v/>
      </c>
      <c r="Y637" s="80">
        <f>U637*0.55+W637*0.20+V637*0.15+X637*0.10+ROW()/1000000</f>
        <v/>
      </c>
      <c r="Z637" s="80">
        <f>IF(Y637&gt;=75,"STRONG BUY",IF(Y637&gt;=60,"BUY",IF(Y637&gt;=40,"HOLD",IF(Y637&gt;=25,"TRIM","SELL"))))</f>
        <v/>
      </c>
      <c r="AA637" s="80" t="inlineStr">
        <is>
          <t>https://www.pricecharting.com/game/pokemon-surging-sparks/sealed-booster-box</t>
        </is>
      </c>
      <c r="AB637" s="80" t="inlineStr">
        <is>
          <t>Surging Sparks box.</t>
        </is>
      </c>
    </row>
    <row r="638">
      <c r="A638" s="80" t="inlineStr">
        <is>
          <t>D118</t>
        </is>
      </c>
      <c r="B638" s="80" t="inlineStr">
        <is>
          <t>Sealed Product</t>
        </is>
      </c>
      <c r="C638" s="80" t="inlineStr">
        <is>
          <t>T2</t>
        </is>
      </c>
      <c r="D638" s="80" t="inlineStr">
        <is>
          <t>Pokemon Mega Evolution ME01 Booster Box</t>
        </is>
      </c>
      <c r="E638" s="80" t="inlineStr">
        <is>
          <t>Mega Evolution ME01</t>
        </is>
      </c>
      <c r="F638" s="80" t="inlineStr">
        <is>
          <t>—</t>
        </is>
      </c>
      <c r="G638" s="80" t="inlineStr">
        <is>
          <t>Sealed</t>
        </is>
      </c>
      <c r="H638" s="80" t="n">
        <v>195</v>
      </c>
      <c r="I638" s="123" t="n">
        <v>46154</v>
      </c>
      <c r="J638" s="80" t="n">
        <v>186.41</v>
      </c>
      <c r="K638" s="80" t="n">
        <v>162.5</v>
      </c>
      <c r="L638" s="80" t="n">
        <v>153.43</v>
      </c>
      <c r="M638" s="80">
        <f>IFERROR((H638-J638)/J638,0)</f>
        <v/>
      </c>
      <c r="N638" s="80">
        <f>IFERROR((H638-K638)/K638,0)</f>
        <v/>
      </c>
      <c r="O638" s="80">
        <f>IFERROR((H638-L638)/L638,0)</f>
        <v/>
      </c>
      <c r="P638" s="80" t="n">
        <v>150</v>
      </c>
      <c r="Q638" s="80" t="n">
        <v>285</v>
      </c>
      <c r="R638" s="80" t="inlineStr">
        <is>
          <t>1-3yr</t>
        </is>
      </c>
      <c r="S638" s="80" t="n">
        <v>4</v>
      </c>
      <c r="U638" s="80">
        <f>MAX(0,MIN(100,50+((M638*0.6)+(N638*0.4))*200))</f>
        <v/>
      </c>
      <c r="V638" s="80">
        <f>MAX(20,MIN(100,50+(P638-H638)/P638*100))</f>
        <v/>
      </c>
      <c r="W638" s="80">
        <f>IFERROR(MAX(0,MIN(100,100-LOG10(T638)*16)),60)</f>
        <v/>
      </c>
      <c r="X638" s="80">
        <f>IF(C638="T2",85,IF(C638="T4",70,IF(C638="T1",65,IF(C638="T3",55,45))))</f>
        <v/>
      </c>
      <c r="Y638" s="80">
        <f>U638*0.55+W638*0.20+V638*0.15+X638*0.10+ROW()/1000000</f>
        <v/>
      </c>
      <c r="Z638" s="80">
        <f>IF(Y638&gt;=75,"STRONG BUY",IF(Y638&gt;=60,"BUY",IF(Y638&gt;=40,"HOLD",IF(Y638&gt;=25,"TRIM","SELL"))))</f>
        <v/>
      </c>
      <c r="AA638" s="80" t="inlineStr">
        <is>
          <t>https://www.tcgplayer.com/product/650100</t>
        </is>
      </c>
      <c r="AB638" s="80" t="inlineStr">
        <is>
          <t>ME01 box - just released. Pre-order at MSRP.</t>
        </is>
      </c>
    </row>
    <row r="639">
      <c r="A639" s="80" t="inlineStr">
        <is>
          <t>D119</t>
        </is>
      </c>
      <c r="B639" s="80" t="inlineStr">
        <is>
          <t>Sealed Product</t>
        </is>
      </c>
      <c r="C639" s="80" t="inlineStr">
        <is>
          <t>T2</t>
        </is>
      </c>
      <c r="D639" s="80" t="inlineStr">
        <is>
          <t>Pokemon Mega Evolution ME01 ETB</t>
        </is>
      </c>
      <c r="E639" s="80" t="inlineStr">
        <is>
          <t>Mega Evolution ME01</t>
        </is>
      </c>
      <c r="F639" s="80" t="inlineStr">
        <is>
          <t>—</t>
        </is>
      </c>
      <c r="G639" s="80" t="inlineStr">
        <is>
          <t>Sealed</t>
        </is>
      </c>
      <c r="H639" s="80" t="n">
        <v>75</v>
      </c>
      <c r="I639" s="123" t="n">
        <v>46154</v>
      </c>
      <c r="J639" s="80" t="n">
        <v>71.2</v>
      </c>
      <c r="K639" s="80" t="n">
        <v>63.56</v>
      </c>
      <c r="L639" s="80" t="n">
        <v>58.24</v>
      </c>
      <c r="M639" s="80">
        <f>IFERROR((H639-J639)/J639,0)</f>
        <v/>
      </c>
      <c r="N639" s="80">
        <f>IFERROR((H639-K639)/K639,0)</f>
        <v/>
      </c>
      <c r="O639" s="80">
        <f>IFERROR((H639-L639)/L639,0)</f>
        <v/>
      </c>
      <c r="P639" s="80" t="n">
        <v>58</v>
      </c>
      <c r="Q639" s="80" t="n">
        <v>115</v>
      </c>
      <c r="R639" s="80" t="inlineStr">
        <is>
          <t>1-3yr</t>
        </is>
      </c>
      <c r="S639" s="80" t="n">
        <v>4</v>
      </c>
      <c r="U639" s="80">
        <f>MAX(0,MIN(100,50+((M639*0.6)+(N639*0.4))*200))</f>
        <v/>
      </c>
      <c r="V639" s="80">
        <f>MAX(20,MIN(100,50+(P639-H639)/P639*100))</f>
        <v/>
      </c>
      <c r="W639" s="80">
        <f>IFERROR(MAX(0,MIN(100,100-LOG10(T639)*16)),60)</f>
        <v/>
      </c>
      <c r="X639" s="80">
        <f>IF(C639="T2",85,IF(C639="T4",70,IF(C639="T1",65,IF(C639="T3",55,45))))</f>
        <v/>
      </c>
      <c r="Y639" s="80">
        <f>U639*0.55+W639*0.20+V639*0.15+X639*0.10+ROW()/1000000</f>
        <v/>
      </c>
      <c r="Z639" s="80">
        <f>IF(Y639&gt;=75,"STRONG BUY",IF(Y639&gt;=60,"BUY",IF(Y639&gt;=40,"HOLD",IF(Y639&gt;=25,"TRIM","SELL"))))</f>
        <v/>
      </c>
      <c r="AA639" s="80" t="inlineStr">
        <is>
          <t>https://www.tcgplayer.com/product/650101</t>
        </is>
      </c>
      <c r="AB639" s="80" t="inlineStr">
        <is>
          <t>ME01 ETB.</t>
        </is>
      </c>
    </row>
    <row r="640">
      <c r="A640" s="80" t="inlineStr">
        <is>
          <t>V200</t>
        </is>
      </c>
      <c r="B640" s="80" t="inlineStr">
        <is>
          <t>Modern Chase PSA 10</t>
        </is>
      </c>
      <c r="C640" s="80" t="inlineStr">
        <is>
          <t>T5</t>
        </is>
      </c>
      <c r="D640" s="80" t="inlineStr">
        <is>
          <t>Iono's Pikachu IR</t>
        </is>
      </c>
      <c r="E640" s="80" t="inlineStr">
        <is>
          <t>Journey Together</t>
        </is>
      </c>
      <c r="F640" s="80" t="inlineStr">
        <is>
          <t>163/159</t>
        </is>
      </c>
      <c r="G640" s="80" t="inlineStr">
        <is>
          <t>Raw NM</t>
        </is>
      </c>
      <c r="H640" s="80" t="n">
        <v>12</v>
      </c>
      <c r="I640" s="123" t="n">
        <v>46154</v>
      </c>
      <c r="J640" s="80" t="n">
        <v>11.55</v>
      </c>
      <c r="K640" s="80" t="n">
        <v>10.71</v>
      </c>
      <c r="L640" s="80" t="n">
        <v>10.1</v>
      </c>
      <c r="M640" s="80">
        <f>IFERROR((H640-J640)/J640,0)</f>
        <v/>
      </c>
      <c r="N640" s="80">
        <f>IFERROR((H640-K640)/K640,0)</f>
        <v/>
      </c>
      <c r="O640" s="80">
        <f>IFERROR((H640-L640)/L640,0)</f>
        <v/>
      </c>
      <c r="P640" s="80" t="n">
        <v>9</v>
      </c>
      <c r="Q640" s="80" t="n">
        <v>18</v>
      </c>
      <c r="R640" s="80" t="inlineStr">
        <is>
          <t>1-2yr</t>
        </is>
      </c>
      <c r="S640" s="80" t="n">
        <v>3</v>
      </c>
      <c r="U640" s="80">
        <f>MAX(0,MIN(100,50+((M640*0.6)+(N640*0.4))*200))</f>
        <v/>
      </c>
      <c r="V640" s="80">
        <f>MAX(20,MIN(100,50+(P640-H640)/P640*100))</f>
        <v/>
      </c>
      <c r="W640" s="80">
        <f>IFERROR(MAX(0,MIN(100,100-LOG10(T640)*16)),60)</f>
        <v/>
      </c>
      <c r="X640" s="80">
        <f>IF(C640="T2",85,IF(C640="T4",70,IF(C640="T1",65,IF(C640="T3",55,45))))</f>
        <v/>
      </c>
      <c r="Y640" s="80">
        <f>U640*0.55+W640*0.20+V640*0.15+X640*0.10+ROW()/1000000</f>
        <v/>
      </c>
      <c r="Z640" s="80">
        <f>IF(Y640&gt;=75,"STRONG BUY",IF(Y640&gt;=60,"BUY",IF(Y640&gt;=40,"HOLD",IF(Y640&gt;=25,"TRIM","SELL"))))</f>
        <v/>
      </c>
      <c r="AA640" s="80" t="inlineStr">
        <is>
          <t>https://www.tcgplayer.com/product/645304</t>
        </is>
      </c>
      <c r="AB640" s="80" t="inlineStr">
        <is>
          <t>Iono's Pikachu IR.</t>
        </is>
      </c>
    </row>
    <row r="641">
      <c r="A641" s="80" t="inlineStr">
        <is>
          <t>V201</t>
        </is>
      </c>
      <c r="B641" s="80" t="inlineStr">
        <is>
          <t>Modern Chase PSA 10</t>
        </is>
      </c>
      <c r="C641" s="80" t="inlineStr">
        <is>
          <t>T5</t>
        </is>
      </c>
      <c r="D641" s="80" t="inlineStr">
        <is>
          <t>N's Castform IR</t>
        </is>
      </c>
      <c r="E641" s="80" t="inlineStr">
        <is>
          <t>Journey Together</t>
        </is>
      </c>
      <c r="F641" s="80" t="inlineStr">
        <is>
          <t>169/159</t>
        </is>
      </c>
      <c r="G641" s="80" t="inlineStr">
        <is>
          <t>Raw NM</t>
        </is>
      </c>
      <c r="H641" s="80" t="n">
        <v>4</v>
      </c>
      <c r="I641" s="123" t="n">
        <v>46154</v>
      </c>
      <c r="J641" s="80" t="n">
        <v>3.9</v>
      </c>
      <c r="K641" s="80" t="n">
        <v>3.7</v>
      </c>
      <c r="L641" s="80" t="n">
        <v>3.33</v>
      </c>
      <c r="M641" s="80">
        <f>IFERROR((H641-J641)/J641,0)</f>
        <v/>
      </c>
      <c r="N641" s="80">
        <f>IFERROR((H641-K641)/K641,0)</f>
        <v/>
      </c>
      <c r="O641" s="80">
        <f>IFERROR((H641-L641)/L641,0)</f>
        <v/>
      </c>
      <c r="P641" s="80" t="n">
        <v>3</v>
      </c>
      <c r="Q641" s="80" t="n">
        <v>7</v>
      </c>
      <c r="R641" s="80" t="inlineStr">
        <is>
          <t>1-2yr</t>
        </is>
      </c>
      <c r="S641" s="80" t="n">
        <v>3</v>
      </c>
      <c r="U641" s="80">
        <f>MAX(0,MIN(100,50+((M641*0.6)+(N641*0.4))*200))</f>
        <v/>
      </c>
      <c r="V641" s="80">
        <f>MAX(20,MIN(100,50+(P641-H641)/P641*100))</f>
        <v/>
      </c>
      <c r="W641" s="80">
        <f>IFERROR(MAX(0,MIN(100,100-LOG10(T641)*16)),60)</f>
        <v/>
      </c>
      <c r="X641" s="80">
        <f>IF(C641="T2",85,IF(C641="T4",70,IF(C641="T1",65,IF(C641="T3",55,45))))</f>
        <v/>
      </c>
      <c r="Y641" s="80">
        <f>U641*0.55+W641*0.20+V641*0.15+X641*0.10+ROW()/1000000</f>
        <v/>
      </c>
      <c r="Z641" s="80">
        <f>IF(Y641&gt;=75,"STRONG BUY",IF(Y641&gt;=60,"BUY",IF(Y641&gt;=40,"HOLD",IF(Y641&gt;=25,"TRIM","SELL"))))</f>
        <v/>
      </c>
      <c r="AA641" s="80" t="inlineStr">
        <is>
          <t>https://www.tcgplayer.com/product/645310</t>
        </is>
      </c>
      <c r="AB641" s="80" t="inlineStr">
        <is>
          <t>Cheap N's card.</t>
        </is>
      </c>
    </row>
    <row r="642">
      <c r="A642" s="80" t="inlineStr">
        <is>
          <t>V202</t>
        </is>
      </c>
      <c r="B642" s="80" t="inlineStr">
        <is>
          <t>Modern Chase PSA 10</t>
        </is>
      </c>
      <c r="C642" s="80" t="inlineStr">
        <is>
          <t>T5</t>
        </is>
      </c>
      <c r="D642" s="80" t="inlineStr">
        <is>
          <t>Hilbert's Reshiram</t>
        </is>
      </c>
      <c r="E642" s="80" t="inlineStr">
        <is>
          <t>Journey Together</t>
        </is>
      </c>
      <c r="F642" s="80" t="inlineStr">
        <is>
          <t>175/159</t>
        </is>
      </c>
      <c r="G642" s="80" t="inlineStr">
        <is>
          <t>Raw NM</t>
        </is>
      </c>
      <c r="H642" s="80" t="n">
        <v>8</v>
      </c>
      <c r="I642" s="123" t="n">
        <v>46154</v>
      </c>
      <c r="J642" s="80" t="n">
        <v>7.7</v>
      </c>
      <c r="K642" s="80" t="n">
        <v>7.14</v>
      </c>
      <c r="L642" s="80" t="n">
        <v>6.66</v>
      </c>
      <c r="M642" s="80">
        <f>IFERROR((H642-J642)/J642,0)</f>
        <v/>
      </c>
      <c r="N642" s="80">
        <f>IFERROR((H642-K642)/K642,0)</f>
        <v/>
      </c>
      <c r="O642" s="80">
        <f>IFERROR((H642-L642)/L642,0)</f>
        <v/>
      </c>
      <c r="P642" s="80" t="n">
        <v>6</v>
      </c>
      <c r="Q642" s="80" t="n">
        <v>13</v>
      </c>
      <c r="R642" s="80" t="inlineStr">
        <is>
          <t>1-2yr</t>
        </is>
      </c>
      <c r="S642" s="80" t="n">
        <v>3</v>
      </c>
      <c r="U642" s="80">
        <f>MAX(0,MIN(100,50+((M642*0.6)+(N642*0.4))*200))</f>
        <v/>
      </c>
      <c r="V642" s="80">
        <f>MAX(20,MIN(100,50+(P642-H642)/P642*100))</f>
        <v/>
      </c>
      <c r="W642" s="80">
        <f>IFERROR(MAX(0,MIN(100,100-LOG10(T642)*16)),60)</f>
        <v/>
      </c>
      <c r="X642" s="80">
        <f>IF(C642="T2",85,IF(C642="T4",70,IF(C642="T1",65,IF(C642="T3",55,45))))</f>
        <v/>
      </c>
      <c r="Y642" s="80">
        <f>U642*0.55+W642*0.20+V642*0.15+X642*0.10+ROW()/1000000</f>
        <v/>
      </c>
      <c r="Z642" s="80">
        <f>IF(Y642&gt;=75,"STRONG BUY",IF(Y642&gt;=60,"BUY",IF(Y642&gt;=40,"HOLD",IF(Y642&gt;=25,"TRIM","SELL"))))</f>
        <v/>
      </c>
      <c r="AA642" s="80" t="inlineStr">
        <is>
          <t>https://www.tcgplayer.com/product/645316</t>
        </is>
      </c>
      <c r="AB642" s="80" t="inlineStr">
        <is>
          <t>Hilbert's Reshiram trainer.</t>
        </is>
      </c>
    </row>
    <row r="643">
      <c r="A643" s="80" t="inlineStr">
        <is>
          <t>V203</t>
        </is>
      </c>
      <c r="B643" s="80" t="inlineStr">
        <is>
          <t>Modern Chase PSA 10</t>
        </is>
      </c>
      <c r="C643" s="80" t="inlineStr">
        <is>
          <t>T5</t>
        </is>
      </c>
      <c r="D643" s="80" t="inlineStr">
        <is>
          <t>Iris's Hydreigon IR</t>
        </is>
      </c>
      <c r="E643" s="80" t="inlineStr">
        <is>
          <t>Journey Together</t>
        </is>
      </c>
      <c r="F643" s="80" t="inlineStr">
        <is>
          <t>193/159</t>
        </is>
      </c>
      <c r="G643" s="80" t="inlineStr">
        <is>
          <t>Raw NM</t>
        </is>
      </c>
      <c r="H643" s="80" t="n">
        <v>11</v>
      </c>
      <c r="I643" s="123" t="n">
        <v>46154</v>
      </c>
      <c r="J643" s="80" t="n">
        <v>10.65</v>
      </c>
      <c r="K643" s="80" t="n">
        <v>9.73</v>
      </c>
      <c r="L643" s="80" t="n">
        <v>9.5</v>
      </c>
      <c r="M643" s="80">
        <f>IFERROR((H643-J643)/J643,0)</f>
        <v/>
      </c>
      <c r="N643" s="80">
        <f>IFERROR((H643-K643)/K643,0)</f>
        <v/>
      </c>
      <c r="O643" s="80">
        <f>IFERROR((H643-L643)/L643,0)</f>
        <v/>
      </c>
      <c r="P643" s="80" t="n">
        <v>8</v>
      </c>
      <c r="Q643" s="80" t="n">
        <v>18</v>
      </c>
      <c r="R643" s="80" t="inlineStr">
        <is>
          <t>1-2yr</t>
        </is>
      </c>
      <c r="S643" s="80" t="n">
        <v>3</v>
      </c>
      <c r="U643" s="80">
        <f>MAX(0,MIN(100,50+((M643*0.6)+(N643*0.4))*200))</f>
        <v/>
      </c>
      <c r="V643" s="80">
        <f>MAX(20,MIN(100,50+(P643-H643)/P643*100))</f>
        <v/>
      </c>
      <c r="W643" s="80">
        <f>IFERROR(MAX(0,MIN(100,100-LOG10(T643)*16)),60)</f>
        <v/>
      </c>
      <c r="X643" s="80">
        <f>IF(C643="T2",85,IF(C643="T4",70,IF(C643="T1",65,IF(C643="T3",55,45))))</f>
        <v/>
      </c>
      <c r="Y643" s="80">
        <f>U643*0.55+W643*0.20+V643*0.15+X643*0.10+ROW()/1000000</f>
        <v/>
      </c>
      <c r="Z643" s="80">
        <f>IF(Y643&gt;=75,"STRONG BUY",IF(Y643&gt;=60,"BUY",IF(Y643&gt;=40,"HOLD",IF(Y643&gt;=25,"TRIM","SELL"))))</f>
        <v/>
      </c>
      <c r="AA643" s="80" t="inlineStr">
        <is>
          <t>https://www.tcgplayer.com/product/645334</t>
        </is>
      </c>
      <c r="AB643" s="80" t="inlineStr">
        <is>
          <t>Iris's Hydreigon.</t>
        </is>
      </c>
    </row>
    <row r="644">
      <c r="A644" s="80" t="inlineStr">
        <is>
          <t>V204</t>
        </is>
      </c>
      <c r="B644" s="80" t="inlineStr">
        <is>
          <t>Modern Chase PSA 10</t>
        </is>
      </c>
      <c r="C644" s="80" t="inlineStr">
        <is>
          <t>T5</t>
        </is>
      </c>
      <c r="D644" s="80" t="inlineStr">
        <is>
          <t>Cheren's Watchog IR</t>
        </is>
      </c>
      <c r="E644" s="80" t="inlineStr">
        <is>
          <t>Journey Together</t>
        </is>
      </c>
      <c r="F644" s="80" t="inlineStr">
        <is>
          <t>196/159</t>
        </is>
      </c>
      <c r="G644" s="80" t="inlineStr">
        <is>
          <t>Raw NM</t>
        </is>
      </c>
      <c r="H644" s="80" t="n">
        <v>3</v>
      </c>
      <c r="I644" s="123" t="n">
        <v>46154</v>
      </c>
      <c r="J644" s="80" t="n">
        <v>2.93</v>
      </c>
      <c r="K644" s="80" t="n">
        <v>2.83</v>
      </c>
      <c r="L644" s="80" t="n">
        <v>2.57</v>
      </c>
      <c r="M644" s="80">
        <f>IFERROR((H644-J644)/J644,0)</f>
        <v/>
      </c>
      <c r="N644" s="80">
        <f>IFERROR((H644-K644)/K644,0)</f>
        <v/>
      </c>
      <c r="O644" s="80">
        <f>IFERROR((H644-L644)/L644,0)</f>
        <v/>
      </c>
      <c r="P644" s="80" t="n">
        <v>2</v>
      </c>
      <c r="Q644" s="80" t="n">
        <v>5</v>
      </c>
      <c r="R644" s="80" t="inlineStr">
        <is>
          <t>1-2yr</t>
        </is>
      </c>
      <c r="S644" s="80" t="n">
        <v>3</v>
      </c>
      <c r="U644" s="80">
        <f>MAX(0,MIN(100,50+((M644*0.6)+(N644*0.4))*200))</f>
        <v/>
      </c>
      <c r="V644" s="80">
        <f>MAX(20,MIN(100,50+(P644-H644)/P644*100))</f>
        <v/>
      </c>
      <c r="W644" s="80">
        <f>IFERROR(MAX(0,MIN(100,100-LOG10(T644)*16)),60)</f>
        <v/>
      </c>
      <c r="X644" s="80">
        <f>IF(C644="T2",85,IF(C644="T4",70,IF(C644="T1",65,IF(C644="T3",55,45))))</f>
        <v/>
      </c>
      <c r="Y644" s="80">
        <f>U644*0.55+W644*0.20+V644*0.15+X644*0.10+ROW()/1000000</f>
        <v/>
      </c>
      <c r="Z644" s="80">
        <f>IF(Y644&gt;=75,"STRONG BUY",IF(Y644&gt;=60,"BUY",IF(Y644&gt;=40,"HOLD",IF(Y644&gt;=25,"TRIM","SELL"))))</f>
        <v/>
      </c>
      <c r="AA644" s="80" t="inlineStr">
        <is>
          <t>https://www.tcgplayer.com/product/645337</t>
        </is>
      </c>
      <c r="AB644" s="80" t="inlineStr">
        <is>
          <t>Penny stock volume play.</t>
        </is>
      </c>
    </row>
    <row r="645">
      <c r="A645" s="80" t="inlineStr">
        <is>
          <t>V205</t>
        </is>
      </c>
      <c r="B645" s="80" t="inlineStr">
        <is>
          <t>Modern Chase PSA 10</t>
        </is>
      </c>
      <c r="C645" s="80" t="inlineStr">
        <is>
          <t>T5</t>
        </is>
      </c>
      <c r="D645" s="80" t="inlineStr">
        <is>
          <t>Latios ex SIR (raw)</t>
        </is>
      </c>
      <c r="E645" s="80" t="inlineStr">
        <is>
          <t>Temporal Forces</t>
        </is>
      </c>
      <c r="F645" s="80" t="inlineStr">
        <is>
          <t>207/162</t>
        </is>
      </c>
      <c r="G645" s="80" t="inlineStr">
        <is>
          <t>Raw NM</t>
        </is>
      </c>
      <c r="H645" s="80" t="n">
        <v>14</v>
      </c>
      <c r="I645" s="123" t="n">
        <v>46154</v>
      </c>
      <c r="J645" s="80" t="n">
        <v>13.77</v>
      </c>
      <c r="K645" s="80" t="n">
        <v>12.73</v>
      </c>
      <c r="L645" s="80" t="n">
        <v>12.26</v>
      </c>
      <c r="M645" s="80">
        <f>IFERROR((H645-J645)/J645,0)</f>
        <v/>
      </c>
      <c r="N645" s="80">
        <f>IFERROR((H645-K645)/K645,0)</f>
        <v/>
      </c>
      <c r="O645" s="80">
        <f>IFERROR((H645-L645)/L645,0)</f>
        <v/>
      </c>
      <c r="P645" s="80" t="n">
        <v>11</v>
      </c>
      <c r="Q645" s="80" t="n">
        <v>22</v>
      </c>
      <c r="R645" s="80" t="inlineStr">
        <is>
          <t>1-2yr</t>
        </is>
      </c>
      <c r="S645" s="80" t="n">
        <v>3</v>
      </c>
      <c r="U645" s="80">
        <f>MAX(0,MIN(100,50+((M645*0.6)+(N645*0.4))*200))</f>
        <v/>
      </c>
      <c r="V645" s="80">
        <f>MAX(20,MIN(100,50+(P645-H645)/P645*100))</f>
        <v/>
      </c>
      <c r="W645" s="80">
        <f>IFERROR(MAX(0,MIN(100,100-LOG10(T645)*16)),60)</f>
        <v/>
      </c>
      <c r="X645" s="80">
        <f>IF(C645="T2",85,IF(C645="T4",70,IF(C645="T1",65,IF(C645="T3",55,45))))</f>
        <v/>
      </c>
      <c r="Y645" s="80">
        <f>U645*0.55+W645*0.20+V645*0.15+X645*0.10+ROW()/1000000</f>
        <v/>
      </c>
      <c r="Z645" s="80">
        <f>IF(Y645&gt;=75,"STRONG BUY",IF(Y645&gt;=60,"BUY",IF(Y645&gt;=40,"HOLD",IF(Y645&gt;=25,"TRIM","SELL"))))</f>
        <v/>
      </c>
      <c r="AA645" s="80" t="inlineStr">
        <is>
          <t>https://www.tcgplayer.com/product/536201</t>
        </is>
      </c>
      <c r="AB645" s="80" t="inlineStr">
        <is>
          <t>Latios ex SIR raw cheap entry.</t>
        </is>
      </c>
    </row>
    <row r="646">
      <c r="A646" s="80" t="inlineStr">
        <is>
          <t>V206</t>
        </is>
      </c>
      <c r="B646" s="80" t="inlineStr">
        <is>
          <t>Modern Chase PSA 10</t>
        </is>
      </c>
      <c r="C646" s="80" t="inlineStr">
        <is>
          <t>T5</t>
        </is>
      </c>
      <c r="D646" s="80" t="inlineStr">
        <is>
          <t>Latias ex SIR (raw)</t>
        </is>
      </c>
      <c r="E646" s="80" t="inlineStr">
        <is>
          <t>Temporal Forces</t>
        </is>
      </c>
      <c r="F646" s="80" t="inlineStr">
        <is>
          <t>208/162</t>
        </is>
      </c>
      <c r="G646" s="80" t="inlineStr">
        <is>
          <t>Raw NM</t>
        </is>
      </c>
      <c r="H646" s="80" t="n">
        <v>12</v>
      </c>
      <c r="I646" s="123" t="n">
        <v>46154</v>
      </c>
      <c r="J646" s="80" t="n">
        <v>11.61</v>
      </c>
      <c r="K646" s="80" t="n">
        <v>11.01</v>
      </c>
      <c r="L646" s="80" t="n">
        <v>9.960000000000001</v>
      </c>
      <c r="M646" s="80">
        <f>IFERROR((H646-J646)/J646,0)</f>
        <v/>
      </c>
      <c r="N646" s="80">
        <f>IFERROR((H646-K646)/K646,0)</f>
        <v/>
      </c>
      <c r="O646" s="80">
        <f>IFERROR((H646-L646)/L646,0)</f>
        <v/>
      </c>
      <c r="P646" s="80" t="n">
        <v>9</v>
      </c>
      <c r="Q646" s="80" t="n">
        <v>19</v>
      </c>
      <c r="R646" s="80" t="inlineStr">
        <is>
          <t>1-2yr</t>
        </is>
      </c>
      <c r="S646" s="80" t="n">
        <v>3</v>
      </c>
      <c r="U646" s="80">
        <f>MAX(0,MIN(100,50+((M646*0.6)+(N646*0.4))*200))</f>
        <v/>
      </c>
      <c r="V646" s="80">
        <f>MAX(20,MIN(100,50+(P646-H646)/P646*100))</f>
        <v/>
      </c>
      <c r="W646" s="80">
        <f>IFERROR(MAX(0,MIN(100,100-LOG10(T646)*16)),60)</f>
        <v/>
      </c>
      <c r="X646" s="80">
        <f>IF(C646="T2",85,IF(C646="T4",70,IF(C646="T1",65,IF(C646="T3",55,45))))</f>
        <v/>
      </c>
      <c r="Y646" s="80">
        <f>U646*0.55+W646*0.20+V646*0.15+X646*0.10+ROW()/1000000</f>
        <v/>
      </c>
      <c r="Z646" s="80">
        <f>IF(Y646&gt;=75,"STRONG BUY",IF(Y646&gt;=60,"BUY",IF(Y646&gt;=40,"HOLD",IF(Y646&gt;=25,"TRIM","SELL"))))</f>
        <v/>
      </c>
      <c r="AA646" s="80" t="inlineStr">
        <is>
          <t>https://www.tcgplayer.com/product/536202</t>
        </is>
      </c>
      <c r="AB646" s="80" t="inlineStr">
        <is>
          <t>Latias ex SIR raw.</t>
        </is>
      </c>
    </row>
    <row r="647">
      <c r="A647" s="80" t="inlineStr">
        <is>
          <t>V207</t>
        </is>
      </c>
      <c r="B647" s="80" t="inlineStr">
        <is>
          <t>Modern Chase PSA 10</t>
        </is>
      </c>
      <c r="C647" s="80" t="inlineStr">
        <is>
          <t>T5</t>
        </is>
      </c>
      <c r="D647" s="80" t="inlineStr">
        <is>
          <t>Iron Hands ex SIR (raw)</t>
        </is>
      </c>
      <c r="E647" s="80" t="inlineStr">
        <is>
          <t>Paradox Rift</t>
        </is>
      </c>
      <c r="F647" s="80" t="inlineStr">
        <is>
          <t>265/182</t>
        </is>
      </c>
      <c r="G647" s="80" t="inlineStr">
        <is>
          <t>Raw NM</t>
        </is>
      </c>
      <c r="H647" s="80" t="n">
        <v>8</v>
      </c>
      <c r="I647" s="123" t="n">
        <v>46154</v>
      </c>
      <c r="J647" s="80" t="n">
        <v>7.86</v>
      </c>
      <c r="K647" s="80" t="n">
        <v>7.41</v>
      </c>
      <c r="L647" s="80" t="n">
        <v>6.83</v>
      </c>
      <c r="M647" s="80">
        <f>IFERROR((H647-J647)/J647,0)</f>
        <v/>
      </c>
      <c r="N647" s="80">
        <f>IFERROR((H647-K647)/K647,0)</f>
        <v/>
      </c>
      <c r="O647" s="80">
        <f>IFERROR((H647-L647)/L647,0)</f>
        <v/>
      </c>
      <c r="P647" s="80" t="n">
        <v>6</v>
      </c>
      <c r="Q647" s="80" t="n">
        <v>13</v>
      </c>
      <c r="R647" s="80" t="inlineStr">
        <is>
          <t>1-2yr</t>
        </is>
      </c>
      <c r="S647" s="80" t="n">
        <v>3</v>
      </c>
      <c r="U647" s="80">
        <f>MAX(0,MIN(100,50+((M647*0.6)+(N647*0.4))*200))</f>
        <v/>
      </c>
      <c r="V647" s="80">
        <f>MAX(20,MIN(100,50+(P647-H647)/P647*100))</f>
        <v/>
      </c>
      <c r="W647" s="80">
        <f>IFERROR(MAX(0,MIN(100,100-LOG10(T647)*16)),60)</f>
        <v/>
      </c>
      <c r="X647" s="80">
        <f>IF(C647="T2",85,IF(C647="T4",70,IF(C647="T1",65,IF(C647="T3",55,45))))</f>
        <v/>
      </c>
      <c r="Y647" s="80">
        <f>U647*0.55+W647*0.20+V647*0.15+X647*0.10+ROW()/1000000</f>
        <v/>
      </c>
      <c r="Z647" s="80">
        <f>IF(Y647&gt;=75,"STRONG BUY",IF(Y647&gt;=60,"BUY",IF(Y647&gt;=40,"HOLD",IF(Y647&gt;=25,"TRIM","SELL"))))</f>
        <v/>
      </c>
      <c r="AA647" s="80" t="inlineStr">
        <is>
          <t>https://www.tcgplayer.com/product/494801</t>
        </is>
      </c>
      <c r="AB647" s="80" t="inlineStr">
        <is>
          <t>Iron Hands SIR raw.</t>
        </is>
      </c>
    </row>
    <row r="648">
      <c r="A648" s="80" t="inlineStr">
        <is>
          <t>V208</t>
        </is>
      </c>
      <c r="B648" s="80" t="inlineStr">
        <is>
          <t>Modern Chase PSA 10</t>
        </is>
      </c>
      <c r="C648" s="80" t="inlineStr">
        <is>
          <t>T5</t>
        </is>
      </c>
      <c r="D648" s="80" t="inlineStr">
        <is>
          <t>Gholdengo ex SIR (raw)</t>
        </is>
      </c>
      <c r="E648" s="80" t="inlineStr">
        <is>
          <t>Paradox Rift</t>
        </is>
      </c>
      <c r="F648" s="80" t="inlineStr">
        <is>
          <t>267/182</t>
        </is>
      </c>
      <c r="G648" s="80" t="inlineStr">
        <is>
          <t>Raw NM</t>
        </is>
      </c>
      <c r="H648" s="80" t="n">
        <v>9</v>
      </c>
      <c r="I648" s="123" t="n">
        <v>46154</v>
      </c>
      <c r="J648" s="80" t="n">
        <v>8.949999999999999</v>
      </c>
      <c r="K648" s="80" t="n">
        <v>8.41</v>
      </c>
      <c r="L648" s="80" t="n">
        <v>8.07</v>
      </c>
      <c r="M648" s="80">
        <f>IFERROR((H648-J648)/J648,0)</f>
        <v/>
      </c>
      <c r="N648" s="80">
        <f>IFERROR((H648-K648)/K648,0)</f>
        <v/>
      </c>
      <c r="O648" s="80">
        <f>IFERROR((H648-L648)/L648,0)</f>
        <v/>
      </c>
      <c r="P648" s="80" t="n">
        <v>7</v>
      </c>
      <c r="Q648" s="80" t="n">
        <v>15</v>
      </c>
      <c r="R648" s="80" t="inlineStr">
        <is>
          <t>1-2yr</t>
        </is>
      </c>
      <c r="S648" s="80" t="n">
        <v>3</v>
      </c>
      <c r="U648" s="80">
        <f>MAX(0,MIN(100,50+((M648*0.6)+(N648*0.4))*200))</f>
        <v/>
      </c>
      <c r="V648" s="80">
        <f>MAX(20,MIN(100,50+(P648-H648)/P648*100))</f>
        <v/>
      </c>
      <c r="W648" s="80">
        <f>IFERROR(MAX(0,MIN(100,100-LOG10(T648)*16)),60)</f>
        <v/>
      </c>
      <c r="X648" s="80">
        <f>IF(C648="T2",85,IF(C648="T4",70,IF(C648="T1",65,IF(C648="T3",55,45))))</f>
        <v/>
      </c>
      <c r="Y648" s="80">
        <f>U648*0.55+W648*0.20+V648*0.15+X648*0.10+ROW()/1000000</f>
        <v/>
      </c>
      <c r="Z648" s="80">
        <f>IF(Y648&gt;=75,"STRONG BUY",IF(Y648&gt;=60,"BUY",IF(Y648&gt;=40,"HOLD",IF(Y648&gt;=25,"TRIM","SELL"))))</f>
        <v/>
      </c>
      <c r="AA648" s="80" t="inlineStr">
        <is>
          <t>https://www.tcgplayer.com/product/494803</t>
        </is>
      </c>
      <c r="AB648" s="80" t="inlineStr">
        <is>
          <t>Gholdengo SIR raw.</t>
        </is>
      </c>
    </row>
    <row r="649">
      <c r="A649" s="80" t="inlineStr">
        <is>
          <t>V209</t>
        </is>
      </c>
      <c r="B649" s="80" t="inlineStr">
        <is>
          <t>Modern Chase PSA 10</t>
        </is>
      </c>
      <c r="C649" s="80" t="inlineStr">
        <is>
          <t>T5</t>
        </is>
      </c>
      <c r="D649" s="80" t="inlineStr">
        <is>
          <t>Charizard ex Holo</t>
        </is>
      </c>
      <c r="E649" s="80" t="inlineStr">
        <is>
          <t>Obsidian Flames</t>
        </is>
      </c>
      <c r="F649" s="80" t="inlineStr">
        <is>
          <t>125/197</t>
        </is>
      </c>
      <c r="G649" s="80" t="inlineStr">
        <is>
          <t>Raw NM</t>
        </is>
      </c>
      <c r="H649" s="80" t="n">
        <v>8</v>
      </c>
      <c r="I649" s="123" t="n">
        <v>46154</v>
      </c>
      <c r="J649" s="80" t="n">
        <v>7.88</v>
      </c>
      <c r="K649" s="80" t="n">
        <v>7.55</v>
      </c>
      <c r="L649" s="80" t="n">
        <v>6.84</v>
      </c>
      <c r="M649" s="80">
        <f>IFERROR((H649-J649)/J649,0)</f>
        <v/>
      </c>
      <c r="N649" s="80">
        <f>IFERROR((H649-K649)/K649,0)</f>
        <v/>
      </c>
      <c r="O649" s="80">
        <f>IFERROR((H649-L649)/L649,0)</f>
        <v/>
      </c>
      <c r="P649" s="80" t="n">
        <v>6</v>
      </c>
      <c r="Q649" s="80" t="n">
        <v>13</v>
      </c>
      <c r="R649" s="80" t="inlineStr">
        <is>
          <t>1-2yr</t>
        </is>
      </c>
      <c r="S649" s="80" t="n">
        <v>3</v>
      </c>
      <c r="U649" s="80">
        <f>MAX(0,MIN(100,50+((M649*0.6)+(N649*0.4))*200))</f>
        <v/>
      </c>
      <c r="V649" s="80">
        <f>MAX(20,MIN(100,50+(P649-H649)/P649*100))</f>
        <v/>
      </c>
      <c r="W649" s="80">
        <f>IFERROR(MAX(0,MIN(100,100-LOG10(T649)*16)),60)</f>
        <v/>
      </c>
      <c r="X649" s="80">
        <f>IF(C649="T2",85,IF(C649="T4",70,IF(C649="T1",65,IF(C649="T3",55,45))))</f>
        <v/>
      </c>
      <c r="Y649" s="80">
        <f>U649*0.55+W649*0.20+V649*0.15+X649*0.10+ROW()/1000000</f>
        <v/>
      </c>
      <c r="Z649" s="80">
        <f>IF(Y649&gt;=75,"STRONG BUY",IF(Y649&gt;=60,"BUY",IF(Y649&gt;=40,"HOLD",IF(Y649&gt;=25,"TRIM","SELL"))))</f>
        <v/>
      </c>
      <c r="AA649" s="80" t="inlineStr">
        <is>
          <t>https://www.tcgplayer.com/product/506501</t>
        </is>
      </c>
      <c r="AB649" s="80" t="inlineStr">
        <is>
          <t>OBF Charizard ex regular.</t>
        </is>
      </c>
    </row>
    <row r="650">
      <c r="A650" s="80" t="inlineStr">
        <is>
          <t>V210</t>
        </is>
      </c>
      <c r="B650" s="80" t="inlineStr">
        <is>
          <t>Modern Chase PSA 10</t>
        </is>
      </c>
      <c r="C650" s="80" t="inlineStr">
        <is>
          <t>T5</t>
        </is>
      </c>
      <c r="D650" s="80" t="inlineStr">
        <is>
          <t>Iono Holo Trainer</t>
        </is>
      </c>
      <c r="E650" s="80" t="inlineStr">
        <is>
          <t>Paldea Evolved</t>
        </is>
      </c>
      <c r="F650" s="80" t="inlineStr">
        <is>
          <t>185/193</t>
        </is>
      </c>
      <c r="G650" s="80" t="inlineStr">
        <is>
          <t>Raw NM</t>
        </is>
      </c>
      <c r="H650" s="80" t="n">
        <v>14</v>
      </c>
      <c r="I650" s="123" t="n">
        <v>46154</v>
      </c>
      <c r="J650" s="80" t="n">
        <v>13.52</v>
      </c>
      <c r="K650" s="80" t="n">
        <v>12.73</v>
      </c>
      <c r="L650" s="80" t="n">
        <v>12.21</v>
      </c>
      <c r="M650" s="80">
        <f>IFERROR((H650-J650)/J650,0)</f>
        <v/>
      </c>
      <c r="N650" s="80">
        <f>IFERROR((H650-K650)/K650,0)</f>
        <v/>
      </c>
      <c r="O650" s="80">
        <f>IFERROR((H650-L650)/L650,0)</f>
        <v/>
      </c>
      <c r="P650" s="80" t="n">
        <v>11</v>
      </c>
      <c r="Q650" s="80" t="n">
        <v>22</v>
      </c>
      <c r="R650" s="80" t="inlineStr">
        <is>
          <t>1-2yr</t>
        </is>
      </c>
      <c r="S650" s="80" t="n">
        <v>3</v>
      </c>
      <c r="U650" s="80">
        <f>MAX(0,MIN(100,50+((M650*0.6)+(N650*0.4))*200))</f>
        <v/>
      </c>
      <c r="V650" s="80">
        <f>MAX(20,MIN(100,50+(P650-H650)/P650*100))</f>
        <v/>
      </c>
      <c r="W650" s="80">
        <f>IFERROR(MAX(0,MIN(100,100-LOG10(T650)*16)),60)</f>
        <v/>
      </c>
      <c r="X650" s="80">
        <f>IF(C650="T2",85,IF(C650="T4",70,IF(C650="T1",65,IF(C650="T3",55,45))))</f>
        <v/>
      </c>
      <c r="Y650" s="80">
        <f>U650*0.55+W650*0.20+V650*0.15+X650*0.10+ROW()/1000000</f>
        <v/>
      </c>
      <c r="Z650" s="80">
        <f>IF(Y650&gt;=75,"STRONG BUY",IF(Y650&gt;=60,"BUY",IF(Y650&gt;=40,"HOLD",IF(Y650&gt;=25,"TRIM","SELL"))))</f>
        <v/>
      </c>
      <c r="AA650" s="80" t="inlineStr">
        <is>
          <t>https://www.tcgplayer.com/product/494501</t>
        </is>
      </c>
      <c r="AB650" s="80" t="inlineStr">
        <is>
          <t>Iono regular holo.</t>
        </is>
      </c>
    </row>
    <row r="651">
      <c r="A651" s="80" t="inlineStr">
        <is>
          <t>V211</t>
        </is>
      </c>
      <c r="B651" s="80" t="inlineStr">
        <is>
          <t>Modern Chase PSA 10</t>
        </is>
      </c>
      <c r="C651" s="80" t="inlineStr">
        <is>
          <t>T5</t>
        </is>
      </c>
      <c r="D651" s="80" t="inlineStr">
        <is>
          <t>Geeta Full Art</t>
        </is>
      </c>
      <c r="E651" s="80" t="inlineStr">
        <is>
          <t>Stellar Crown</t>
        </is>
      </c>
      <c r="F651" s="80" t="inlineStr">
        <is>
          <t>157/142</t>
        </is>
      </c>
      <c r="G651" s="80" t="inlineStr">
        <is>
          <t>Raw NM</t>
        </is>
      </c>
      <c r="H651" s="80" t="n">
        <v>7</v>
      </c>
      <c r="I651" s="123" t="n">
        <v>46154</v>
      </c>
      <c r="J651" s="80" t="n">
        <v>6.99</v>
      </c>
      <c r="K651" s="80" t="n">
        <v>6.67</v>
      </c>
      <c r="L651" s="80" t="n">
        <v>6.08</v>
      </c>
      <c r="M651" s="80">
        <f>IFERROR((H651-J651)/J651,0)</f>
        <v/>
      </c>
      <c r="N651" s="80">
        <f>IFERROR((H651-K651)/K651,0)</f>
        <v/>
      </c>
      <c r="O651" s="80">
        <f>IFERROR((H651-L651)/L651,0)</f>
        <v/>
      </c>
      <c r="P651" s="80" t="n">
        <v>5</v>
      </c>
      <c r="Q651" s="80" t="n">
        <v>12</v>
      </c>
      <c r="R651" s="80" t="inlineStr">
        <is>
          <t>1-2yr</t>
        </is>
      </c>
      <c r="S651" s="80" t="n">
        <v>3</v>
      </c>
      <c r="U651" s="80">
        <f>MAX(0,MIN(100,50+((M651*0.6)+(N651*0.4))*200))</f>
        <v/>
      </c>
      <c r="V651" s="80">
        <f>MAX(20,MIN(100,50+(P651-H651)/P651*100))</f>
        <v/>
      </c>
      <c r="W651" s="80">
        <f>IFERROR(MAX(0,MIN(100,100-LOG10(T651)*16)),60)</f>
        <v/>
      </c>
      <c r="X651" s="80">
        <f>IF(C651="T2",85,IF(C651="T4",70,IF(C651="T1",65,IF(C651="T3",55,45))))</f>
        <v/>
      </c>
      <c r="Y651" s="80">
        <f>U651*0.55+W651*0.20+V651*0.15+X651*0.10+ROW()/1000000</f>
        <v/>
      </c>
      <c r="Z651" s="80">
        <f>IF(Y651&gt;=75,"STRONG BUY",IF(Y651&gt;=60,"BUY",IF(Y651&gt;=40,"HOLD",IF(Y651&gt;=25,"TRIM","SELL"))))</f>
        <v/>
      </c>
      <c r="AA651" s="80" t="inlineStr">
        <is>
          <t>https://www.tcgplayer.com/product/598321</t>
        </is>
      </c>
      <c r="AB651" s="80" t="inlineStr">
        <is>
          <t>Champion Geeta FA.</t>
        </is>
      </c>
    </row>
    <row r="652">
      <c r="A652" s="80" t="inlineStr">
        <is>
          <t>V212</t>
        </is>
      </c>
      <c r="B652" s="80" t="inlineStr">
        <is>
          <t>Modern Chase PSA 10</t>
        </is>
      </c>
      <c r="C652" s="80" t="inlineStr">
        <is>
          <t>T5</t>
        </is>
      </c>
      <c r="D652" s="80" t="inlineStr">
        <is>
          <t>Penny Full Art</t>
        </is>
      </c>
      <c r="E652" s="80" t="inlineStr">
        <is>
          <t>Paradox Rift</t>
        </is>
      </c>
      <c r="F652" s="80" t="inlineStr">
        <is>
          <t>172/182</t>
        </is>
      </c>
      <c r="G652" s="80" t="inlineStr">
        <is>
          <t>Raw NM</t>
        </is>
      </c>
      <c r="H652" s="80" t="n">
        <v>5</v>
      </c>
      <c r="I652" s="123" t="n">
        <v>46154</v>
      </c>
      <c r="J652" s="80" t="n">
        <v>4.94</v>
      </c>
      <c r="K652" s="80" t="n">
        <v>4.76</v>
      </c>
      <c r="L652" s="80" t="n">
        <v>4.62</v>
      </c>
      <c r="M652" s="80">
        <f>IFERROR((H652-J652)/J652,0)</f>
        <v/>
      </c>
      <c r="N652" s="80">
        <f>IFERROR((H652-K652)/K652,0)</f>
        <v/>
      </c>
      <c r="O652" s="80">
        <f>IFERROR((H652-L652)/L652,0)</f>
        <v/>
      </c>
      <c r="P652" s="80" t="n">
        <v>4</v>
      </c>
      <c r="Q652" s="80" t="n">
        <v>9</v>
      </c>
      <c r="R652" s="80" t="inlineStr">
        <is>
          <t>1-2yr</t>
        </is>
      </c>
      <c r="S652" s="80" t="n">
        <v>3</v>
      </c>
      <c r="U652" s="80">
        <f>MAX(0,MIN(100,50+((M652*0.6)+(N652*0.4))*200))</f>
        <v/>
      </c>
      <c r="V652" s="80">
        <f>MAX(20,MIN(100,50+(P652-H652)/P652*100))</f>
        <v/>
      </c>
      <c r="W652" s="80">
        <f>IFERROR(MAX(0,MIN(100,100-LOG10(T652)*16)),60)</f>
        <v/>
      </c>
      <c r="X652" s="80">
        <f>IF(C652="T2",85,IF(C652="T4",70,IF(C652="T1",65,IF(C652="T3",55,45))))</f>
        <v/>
      </c>
      <c r="Y652" s="80">
        <f>U652*0.55+W652*0.20+V652*0.15+X652*0.10+ROW()/1000000</f>
        <v/>
      </c>
      <c r="Z652" s="80">
        <f>IF(Y652&gt;=75,"STRONG BUY",IF(Y652&gt;=60,"BUY",IF(Y652&gt;=40,"HOLD",IF(Y652&gt;=25,"TRIM","SELL"))))</f>
        <v/>
      </c>
      <c r="AA652" s="80" t="inlineStr">
        <is>
          <t>https://www.tcgplayer.com/product/494708</t>
        </is>
      </c>
      <c r="AB652" s="80" t="inlineStr">
        <is>
          <t>Penny FA trainer.</t>
        </is>
      </c>
    </row>
    <row r="653">
      <c r="A653" s="80" t="inlineStr">
        <is>
          <t>V213</t>
        </is>
      </c>
      <c r="B653" s="80" t="inlineStr">
        <is>
          <t>Modern Chase PSA 10</t>
        </is>
      </c>
      <c r="C653" s="80" t="inlineStr">
        <is>
          <t>T5</t>
        </is>
      </c>
      <c r="D653" s="80" t="inlineStr">
        <is>
          <t>Hassel Full Art</t>
        </is>
      </c>
      <c r="E653" s="80" t="inlineStr">
        <is>
          <t>Stellar Crown</t>
        </is>
      </c>
      <c r="F653" s="80" t="inlineStr">
        <is>
          <t>151/142</t>
        </is>
      </c>
      <c r="G653" s="80" t="inlineStr">
        <is>
          <t>Raw NM</t>
        </is>
      </c>
      <c r="H653" s="80" t="n">
        <v>4</v>
      </c>
      <c r="I653" s="123" t="n">
        <v>46154</v>
      </c>
      <c r="J653" s="80" t="n">
        <v>4</v>
      </c>
      <c r="K653" s="80" t="n">
        <v>3.85</v>
      </c>
      <c r="L653" s="80" t="n">
        <v>3.67</v>
      </c>
      <c r="M653" s="80">
        <f>IFERROR((H653-J653)/J653,0)</f>
        <v/>
      </c>
      <c r="N653" s="80">
        <f>IFERROR((H653-K653)/K653,0)</f>
        <v/>
      </c>
      <c r="O653" s="80">
        <f>IFERROR((H653-L653)/L653,0)</f>
        <v/>
      </c>
      <c r="P653" s="80" t="n">
        <v>3</v>
      </c>
      <c r="Q653" s="80" t="n">
        <v>7</v>
      </c>
      <c r="R653" s="80" t="inlineStr">
        <is>
          <t>1-2yr</t>
        </is>
      </c>
      <c r="S653" s="80" t="n">
        <v>3</v>
      </c>
      <c r="U653" s="80">
        <f>MAX(0,MIN(100,50+((M653*0.6)+(N653*0.4))*200))</f>
        <v/>
      </c>
      <c r="V653" s="80">
        <f>MAX(20,MIN(100,50+(P653-H653)/P653*100))</f>
        <v/>
      </c>
      <c r="W653" s="80">
        <f>IFERROR(MAX(0,MIN(100,100-LOG10(T653)*16)),60)</f>
        <v/>
      </c>
      <c r="X653" s="80">
        <f>IF(C653="T2",85,IF(C653="T4",70,IF(C653="T1",65,IF(C653="T3",55,45))))</f>
        <v/>
      </c>
      <c r="Y653" s="80">
        <f>U653*0.55+W653*0.20+V653*0.15+X653*0.10+ROW()/1000000</f>
        <v/>
      </c>
      <c r="Z653" s="80">
        <f>IF(Y653&gt;=75,"STRONG BUY",IF(Y653&gt;=60,"BUY",IF(Y653&gt;=40,"HOLD",IF(Y653&gt;=25,"TRIM","SELL"))))</f>
        <v/>
      </c>
      <c r="AA653" s="80" t="inlineStr">
        <is>
          <t>https://www.tcgplayer.com/product/598315</t>
        </is>
      </c>
      <c r="AB653" s="80" t="inlineStr">
        <is>
          <t>Hassel FA.</t>
        </is>
      </c>
    </row>
    <row r="654">
      <c r="A654" s="80" t="inlineStr">
        <is>
          <t>V214</t>
        </is>
      </c>
      <c r="B654" s="80" t="inlineStr">
        <is>
          <t>Modern Chase PSA 10</t>
        </is>
      </c>
      <c r="C654" s="80" t="inlineStr">
        <is>
          <t>T5</t>
        </is>
      </c>
      <c r="D654" s="80" t="inlineStr">
        <is>
          <t>Atticus Full Art</t>
        </is>
      </c>
      <c r="E654" s="80" t="inlineStr">
        <is>
          <t>Twilight Masquerade</t>
        </is>
      </c>
      <c r="F654" s="80" t="inlineStr">
        <is>
          <t>176/167</t>
        </is>
      </c>
      <c r="G654" s="80" t="inlineStr">
        <is>
          <t>Raw NM</t>
        </is>
      </c>
      <c r="H654" s="80" t="n">
        <v>6</v>
      </c>
      <c r="I654" s="123" t="n">
        <v>46154</v>
      </c>
      <c r="J654" s="80" t="n">
        <v>5.96</v>
      </c>
      <c r="K654" s="80" t="n">
        <v>5.66</v>
      </c>
      <c r="L654" s="80" t="n">
        <v>5.43</v>
      </c>
      <c r="M654" s="80">
        <f>IFERROR((H654-J654)/J654,0)</f>
        <v/>
      </c>
      <c r="N654" s="80">
        <f>IFERROR((H654-K654)/K654,0)</f>
        <v/>
      </c>
      <c r="O654" s="80">
        <f>IFERROR((H654-L654)/L654,0)</f>
        <v/>
      </c>
      <c r="P654" s="80" t="n">
        <v>5</v>
      </c>
      <c r="Q654" s="80" t="n">
        <v>10</v>
      </c>
      <c r="R654" s="80" t="inlineStr">
        <is>
          <t>1-2yr</t>
        </is>
      </c>
      <c r="S654" s="80" t="n">
        <v>3</v>
      </c>
      <c r="U654" s="80">
        <f>MAX(0,MIN(100,50+((M654*0.6)+(N654*0.4))*200))</f>
        <v/>
      </c>
      <c r="V654" s="80">
        <f>MAX(20,MIN(100,50+(P654-H654)/P654*100))</f>
        <v/>
      </c>
      <c r="W654" s="80">
        <f>IFERROR(MAX(0,MIN(100,100-LOG10(T654)*16)),60)</f>
        <v/>
      </c>
      <c r="X654" s="80">
        <f>IF(C654="T2",85,IF(C654="T4",70,IF(C654="T1",65,IF(C654="T3",55,45))))</f>
        <v/>
      </c>
      <c r="Y654" s="80">
        <f>U654*0.55+W654*0.20+V654*0.15+X654*0.10+ROW()/1000000</f>
        <v/>
      </c>
      <c r="Z654" s="80">
        <f>IF(Y654&gt;=75,"STRONG BUY",IF(Y654&gt;=60,"BUY",IF(Y654&gt;=40,"HOLD",IF(Y654&gt;=25,"TRIM","SELL"))))</f>
        <v/>
      </c>
      <c r="AA654" s="80" t="inlineStr">
        <is>
          <t>https://www.tcgplayer.com/product/536107</t>
        </is>
      </c>
      <c r="AB654" s="80" t="inlineStr">
        <is>
          <t>Atticus FA trainer.</t>
        </is>
      </c>
    </row>
    <row r="655">
      <c r="A655" s="80" t="inlineStr">
        <is>
          <t>V215</t>
        </is>
      </c>
      <c r="B655" s="80" t="inlineStr">
        <is>
          <t>Modern Chase PSA 10</t>
        </is>
      </c>
      <c r="C655" s="80" t="inlineStr">
        <is>
          <t>T5</t>
        </is>
      </c>
      <c r="D655" s="80" t="inlineStr">
        <is>
          <t>Carmine Full Art</t>
        </is>
      </c>
      <c r="E655" s="80" t="inlineStr">
        <is>
          <t>Twilight Masquerade</t>
        </is>
      </c>
      <c r="F655" s="80" t="inlineStr">
        <is>
          <t>175/167</t>
        </is>
      </c>
      <c r="G655" s="80" t="inlineStr">
        <is>
          <t>Raw NM</t>
        </is>
      </c>
      <c r="H655" s="80" t="n">
        <v>8</v>
      </c>
      <c r="I655" s="123" t="n">
        <v>46154</v>
      </c>
      <c r="J655" s="80" t="n">
        <v>7.78</v>
      </c>
      <c r="K655" s="80" t="n">
        <v>7.48</v>
      </c>
      <c r="L655" s="80" t="n">
        <v>6.91</v>
      </c>
      <c r="M655" s="80">
        <f>IFERROR((H655-J655)/J655,0)</f>
        <v/>
      </c>
      <c r="N655" s="80">
        <f>IFERROR((H655-K655)/K655,0)</f>
        <v/>
      </c>
      <c r="O655" s="80">
        <f>IFERROR((H655-L655)/L655,0)</f>
        <v/>
      </c>
      <c r="P655" s="80" t="n">
        <v>6</v>
      </c>
      <c r="Q655" s="80" t="n">
        <v>13</v>
      </c>
      <c r="R655" s="80" t="inlineStr">
        <is>
          <t>1-2yr</t>
        </is>
      </c>
      <c r="S655" s="80" t="n">
        <v>3</v>
      </c>
      <c r="U655" s="80">
        <f>MAX(0,MIN(100,50+((M655*0.6)+(N655*0.4))*200))</f>
        <v/>
      </c>
      <c r="V655" s="80">
        <f>MAX(20,MIN(100,50+(P655-H655)/P655*100))</f>
        <v/>
      </c>
      <c r="W655" s="80">
        <f>IFERROR(MAX(0,MIN(100,100-LOG10(T655)*16)),60)</f>
        <v/>
      </c>
      <c r="X655" s="80">
        <f>IF(C655="T2",85,IF(C655="T4",70,IF(C655="T1",65,IF(C655="T3",55,45))))</f>
        <v/>
      </c>
      <c r="Y655" s="80">
        <f>U655*0.55+W655*0.20+V655*0.15+X655*0.10+ROW()/1000000</f>
        <v/>
      </c>
      <c r="Z655" s="80">
        <f>IF(Y655&gt;=75,"STRONG BUY",IF(Y655&gt;=60,"BUY",IF(Y655&gt;=40,"HOLD",IF(Y655&gt;=25,"TRIM","SELL"))))</f>
        <v/>
      </c>
      <c r="AA655" s="80" t="inlineStr">
        <is>
          <t>https://www.tcgplayer.com/product/536106</t>
        </is>
      </c>
      <c r="AB655" s="80" t="inlineStr">
        <is>
          <t>Carmine FA - blueberry academy.</t>
        </is>
      </c>
    </row>
    <row r="656">
      <c r="A656" s="80" t="inlineStr">
        <is>
          <t>V216</t>
        </is>
      </c>
      <c r="B656" s="80" t="inlineStr">
        <is>
          <t>Modern Chase PSA 10</t>
        </is>
      </c>
      <c r="C656" s="80" t="inlineStr">
        <is>
          <t>T5</t>
        </is>
      </c>
      <c r="D656" s="80" t="inlineStr">
        <is>
          <t>Kieran Full Art</t>
        </is>
      </c>
      <c r="E656" s="80" t="inlineStr">
        <is>
          <t>Twilight Masquerade</t>
        </is>
      </c>
      <c r="F656" s="80" t="inlineStr">
        <is>
          <t>177/167</t>
        </is>
      </c>
      <c r="G656" s="80" t="inlineStr">
        <is>
          <t>Raw NM</t>
        </is>
      </c>
      <c r="H656" s="80" t="n">
        <v>7</v>
      </c>
      <c r="I656" s="123" t="n">
        <v>46154</v>
      </c>
      <c r="J656" s="80" t="n">
        <v>6.87</v>
      </c>
      <c r="K656" s="80" t="n">
        <v>6.6</v>
      </c>
      <c r="L656" s="80" t="n">
        <v>6.27</v>
      </c>
      <c r="M656" s="80">
        <f>IFERROR((H656-J656)/J656,0)</f>
        <v/>
      </c>
      <c r="N656" s="80">
        <f>IFERROR((H656-K656)/K656,0)</f>
        <v/>
      </c>
      <c r="O656" s="80">
        <f>IFERROR((H656-L656)/L656,0)</f>
        <v/>
      </c>
      <c r="P656" s="80" t="n">
        <v>5</v>
      </c>
      <c r="Q656" s="80" t="n">
        <v>12</v>
      </c>
      <c r="R656" s="80" t="inlineStr">
        <is>
          <t>1-2yr</t>
        </is>
      </c>
      <c r="S656" s="80" t="n">
        <v>3</v>
      </c>
      <c r="U656" s="80">
        <f>MAX(0,MIN(100,50+((M656*0.6)+(N656*0.4))*200))</f>
        <v/>
      </c>
      <c r="V656" s="80">
        <f>MAX(20,MIN(100,50+(P656-H656)/P656*100))</f>
        <v/>
      </c>
      <c r="W656" s="80">
        <f>IFERROR(MAX(0,MIN(100,100-LOG10(T656)*16)),60)</f>
        <v/>
      </c>
      <c r="X656" s="80">
        <f>IF(C656="T2",85,IF(C656="T4",70,IF(C656="T1",65,IF(C656="T3",55,45))))</f>
        <v/>
      </c>
      <c r="Y656" s="80">
        <f>U656*0.55+W656*0.20+V656*0.15+X656*0.10+ROW()/1000000</f>
        <v/>
      </c>
      <c r="Z656" s="80">
        <f>IF(Y656&gt;=75,"STRONG BUY",IF(Y656&gt;=60,"BUY",IF(Y656&gt;=40,"HOLD",IF(Y656&gt;=25,"TRIM","SELL"))))</f>
        <v/>
      </c>
      <c r="AA656" s="80" t="inlineStr">
        <is>
          <t>https://www.tcgplayer.com/product/536108</t>
        </is>
      </c>
      <c r="AB656" s="80" t="inlineStr">
        <is>
          <t>Kieran FA - Indigo disk.</t>
        </is>
      </c>
    </row>
    <row r="657">
      <c r="A657" s="80" t="inlineStr">
        <is>
          <t>V217</t>
        </is>
      </c>
      <c r="B657" s="80" t="inlineStr">
        <is>
          <t>Modern Chase PSA 10</t>
        </is>
      </c>
      <c r="C657" s="80" t="inlineStr">
        <is>
          <t>T5</t>
        </is>
      </c>
      <c r="D657" s="80" t="inlineStr">
        <is>
          <t>Briar Full Art</t>
        </is>
      </c>
      <c r="E657" s="80" t="inlineStr">
        <is>
          <t>Twilight Masquerade</t>
        </is>
      </c>
      <c r="F657" s="80" t="inlineStr">
        <is>
          <t>172/167</t>
        </is>
      </c>
      <c r="G657" s="80" t="inlineStr">
        <is>
          <t>Raw NM</t>
        </is>
      </c>
      <c r="H657" s="80" t="n">
        <v>9</v>
      </c>
      <c r="I657" s="123" t="n">
        <v>46154</v>
      </c>
      <c r="J657" s="80" t="n">
        <v>8.800000000000001</v>
      </c>
      <c r="K657" s="80" t="n">
        <v>8.33</v>
      </c>
      <c r="L657" s="80" t="n">
        <v>7.86</v>
      </c>
      <c r="M657" s="80">
        <f>IFERROR((H657-J657)/J657,0)</f>
        <v/>
      </c>
      <c r="N657" s="80">
        <f>IFERROR((H657-K657)/K657,0)</f>
        <v/>
      </c>
      <c r="O657" s="80">
        <f>IFERROR((H657-L657)/L657,0)</f>
        <v/>
      </c>
      <c r="P657" s="80" t="n">
        <v>7</v>
      </c>
      <c r="Q657" s="80" t="n">
        <v>15</v>
      </c>
      <c r="R657" s="80" t="inlineStr">
        <is>
          <t>1-2yr</t>
        </is>
      </c>
      <c r="S657" s="80" t="n">
        <v>3</v>
      </c>
      <c r="U657" s="80">
        <f>MAX(0,MIN(100,50+((M657*0.6)+(N657*0.4))*200))</f>
        <v/>
      </c>
      <c r="V657" s="80">
        <f>MAX(20,MIN(100,50+(P657-H657)/P657*100))</f>
        <v/>
      </c>
      <c r="W657" s="80">
        <f>IFERROR(MAX(0,MIN(100,100-LOG10(T657)*16)),60)</f>
        <v/>
      </c>
      <c r="X657" s="80">
        <f>IF(C657="T2",85,IF(C657="T4",70,IF(C657="T1",65,IF(C657="T3",55,45))))</f>
        <v/>
      </c>
      <c r="Y657" s="80">
        <f>U657*0.55+W657*0.20+V657*0.15+X657*0.10+ROW()/1000000</f>
        <v/>
      </c>
      <c r="Z657" s="80">
        <f>IF(Y657&gt;=75,"STRONG BUY",IF(Y657&gt;=60,"BUY",IF(Y657&gt;=40,"HOLD",IF(Y657&gt;=25,"TRIM","SELL"))))</f>
        <v/>
      </c>
      <c r="AA657" s="80" t="inlineStr">
        <is>
          <t>https://www.tcgplayer.com/product/536103</t>
        </is>
      </c>
      <c r="AB657" s="80" t="inlineStr">
        <is>
          <t>Briar FA - rare trainer.</t>
        </is>
      </c>
    </row>
    <row r="658">
      <c r="A658" s="80" t="inlineStr">
        <is>
          <t>V218</t>
        </is>
      </c>
      <c r="B658" s="80" t="inlineStr">
        <is>
          <t>Modern Chase PSA 10</t>
        </is>
      </c>
      <c r="C658" s="80" t="inlineStr">
        <is>
          <t>T5</t>
        </is>
      </c>
      <c r="D658" s="80" t="inlineStr">
        <is>
          <t>Ogerpon ex Teal Mask SIR (raw)</t>
        </is>
      </c>
      <c r="E658" s="80" t="inlineStr">
        <is>
          <t>Twilight Masquerade</t>
        </is>
      </c>
      <c r="F658" s="80" t="inlineStr">
        <is>
          <t>211/167</t>
        </is>
      </c>
      <c r="G658" s="80" t="inlineStr">
        <is>
          <t>Raw NM</t>
        </is>
      </c>
      <c r="H658" s="80" t="n">
        <v>14</v>
      </c>
      <c r="I658" s="123" t="n">
        <v>46154</v>
      </c>
      <c r="J658" s="80" t="n">
        <v>13.71</v>
      </c>
      <c r="K658" s="80" t="n">
        <v>12.96</v>
      </c>
      <c r="L658" s="80" t="n">
        <v>12.03</v>
      </c>
      <c r="M658" s="80">
        <f>IFERROR((H658-J658)/J658,0)</f>
        <v/>
      </c>
      <c r="N658" s="80">
        <f>IFERROR((H658-K658)/K658,0)</f>
        <v/>
      </c>
      <c r="O658" s="80">
        <f>IFERROR((H658-L658)/L658,0)</f>
        <v/>
      </c>
      <c r="P658" s="80" t="n">
        <v>11</v>
      </c>
      <c r="Q658" s="80" t="n">
        <v>22</v>
      </c>
      <c r="R658" s="80" t="inlineStr">
        <is>
          <t>1-2yr</t>
        </is>
      </c>
      <c r="S658" s="80" t="n">
        <v>3</v>
      </c>
      <c r="U658" s="80">
        <f>MAX(0,MIN(100,50+((M658*0.6)+(N658*0.4))*200))</f>
        <v/>
      </c>
      <c r="V658" s="80">
        <f>MAX(20,MIN(100,50+(P658-H658)/P658*100))</f>
        <v/>
      </c>
      <c r="W658" s="80">
        <f>IFERROR(MAX(0,MIN(100,100-LOG10(T658)*16)),60)</f>
        <v/>
      </c>
      <c r="X658" s="80">
        <f>IF(C658="T2",85,IF(C658="T4",70,IF(C658="T1",65,IF(C658="T3",55,45))))</f>
        <v/>
      </c>
      <c r="Y658" s="80">
        <f>U658*0.55+W658*0.20+V658*0.15+X658*0.10+ROW()/1000000</f>
        <v/>
      </c>
      <c r="Z658" s="80">
        <f>IF(Y658&gt;=75,"STRONG BUY",IF(Y658&gt;=60,"BUY",IF(Y658&gt;=40,"HOLD",IF(Y658&gt;=25,"TRIM","SELL"))))</f>
        <v/>
      </c>
      <c r="AA658" s="80" t="inlineStr">
        <is>
          <t>https://www.tcgplayer.com/product/536142</t>
        </is>
      </c>
      <c r="AB658" s="80" t="inlineStr">
        <is>
          <t>Ogerpon Teal Mask SIR raw.</t>
        </is>
      </c>
    </row>
    <row r="659">
      <c r="A659" s="80" t="inlineStr">
        <is>
          <t>V219</t>
        </is>
      </c>
      <c r="B659" s="80" t="inlineStr">
        <is>
          <t>Modern Chase PSA 10</t>
        </is>
      </c>
      <c r="C659" s="80" t="inlineStr">
        <is>
          <t>T5</t>
        </is>
      </c>
      <c r="D659" s="80" t="inlineStr">
        <is>
          <t>Ogerpon ex Hearthflame SIR (raw)</t>
        </is>
      </c>
      <c r="E659" s="80" t="inlineStr">
        <is>
          <t>Twilight Masquerade</t>
        </is>
      </c>
      <c r="F659" s="80" t="inlineStr">
        <is>
          <t>212/167</t>
        </is>
      </c>
      <c r="G659" s="80" t="inlineStr">
        <is>
          <t>Raw NM</t>
        </is>
      </c>
      <c r="H659" s="80" t="n">
        <v>12</v>
      </c>
      <c r="I659" s="123" t="n">
        <v>46154</v>
      </c>
      <c r="J659" s="80" t="n">
        <v>11.65</v>
      </c>
      <c r="K659" s="80" t="n">
        <v>11.21</v>
      </c>
      <c r="L659" s="80" t="n">
        <v>10.38</v>
      </c>
      <c r="M659" s="80">
        <f>IFERROR((H659-J659)/J659,0)</f>
        <v/>
      </c>
      <c r="N659" s="80">
        <f>IFERROR((H659-K659)/K659,0)</f>
        <v/>
      </c>
      <c r="O659" s="80">
        <f>IFERROR((H659-L659)/L659,0)</f>
        <v/>
      </c>
      <c r="P659" s="80" t="n">
        <v>9</v>
      </c>
      <c r="Q659" s="80" t="n">
        <v>19</v>
      </c>
      <c r="R659" s="80" t="inlineStr">
        <is>
          <t>1-2yr</t>
        </is>
      </c>
      <c r="S659" s="80" t="n">
        <v>3</v>
      </c>
      <c r="U659" s="80">
        <f>MAX(0,MIN(100,50+((M659*0.6)+(N659*0.4))*200))</f>
        <v/>
      </c>
      <c r="V659" s="80">
        <f>MAX(20,MIN(100,50+(P659-H659)/P659*100))</f>
        <v/>
      </c>
      <c r="W659" s="80">
        <f>IFERROR(MAX(0,MIN(100,100-LOG10(T659)*16)),60)</f>
        <v/>
      </c>
      <c r="X659" s="80">
        <f>IF(C659="T2",85,IF(C659="T4",70,IF(C659="T1",65,IF(C659="T3",55,45))))</f>
        <v/>
      </c>
      <c r="Y659" s="80">
        <f>U659*0.55+W659*0.20+V659*0.15+X659*0.10+ROW()/1000000</f>
        <v/>
      </c>
      <c r="Z659" s="80">
        <f>IF(Y659&gt;=75,"STRONG BUY",IF(Y659&gt;=60,"BUY",IF(Y659&gt;=40,"HOLD",IF(Y659&gt;=25,"TRIM","SELL"))))</f>
        <v/>
      </c>
      <c r="AA659" s="80" t="inlineStr">
        <is>
          <t>https://www.tcgplayer.com/product/536143</t>
        </is>
      </c>
      <c r="AB659" s="80" t="inlineStr">
        <is>
          <t>Ogerpon Hearthflame SIR.</t>
        </is>
      </c>
    </row>
    <row r="660">
      <c r="A660" s="80" t="inlineStr">
        <is>
          <t>V220</t>
        </is>
      </c>
      <c r="B660" s="80" t="inlineStr">
        <is>
          <t>Modern Chase PSA 10</t>
        </is>
      </c>
      <c r="C660" s="80" t="inlineStr">
        <is>
          <t>T5</t>
        </is>
      </c>
      <c r="D660" s="80" t="inlineStr">
        <is>
          <t>Ogerpon ex Cornerstone SIR (raw)</t>
        </is>
      </c>
      <c r="E660" s="80" t="inlineStr">
        <is>
          <t>Twilight Masquerade</t>
        </is>
      </c>
      <c r="F660" s="80" t="inlineStr">
        <is>
          <t>213/167</t>
        </is>
      </c>
      <c r="G660" s="80" t="inlineStr">
        <is>
          <t>Raw NM</t>
        </is>
      </c>
      <c r="H660" s="80" t="n">
        <v>11</v>
      </c>
      <c r="I660" s="123" t="n">
        <v>46154</v>
      </c>
      <c r="J660" s="80" t="n">
        <v>10.83</v>
      </c>
      <c r="K660" s="80" t="n">
        <v>10.38</v>
      </c>
      <c r="L660" s="80" t="n">
        <v>9.49</v>
      </c>
      <c r="M660" s="80">
        <f>IFERROR((H660-J660)/J660,0)</f>
        <v/>
      </c>
      <c r="N660" s="80">
        <f>IFERROR((H660-K660)/K660,0)</f>
        <v/>
      </c>
      <c r="O660" s="80">
        <f>IFERROR((H660-L660)/L660,0)</f>
        <v/>
      </c>
      <c r="P660" s="80" t="n">
        <v>8</v>
      </c>
      <c r="Q660" s="80" t="n">
        <v>18</v>
      </c>
      <c r="R660" s="80" t="inlineStr">
        <is>
          <t>1-2yr</t>
        </is>
      </c>
      <c r="S660" s="80" t="n">
        <v>3</v>
      </c>
      <c r="U660" s="80">
        <f>MAX(0,MIN(100,50+((M660*0.6)+(N660*0.4))*200))</f>
        <v/>
      </c>
      <c r="V660" s="80">
        <f>MAX(20,MIN(100,50+(P660-H660)/P660*100))</f>
        <v/>
      </c>
      <c r="W660" s="80">
        <f>IFERROR(MAX(0,MIN(100,100-LOG10(T660)*16)),60)</f>
        <v/>
      </c>
      <c r="X660" s="80">
        <f>IF(C660="T2",85,IF(C660="T4",70,IF(C660="T1",65,IF(C660="T3",55,45))))</f>
        <v/>
      </c>
      <c r="Y660" s="80">
        <f>U660*0.55+W660*0.20+V660*0.15+X660*0.10+ROW()/1000000</f>
        <v/>
      </c>
      <c r="Z660" s="80">
        <f>IF(Y660&gt;=75,"STRONG BUY",IF(Y660&gt;=60,"BUY",IF(Y660&gt;=40,"HOLD",IF(Y660&gt;=25,"TRIM","SELL"))))</f>
        <v/>
      </c>
      <c r="AA660" s="80" t="inlineStr">
        <is>
          <t>https://www.tcgplayer.com/product/536144</t>
        </is>
      </c>
      <c r="AB660" s="80" t="inlineStr">
        <is>
          <t>Ogerpon Cornerstone SIR.</t>
        </is>
      </c>
    </row>
    <row r="661">
      <c r="A661" s="80" t="inlineStr">
        <is>
          <t>V250</t>
        </is>
      </c>
      <c r="B661" s="80" t="inlineStr">
        <is>
          <t>Vintage Graded Singles</t>
        </is>
      </c>
      <c r="C661" s="80" t="inlineStr">
        <is>
          <t>T1</t>
        </is>
      </c>
      <c r="D661" s="80" t="inlineStr">
        <is>
          <t>Blastoise</t>
        </is>
      </c>
      <c r="E661" s="80" t="inlineStr">
        <is>
          <t>Base Set Unlimited</t>
        </is>
      </c>
      <c r="F661" s="80" t="inlineStr">
        <is>
          <t>2/102</t>
        </is>
      </c>
      <c r="G661" s="80" t="inlineStr">
        <is>
          <t>PSA 9</t>
        </is>
      </c>
      <c r="H661" s="80" t="n">
        <v>285</v>
      </c>
      <c r="I661" s="123" t="n">
        <v>46154</v>
      </c>
      <c r="J661" s="80" t="n">
        <v>279.62</v>
      </c>
      <c r="K661" s="80" t="n">
        <v>271.43</v>
      </c>
      <c r="L661" s="80" t="n">
        <v>251.52</v>
      </c>
      <c r="M661" s="80">
        <f>IFERROR((H661-J661)/J661,0)</f>
        <v/>
      </c>
      <c r="N661" s="80">
        <f>IFERROR((H661-K661)/K661,0)</f>
        <v/>
      </c>
      <c r="O661" s="80">
        <f>IFERROR((H661-L661)/L661,0)</f>
        <v/>
      </c>
      <c r="P661" s="80" t="n">
        <v>220</v>
      </c>
      <c r="Q661" s="80" t="n">
        <v>420</v>
      </c>
      <c r="R661" s="80" t="inlineStr">
        <is>
          <t>3-7yr</t>
        </is>
      </c>
      <c r="S661" s="80" t="n">
        <v>5</v>
      </c>
      <c r="T661" s="80" t="n">
        <v>2850</v>
      </c>
      <c r="U661" s="80">
        <f>MAX(0,MIN(100,50+((M661*0.6)+(N661*0.4))*200))</f>
        <v/>
      </c>
      <c r="V661" s="80">
        <f>MAX(20,MIN(100,50+(P661-H661)/P661*100))</f>
        <v/>
      </c>
      <c r="W661" s="80">
        <f>IFERROR(MAX(0,MIN(100,100-LOG10(T661)*16)),60)</f>
        <v/>
      </c>
      <c r="X661" s="80">
        <f>IF(C661="T2",85,IF(C661="T4",70,IF(C661="T1",65,IF(C661="T3",55,45))))</f>
        <v/>
      </c>
      <c r="Y661" s="80">
        <f>U661*0.55+W661*0.20+V661*0.15+X661*0.10+ROW()/1000000</f>
        <v/>
      </c>
      <c r="Z661" s="80">
        <f>IF(Y661&gt;=75,"STRONG BUY",IF(Y661&gt;=60,"BUY",IF(Y661&gt;=40,"HOLD",IF(Y661&gt;=25,"TRIM","SELL"))))</f>
        <v/>
      </c>
      <c r="AA661" s="80" t="inlineStr">
        <is>
          <t>https://www.pricecharting.com/game/pokemon-base-set/blastoise-2</t>
        </is>
      </c>
      <c r="AB661" s="80" t="inlineStr">
        <is>
          <t>Base Set Blastoise PSA 9 entry.</t>
        </is>
      </c>
    </row>
    <row r="662">
      <c r="A662" s="80" t="inlineStr">
        <is>
          <t>V251</t>
        </is>
      </c>
      <c r="B662" s="80" t="inlineStr">
        <is>
          <t>Vintage Graded Singles</t>
        </is>
      </c>
      <c r="C662" s="80" t="inlineStr">
        <is>
          <t>T1</t>
        </is>
      </c>
      <c r="D662" s="80" t="inlineStr">
        <is>
          <t>Venusaur</t>
        </is>
      </c>
      <c r="E662" s="80" t="inlineStr">
        <is>
          <t>Base Set Unlimited</t>
        </is>
      </c>
      <c r="F662" s="80" t="inlineStr">
        <is>
          <t>15/102</t>
        </is>
      </c>
      <c r="G662" s="80" t="inlineStr">
        <is>
          <t>PSA 9</t>
        </is>
      </c>
      <c r="H662" s="80" t="n">
        <v>245</v>
      </c>
      <c r="I662" s="123" t="n">
        <v>46154</v>
      </c>
      <c r="J662" s="80" t="n">
        <v>240.39</v>
      </c>
      <c r="K662" s="80" t="n">
        <v>235.58</v>
      </c>
      <c r="L662" s="80" t="n">
        <v>217.69</v>
      </c>
      <c r="M662" s="80">
        <f>IFERROR((H662-J662)/J662,0)</f>
        <v/>
      </c>
      <c r="N662" s="80">
        <f>IFERROR((H662-K662)/K662,0)</f>
        <v/>
      </c>
      <c r="O662" s="80">
        <f>IFERROR((H662-L662)/L662,0)</f>
        <v/>
      </c>
      <c r="P662" s="80" t="n">
        <v>190</v>
      </c>
      <c r="Q662" s="80" t="n">
        <v>360</v>
      </c>
      <c r="R662" s="80" t="inlineStr">
        <is>
          <t>3-7yr</t>
        </is>
      </c>
      <c r="S662" s="80" t="n">
        <v>5</v>
      </c>
      <c r="T662" s="80" t="n">
        <v>2650</v>
      </c>
      <c r="U662" s="80">
        <f>MAX(0,MIN(100,50+((M662*0.6)+(N662*0.4))*200))</f>
        <v/>
      </c>
      <c r="V662" s="80">
        <f>MAX(20,MIN(100,50+(P662-H662)/P662*100))</f>
        <v/>
      </c>
      <c r="W662" s="80">
        <f>IFERROR(MAX(0,MIN(100,100-LOG10(T662)*16)),60)</f>
        <v/>
      </c>
      <c r="X662" s="80">
        <f>IF(C662="T2",85,IF(C662="T4",70,IF(C662="T1",65,IF(C662="T3",55,45))))</f>
        <v/>
      </c>
      <c r="Y662" s="80">
        <f>U662*0.55+W662*0.20+V662*0.15+X662*0.10+ROW()/1000000</f>
        <v/>
      </c>
      <c r="Z662" s="80">
        <f>IF(Y662&gt;=75,"STRONG BUY",IF(Y662&gt;=60,"BUY",IF(Y662&gt;=40,"HOLD",IF(Y662&gt;=25,"TRIM","SELL"))))</f>
        <v/>
      </c>
      <c r="AA662" s="80" t="inlineStr">
        <is>
          <t>https://www.pricecharting.com/game/pokemon-base-set/venusaur-15</t>
        </is>
      </c>
      <c r="AB662" s="80" t="inlineStr">
        <is>
          <t>Base Set Venusaur PSA 9.</t>
        </is>
      </c>
    </row>
    <row r="663">
      <c r="A663" s="80" t="inlineStr">
        <is>
          <t>V252</t>
        </is>
      </c>
      <c r="B663" s="80" t="inlineStr">
        <is>
          <t>Vintage Graded Singles</t>
        </is>
      </c>
      <c r="C663" s="80" t="inlineStr">
        <is>
          <t>T1</t>
        </is>
      </c>
      <c r="D663" s="80" t="inlineStr">
        <is>
          <t>Charizard</t>
        </is>
      </c>
      <c r="E663" s="80" t="inlineStr">
        <is>
          <t>Base Set Unlimited</t>
        </is>
      </c>
      <c r="F663" s="80" t="inlineStr">
        <is>
          <t>4/102</t>
        </is>
      </c>
      <c r="G663" s="80" t="inlineStr">
        <is>
          <t>PSA 9</t>
        </is>
      </c>
      <c r="H663" s="80" t="n">
        <v>1850</v>
      </c>
      <c r="I663" s="123" t="n">
        <v>46154</v>
      </c>
      <c r="J663" s="80" t="n">
        <v>1832.29</v>
      </c>
      <c r="K663" s="80" t="n">
        <v>1745.28</v>
      </c>
      <c r="L663" s="80" t="n">
        <v>1634.44</v>
      </c>
      <c r="M663" s="80">
        <f>IFERROR((H663-J663)/J663,0)</f>
        <v/>
      </c>
      <c r="N663" s="80">
        <f>IFERROR((H663-K663)/K663,0)</f>
        <v/>
      </c>
      <c r="O663" s="80">
        <f>IFERROR((H663-L663)/L663,0)</f>
        <v/>
      </c>
      <c r="P663" s="80" t="n">
        <v>1450</v>
      </c>
      <c r="Q663" s="80" t="n">
        <v>2700</v>
      </c>
      <c r="R663" s="80" t="inlineStr">
        <is>
          <t>5-10yr</t>
        </is>
      </c>
      <c r="S663" s="80" t="n">
        <v>5</v>
      </c>
      <c r="T663" s="80" t="n">
        <v>1850</v>
      </c>
      <c r="U663" s="80">
        <f>MAX(0,MIN(100,50+((M663*0.6)+(N663*0.4))*200))</f>
        <v/>
      </c>
      <c r="V663" s="80">
        <f>MAX(20,MIN(100,50+(P663-H663)/P663*100))</f>
        <v/>
      </c>
      <c r="W663" s="80">
        <f>IFERROR(MAX(0,MIN(100,100-LOG10(T663)*16)),60)</f>
        <v/>
      </c>
      <c r="X663" s="80">
        <f>IF(C663="T2",85,IF(C663="T4",70,IF(C663="T1",65,IF(C663="T3",55,45))))</f>
        <v/>
      </c>
      <c r="Y663" s="80">
        <f>U663*0.55+W663*0.20+V663*0.15+X663*0.10+ROW()/1000000</f>
        <v/>
      </c>
      <c r="Z663" s="80">
        <f>IF(Y663&gt;=75,"STRONG BUY",IF(Y663&gt;=60,"BUY",IF(Y663&gt;=40,"HOLD",IF(Y663&gt;=25,"TRIM","SELL"))))</f>
        <v/>
      </c>
      <c r="AA663" s="80" t="inlineStr">
        <is>
          <t>https://www.pricecharting.com/game/pokemon-base-set/charizard-4</t>
        </is>
      </c>
      <c r="AB663" s="80" t="inlineStr">
        <is>
          <t>Base Set Unlimited Charizard PSA 9.</t>
        </is>
      </c>
    </row>
    <row r="664">
      <c r="A664" s="80" t="inlineStr">
        <is>
          <t>V253</t>
        </is>
      </c>
      <c r="B664" s="80" t="inlineStr">
        <is>
          <t>Vintage Graded Singles</t>
        </is>
      </c>
      <c r="C664" s="80" t="inlineStr">
        <is>
          <t>T1</t>
        </is>
      </c>
      <c r="D664" s="80" t="inlineStr">
        <is>
          <t>Charizard</t>
        </is>
      </c>
      <c r="E664" s="80" t="inlineStr">
        <is>
          <t>Base Set Unlimited</t>
        </is>
      </c>
      <c r="F664" s="80" t="inlineStr">
        <is>
          <t>4/102</t>
        </is>
      </c>
      <c r="G664" s="80" t="inlineStr">
        <is>
          <t>PSA 8</t>
        </is>
      </c>
      <c r="H664" s="80" t="n">
        <v>525</v>
      </c>
      <c r="I664" s="123" t="n">
        <v>46154</v>
      </c>
      <c r="J664" s="80" t="n">
        <v>519.4299999999999</v>
      </c>
      <c r="K664" s="80" t="n">
        <v>504.81</v>
      </c>
      <c r="L664" s="80" t="n">
        <v>456.33</v>
      </c>
      <c r="M664" s="80">
        <f>IFERROR((H664-J664)/J664,0)</f>
        <v/>
      </c>
      <c r="N664" s="80">
        <f>IFERROR((H664-K664)/K664,0)</f>
        <v/>
      </c>
      <c r="O664" s="80">
        <f>IFERROR((H664-L664)/L664,0)</f>
        <v/>
      </c>
      <c r="P664" s="80" t="n">
        <v>405</v>
      </c>
      <c r="Q664" s="80" t="n">
        <v>770</v>
      </c>
      <c r="R664" s="80" t="inlineStr">
        <is>
          <t>3-7yr</t>
        </is>
      </c>
      <c r="S664" s="80" t="n">
        <v>4</v>
      </c>
      <c r="T664" s="80" t="n">
        <v>5450</v>
      </c>
      <c r="U664" s="80">
        <f>MAX(0,MIN(100,50+((M664*0.6)+(N664*0.4))*200))</f>
        <v/>
      </c>
      <c r="V664" s="80">
        <f>MAX(20,MIN(100,50+(P664-H664)/P664*100))</f>
        <v/>
      </c>
      <c r="W664" s="80">
        <f>IFERROR(MAX(0,MIN(100,100-LOG10(T664)*16)),60)</f>
        <v/>
      </c>
      <c r="X664" s="80">
        <f>IF(C664="T2",85,IF(C664="T4",70,IF(C664="T1",65,IF(C664="T3",55,45))))</f>
        <v/>
      </c>
      <c r="Y664" s="80">
        <f>U664*0.55+W664*0.20+V664*0.15+X664*0.10+ROW()/1000000</f>
        <v/>
      </c>
      <c r="Z664" s="80">
        <f>IF(Y664&gt;=75,"STRONG BUY",IF(Y664&gt;=60,"BUY",IF(Y664&gt;=40,"HOLD",IF(Y664&gt;=25,"TRIM","SELL"))))</f>
        <v/>
      </c>
      <c r="AA664" s="80" t="inlineStr">
        <is>
          <t>https://www.pricecharting.com/game/pokemon-base-set/charizard-4</t>
        </is>
      </c>
      <c r="AB664" s="80" t="inlineStr">
        <is>
          <t>Base Set Unlimited Charizard PSA 8.</t>
        </is>
      </c>
    </row>
    <row r="665">
      <c r="A665" s="80" t="inlineStr">
        <is>
          <t>V254</t>
        </is>
      </c>
      <c r="B665" s="80" t="inlineStr">
        <is>
          <t>Vintage Graded Singles</t>
        </is>
      </c>
      <c r="C665" s="80" t="inlineStr">
        <is>
          <t>T1</t>
        </is>
      </c>
      <c r="D665" s="80" t="inlineStr">
        <is>
          <t>Mewtwo</t>
        </is>
      </c>
      <c r="E665" s="80" t="inlineStr">
        <is>
          <t>Base Set Unlimited</t>
        </is>
      </c>
      <c r="F665" s="80" t="inlineStr">
        <is>
          <t>10/102</t>
        </is>
      </c>
      <c r="G665" s="80" t="inlineStr">
        <is>
          <t>PSA 9</t>
        </is>
      </c>
      <c r="H665" s="80" t="n">
        <v>195</v>
      </c>
      <c r="I665" s="123" t="n">
        <v>46154</v>
      </c>
      <c r="J665" s="80" t="n">
        <v>192.71</v>
      </c>
      <c r="K665" s="80" t="n">
        <v>189.32</v>
      </c>
      <c r="L665" s="80" t="n">
        <v>184.29</v>
      </c>
      <c r="M665" s="80">
        <f>IFERROR((H665-J665)/J665,0)</f>
        <v/>
      </c>
      <c r="N665" s="80">
        <f>IFERROR((H665-K665)/K665,0)</f>
        <v/>
      </c>
      <c r="O665" s="80">
        <f>IFERROR((H665-L665)/L665,0)</f>
        <v/>
      </c>
      <c r="P665" s="80" t="n">
        <v>150</v>
      </c>
      <c r="Q665" s="80" t="n">
        <v>285</v>
      </c>
      <c r="R665" s="80" t="inlineStr">
        <is>
          <t>3-7yr</t>
        </is>
      </c>
      <c r="S665" s="80" t="n">
        <v>5</v>
      </c>
      <c r="T665" s="80" t="n">
        <v>3450</v>
      </c>
      <c r="U665" s="80">
        <f>MAX(0,MIN(100,50+((M665*0.6)+(N665*0.4))*200))</f>
        <v/>
      </c>
      <c r="V665" s="80">
        <f>MAX(20,MIN(100,50+(P665-H665)/P665*100))</f>
        <v/>
      </c>
      <c r="W665" s="80">
        <f>IFERROR(MAX(0,MIN(100,100-LOG10(T665)*16)),60)</f>
        <v/>
      </c>
      <c r="X665" s="80">
        <f>IF(C665="T2",85,IF(C665="T4",70,IF(C665="T1",65,IF(C665="T3",55,45))))</f>
        <v/>
      </c>
      <c r="Y665" s="80">
        <f>U665*0.55+W665*0.20+V665*0.15+X665*0.10+ROW()/1000000</f>
        <v/>
      </c>
      <c r="Z665" s="80">
        <f>IF(Y665&gt;=75,"STRONG BUY",IF(Y665&gt;=60,"BUY",IF(Y665&gt;=40,"HOLD",IF(Y665&gt;=25,"TRIM","SELL"))))</f>
        <v/>
      </c>
      <c r="AA665" s="80" t="inlineStr">
        <is>
          <t>https://www.pricecharting.com/game/pokemon-base-set/mewtwo-10</t>
        </is>
      </c>
      <c r="AB665" s="80" t="inlineStr">
        <is>
          <t>Base Set Mewtwo PSA 9.</t>
        </is>
      </c>
    </row>
    <row r="666">
      <c r="A666" s="80" t="inlineStr">
        <is>
          <t>V255</t>
        </is>
      </c>
      <c r="B666" s="80" t="inlineStr">
        <is>
          <t>Vintage Graded Singles</t>
        </is>
      </c>
      <c r="C666" s="80" t="inlineStr">
        <is>
          <t>T2</t>
        </is>
      </c>
      <c r="D666" s="80" t="inlineStr">
        <is>
          <t>Alakazam</t>
        </is>
      </c>
      <c r="E666" s="80" t="inlineStr">
        <is>
          <t>Base Set Unlimited</t>
        </is>
      </c>
      <c r="F666" s="80" t="inlineStr">
        <is>
          <t>1/102</t>
        </is>
      </c>
      <c r="G666" s="80" t="inlineStr">
        <is>
          <t>PSA 9</t>
        </is>
      </c>
      <c r="H666" s="80" t="n">
        <v>145</v>
      </c>
      <c r="I666" s="123" t="n">
        <v>46154</v>
      </c>
      <c r="J666" s="80" t="n">
        <v>142.82</v>
      </c>
      <c r="K666" s="80" t="n">
        <v>139.42</v>
      </c>
      <c r="L666" s="80" t="n">
        <v>136.16</v>
      </c>
      <c r="M666" s="80">
        <f>IFERROR((H666-J666)/J666,0)</f>
        <v/>
      </c>
      <c r="N666" s="80">
        <f>IFERROR((H666-K666)/K666,0)</f>
        <v/>
      </c>
      <c r="O666" s="80">
        <f>IFERROR((H666-L666)/L666,0)</f>
        <v/>
      </c>
      <c r="P666" s="80" t="n">
        <v>110</v>
      </c>
      <c r="Q666" s="80" t="n">
        <v>215</v>
      </c>
      <c r="R666" s="80" t="inlineStr">
        <is>
          <t>3-7yr</t>
        </is>
      </c>
      <c r="S666" s="80" t="n">
        <v>4</v>
      </c>
      <c r="T666" s="80" t="n">
        <v>2850</v>
      </c>
      <c r="U666" s="80">
        <f>MAX(0,MIN(100,50+((M666*0.6)+(N666*0.4))*200))</f>
        <v/>
      </c>
      <c r="V666" s="80">
        <f>MAX(20,MIN(100,50+(P666-H666)/P666*100))</f>
        <v/>
      </c>
      <c r="W666" s="80">
        <f>IFERROR(MAX(0,MIN(100,100-LOG10(T666)*16)),60)</f>
        <v/>
      </c>
      <c r="X666" s="80">
        <f>IF(C666="T2",85,IF(C666="T4",70,IF(C666="T1",65,IF(C666="T3",55,45))))</f>
        <v/>
      </c>
      <c r="Y666" s="80">
        <f>U666*0.55+W666*0.20+V666*0.15+X666*0.10+ROW()/1000000</f>
        <v/>
      </c>
      <c r="Z666" s="80">
        <f>IF(Y666&gt;=75,"STRONG BUY",IF(Y666&gt;=60,"BUY",IF(Y666&gt;=40,"HOLD",IF(Y666&gt;=25,"TRIM","SELL"))))</f>
        <v/>
      </c>
      <c r="AA666" s="80" t="inlineStr">
        <is>
          <t>https://www.pricecharting.com/game/pokemon-base-set/alakazam-1</t>
        </is>
      </c>
      <c r="AB666" s="80" t="inlineStr">
        <is>
          <t>Base Set Alakazam PSA 9.</t>
        </is>
      </c>
    </row>
    <row r="667">
      <c r="A667" s="80" t="inlineStr">
        <is>
          <t>V256</t>
        </is>
      </c>
      <c r="B667" s="80" t="inlineStr">
        <is>
          <t>Vintage Graded Singles</t>
        </is>
      </c>
      <c r="C667" s="80" t="inlineStr">
        <is>
          <t>T2</t>
        </is>
      </c>
      <c r="D667" s="80" t="inlineStr">
        <is>
          <t>Gyarados</t>
        </is>
      </c>
      <c r="E667" s="80" t="inlineStr">
        <is>
          <t>Base Set Unlimited</t>
        </is>
      </c>
      <c r="F667" s="80" t="inlineStr">
        <is>
          <t>6/102</t>
        </is>
      </c>
      <c r="G667" s="80" t="inlineStr">
        <is>
          <t>PSA 9</t>
        </is>
      </c>
      <c r="H667" s="80" t="n">
        <v>165</v>
      </c>
      <c r="I667" s="123" t="n">
        <v>46154</v>
      </c>
      <c r="J667" s="80" t="n">
        <v>164.87</v>
      </c>
      <c r="K667" s="80" t="n">
        <v>157.14</v>
      </c>
      <c r="L667" s="80" t="n">
        <v>143.5</v>
      </c>
      <c r="M667" s="80">
        <f>IFERROR((H667-J667)/J667,0)</f>
        <v/>
      </c>
      <c r="N667" s="80">
        <f>IFERROR((H667-K667)/K667,0)</f>
        <v/>
      </c>
      <c r="O667" s="80">
        <f>IFERROR((H667-L667)/L667,0)</f>
        <v/>
      </c>
      <c r="P667" s="80" t="n">
        <v>130</v>
      </c>
      <c r="Q667" s="80" t="n">
        <v>240</v>
      </c>
      <c r="R667" s="80" t="inlineStr">
        <is>
          <t>3-7yr</t>
        </is>
      </c>
      <c r="S667" s="80" t="n">
        <v>4</v>
      </c>
      <c r="T667" s="80" t="n">
        <v>2450</v>
      </c>
      <c r="U667" s="80">
        <f>MAX(0,MIN(100,50+((M667*0.6)+(N667*0.4))*200))</f>
        <v/>
      </c>
      <c r="V667" s="80">
        <f>MAX(20,MIN(100,50+(P667-H667)/P667*100))</f>
        <v/>
      </c>
      <c r="W667" s="80">
        <f>IFERROR(MAX(0,MIN(100,100-LOG10(T667)*16)),60)</f>
        <v/>
      </c>
      <c r="X667" s="80">
        <f>IF(C667="T2",85,IF(C667="T4",70,IF(C667="T1",65,IF(C667="T3",55,45))))</f>
        <v/>
      </c>
      <c r="Y667" s="80">
        <f>U667*0.55+W667*0.20+V667*0.15+X667*0.10+ROW()/1000000</f>
        <v/>
      </c>
      <c r="Z667" s="80">
        <f>IF(Y667&gt;=75,"STRONG BUY",IF(Y667&gt;=60,"BUY",IF(Y667&gt;=40,"HOLD",IF(Y667&gt;=25,"TRIM","SELL"))))</f>
        <v/>
      </c>
      <c r="AA667" s="80" t="inlineStr">
        <is>
          <t>https://www.pricecharting.com/game/pokemon-base-set/gyarados-6</t>
        </is>
      </c>
      <c r="AB667" s="80" t="inlineStr">
        <is>
          <t>Base Set Gyarados PSA 9.</t>
        </is>
      </c>
    </row>
    <row r="668">
      <c r="A668" s="80" t="inlineStr">
        <is>
          <t>V257</t>
        </is>
      </c>
      <c r="B668" s="80" t="inlineStr">
        <is>
          <t>Vintage Graded Singles</t>
        </is>
      </c>
      <c r="C668" s="80" t="inlineStr">
        <is>
          <t>T2</t>
        </is>
      </c>
      <c r="D668" s="80" t="inlineStr">
        <is>
          <t>Ninetales</t>
        </is>
      </c>
      <c r="E668" s="80" t="inlineStr">
        <is>
          <t>Base Set Unlimited</t>
        </is>
      </c>
      <c r="F668" s="80" t="inlineStr">
        <is>
          <t>12/102</t>
        </is>
      </c>
      <c r="G668" s="80" t="inlineStr">
        <is>
          <t>PSA 9</t>
        </is>
      </c>
      <c r="H668" s="80" t="n">
        <v>125</v>
      </c>
      <c r="I668" s="123" t="n">
        <v>46154</v>
      </c>
      <c r="J668" s="80" t="n">
        <v>122.57</v>
      </c>
      <c r="K668" s="80" t="n">
        <v>120.19</v>
      </c>
      <c r="L668" s="80" t="n">
        <v>111.74</v>
      </c>
      <c r="M668" s="80">
        <f>IFERROR((H668-J668)/J668,0)</f>
        <v/>
      </c>
      <c r="N668" s="80">
        <f>IFERROR((H668-K668)/K668,0)</f>
        <v/>
      </c>
      <c r="O668" s="80">
        <f>IFERROR((H668-L668)/L668,0)</f>
        <v/>
      </c>
      <c r="P668" s="80" t="n">
        <v>95</v>
      </c>
      <c r="Q668" s="80" t="n">
        <v>185</v>
      </c>
      <c r="R668" s="80" t="inlineStr">
        <is>
          <t>3-7yr</t>
        </is>
      </c>
      <c r="S668" s="80" t="n">
        <v>4</v>
      </c>
      <c r="T668" s="80" t="n">
        <v>2650</v>
      </c>
      <c r="U668" s="80">
        <f>MAX(0,MIN(100,50+((M668*0.6)+(N668*0.4))*200))</f>
        <v/>
      </c>
      <c r="V668" s="80">
        <f>MAX(20,MIN(100,50+(P668-H668)/P668*100))</f>
        <v/>
      </c>
      <c r="W668" s="80">
        <f>IFERROR(MAX(0,MIN(100,100-LOG10(T668)*16)),60)</f>
        <v/>
      </c>
      <c r="X668" s="80">
        <f>IF(C668="T2",85,IF(C668="T4",70,IF(C668="T1",65,IF(C668="T3",55,45))))</f>
        <v/>
      </c>
      <c r="Y668" s="80">
        <f>U668*0.55+W668*0.20+V668*0.15+X668*0.10+ROW()/1000000</f>
        <v/>
      </c>
      <c r="Z668" s="80">
        <f>IF(Y668&gt;=75,"STRONG BUY",IF(Y668&gt;=60,"BUY",IF(Y668&gt;=40,"HOLD",IF(Y668&gt;=25,"TRIM","SELL"))))</f>
        <v/>
      </c>
      <c r="AA668" s="80" t="inlineStr">
        <is>
          <t>https://www.pricecharting.com/game/pokemon-base-set/ninetales-12</t>
        </is>
      </c>
      <c r="AB668" s="80" t="inlineStr">
        <is>
          <t>Base Set Ninetales PSA 9.</t>
        </is>
      </c>
    </row>
    <row r="669">
      <c r="A669" s="80" t="inlineStr">
        <is>
          <t>V258</t>
        </is>
      </c>
      <c r="B669" s="80" t="inlineStr">
        <is>
          <t>Vintage Graded Singles</t>
        </is>
      </c>
      <c r="C669" s="80" t="inlineStr">
        <is>
          <t>T2</t>
        </is>
      </c>
      <c r="D669" s="80" t="inlineStr">
        <is>
          <t>Zapdos</t>
        </is>
      </c>
      <c r="E669" s="80" t="inlineStr">
        <is>
          <t>Fossil</t>
        </is>
      </c>
      <c r="F669" s="80" t="inlineStr">
        <is>
          <t>15/62</t>
        </is>
      </c>
      <c r="G669" s="80" t="inlineStr">
        <is>
          <t>PSA 9</t>
        </is>
      </c>
      <c r="H669" s="80" t="n">
        <v>185</v>
      </c>
      <c r="I669" s="123" t="n">
        <v>46154</v>
      </c>
      <c r="J669" s="80" t="n">
        <v>180.59</v>
      </c>
      <c r="K669" s="80" t="n">
        <v>174.53</v>
      </c>
      <c r="L669" s="80" t="n">
        <v>159.1</v>
      </c>
      <c r="M669" s="80">
        <f>IFERROR((H669-J669)/J669,0)</f>
        <v/>
      </c>
      <c r="N669" s="80">
        <f>IFERROR((H669-K669)/K669,0)</f>
        <v/>
      </c>
      <c r="O669" s="80">
        <f>IFERROR((H669-L669)/L669,0)</f>
        <v/>
      </c>
      <c r="P669" s="80" t="n">
        <v>145</v>
      </c>
      <c r="Q669" s="80" t="n">
        <v>270</v>
      </c>
      <c r="R669" s="80" t="inlineStr">
        <is>
          <t>3-7yr</t>
        </is>
      </c>
      <c r="S669" s="80" t="n">
        <v>4</v>
      </c>
      <c r="T669" s="80" t="n">
        <v>2150</v>
      </c>
      <c r="U669" s="80">
        <f>MAX(0,MIN(100,50+((M669*0.6)+(N669*0.4))*200))</f>
        <v/>
      </c>
      <c r="V669" s="80">
        <f>MAX(20,MIN(100,50+(P669-H669)/P669*100))</f>
        <v/>
      </c>
      <c r="W669" s="80">
        <f>IFERROR(MAX(0,MIN(100,100-LOG10(T669)*16)),60)</f>
        <v/>
      </c>
      <c r="X669" s="80">
        <f>IF(C669="T2",85,IF(C669="T4",70,IF(C669="T1",65,IF(C669="T3",55,45))))</f>
        <v/>
      </c>
      <c r="Y669" s="80">
        <f>U669*0.55+W669*0.20+V669*0.15+X669*0.10+ROW()/1000000</f>
        <v/>
      </c>
      <c r="Z669" s="80">
        <f>IF(Y669&gt;=75,"STRONG BUY",IF(Y669&gt;=60,"BUY",IF(Y669&gt;=40,"HOLD",IF(Y669&gt;=25,"TRIM","SELL"))))</f>
        <v/>
      </c>
      <c r="AA669" s="80" t="inlineStr">
        <is>
          <t>https://www.pricecharting.com/game/pokemon-fossil/zapdos-15</t>
        </is>
      </c>
      <c r="AB669" s="80" t="inlineStr">
        <is>
          <t>Fossil Zapdos PSA 9.</t>
        </is>
      </c>
    </row>
    <row r="670">
      <c r="A670" s="80" t="inlineStr">
        <is>
          <t>V259</t>
        </is>
      </c>
      <c r="B670" s="80" t="inlineStr">
        <is>
          <t>Vintage Graded Singles</t>
        </is>
      </c>
      <c r="C670" s="80" t="inlineStr">
        <is>
          <t>T2</t>
        </is>
      </c>
      <c r="D670" s="80" t="inlineStr">
        <is>
          <t>Articuno</t>
        </is>
      </c>
      <c r="E670" s="80" t="inlineStr">
        <is>
          <t>Fossil</t>
        </is>
      </c>
      <c r="F670" s="80" t="inlineStr">
        <is>
          <t>2/62</t>
        </is>
      </c>
      <c r="G670" s="80" t="inlineStr">
        <is>
          <t>PSA 9</t>
        </is>
      </c>
      <c r="H670" s="80" t="n">
        <v>165</v>
      </c>
      <c r="I670" s="123" t="n">
        <v>46154</v>
      </c>
      <c r="J670" s="80" t="n">
        <v>162.51</v>
      </c>
      <c r="K670" s="80" t="n">
        <v>157.14</v>
      </c>
      <c r="L670" s="80" t="n">
        <v>153.26</v>
      </c>
      <c r="M670" s="80">
        <f>IFERROR((H670-J670)/J670,0)</f>
        <v/>
      </c>
      <c r="N670" s="80">
        <f>IFERROR((H670-K670)/K670,0)</f>
        <v/>
      </c>
      <c r="O670" s="80">
        <f>IFERROR((H670-L670)/L670,0)</f>
        <v/>
      </c>
      <c r="P670" s="80" t="n">
        <v>130</v>
      </c>
      <c r="Q670" s="80" t="n">
        <v>240</v>
      </c>
      <c r="R670" s="80" t="inlineStr">
        <is>
          <t>3-7yr</t>
        </is>
      </c>
      <c r="S670" s="80" t="n">
        <v>4</v>
      </c>
      <c r="T670" s="80" t="n">
        <v>2350</v>
      </c>
      <c r="U670" s="80">
        <f>MAX(0,MIN(100,50+((M670*0.6)+(N670*0.4))*200))</f>
        <v/>
      </c>
      <c r="V670" s="80">
        <f>MAX(20,MIN(100,50+(P670-H670)/P670*100))</f>
        <v/>
      </c>
      <c r="W670" s="80">
        <f>IFERROR(MAX(0,MIN(100,100-LOG10(T670)*16)),60)</f>
        <v/>
      </c>
      <c r="X670" s="80">
        <f>IF(C670="T2",85,IF(C670="T4",70,IF(C670="T1",65,IF(C670="T3",55,45))))</f>
        <v/>
      </c>
      <c r="Y670" s="80">
        <f>U670*0.55+W670*0.20+V670*0.15+X670*0.10+ROW()/1000000</f>
        <v/>
      </c>
      <c r="Z670" s="80">
        <f>IF(Y670&gt;=75,"STRONG BUY",IF(Y670&gt;=60,"BUY",IF(Y670&gt;=40,"HOLD",IF(Y670&gt;=25,"TRIM","SELL"))))</f>
        <v/>
      </c>
      <c r="AA670" s="80" t="inlineStr">
        <is>
          <t>https://www.pricecharting.com/game/pokemon-fossil/articuno-2</t>
        </is>
      </c>
      <c r="AB670" s="80" t="inlineStr">
        <is>
          <t>Fossil Articuno PSA 9.</t>
        </is>
      </c>
    </row>
    <row r="671">
      <c r="A671" s="80" t="inlineStr">
        <is>
          <t>V260</t>
        </is>
      </c>
      <c r="B671" s="80" t="inlineStr">
        <is>
          <t>Vintage Graded Singles</t>
        </is>
      </c>
      <c r="C671" s="80" t="inlineStr">
        <is>
          <t>T2</t>
        </is>
      </c>
      <c r="D671" s="80" t="inlineStr">
        <is>
          <t>Moltres</t>
        </is>
      </c>
      <c r="E671" s="80" t="inlineStr">
        <is>
          <t>Fossil</t>
        </is>
      </c>
      <c r="F671" s="80" t="inlineStr">
        <is>
          <t>12/62</t>
        </is>
      </c>
      <c r="G671" s="80" t="inlineStr">
        <is>
          <t>PSA 9</t>
        </is>
      </c>
      <c r="H671" s="80" t="n">
        <v>155</v>
      </c>
      <c r="I671" s="123" t="n">
        <v>46154</v>
      </c>
      <c r="J671" s="80" t="n">
        <v>153.69</v>
      </c>
      <c r="K671" s="80" t="n">
        <v>147.62</v>
      </c>
      <c r="L671" s="80" t="n">
        <v>143.68</v>
      </c>
      <c r="M671" s="80">
        <f>IFERROR((H671-J671)/J671,0)</f>
        <v/>
      </c>
      <c r="N671" s="80">
        <f>IFERROR((H671-K671)/K671,0)</f>
        <v/>
      </c>
      <c r="O671" s="80">
        <f>IFERROR((H671-L671)/L671,0)</f>
        <v/>
      </c>
      <c r="P671" s="80" t="n">
        <v>120</v>
      </c>
      <c r="Q671" s="80" t="n">
        <v>225</v>
      </c>
      <c r="R671" s="80" t="inlineStr">
        <is>
          <t>3-7yr</t>
        </is>
      </c>
      <c r="S671" s="80" t="n">
        <v>4</v>
      </c>
      <c r="T671" s="80" t="n">
        <v>2450</v>
      </c>
      <c r="U671" s="80">
        <f>MAX(0,MIN(100,50+((M671*0.6)+(N671*0.4))*200))</f>
        <v/>
      </c>
      <c r="V671" s="80">
        <f>MAX(20,MIN(100,50+(P671-H671)/P671*100))</f>
        <v/>
      </c>
      <c r="W671" s="80">
        <f>IFERROR(MAX(0,MIN(100,100-LOG10(T671)*16)),60)</f>
        <v/>
      </c>
      <c r="X671" s="80">
        <f>IF(C671="T2",85,IF(C671="T4",70,IF(C671="T1",65,IF(C671="T3",55,45))))</f>
        <v/>
      </c>
      <c r="Y671" s="80">
        <f>U671*0.55+W671*0.20+V671*0.15+X671*0.10+ROW()/1000000</f>
        <v/>
      </c>
      <c r="Z671" s="80">
        <f>IF(Y671&gt;=75,"STRONG BUY",IF(Y671&gt;=60,"BUY",IF(Y671&gt;=40,"HOLD",IF(Y671&gt;=25,"TRIM","SELL"))))</f>
        <v/>
      </c>
      <c r="AA671" s="80" t="inlineStr">
        <is>
          <t>https://www.pricecharting.com/game/pokemon-fossil/moltres-12</t>
        </is>
      </c>
      <c r="AB671" s="80" t="inlineStr">
        <is>
          <t>Fossil Moltres PSA 9.</t>
        </is>
      </c>
    </row>
    <row r="672">
      <c r="A672" s="80" t="inlineStr">
        <is>
          <t>V261</t>
        </is>
      </c>
      <c r="B672" s="80" t="inlineStr">
        <is>
          <t>Vintage Graded Singles</t>
        </is>
      </c>
      <c r="C672" s="80" t="inlineStr">
        <is>
          <t>T2</t>
        </is>
      </c>
      <c r="D672" s="80" t="inlineStr">
        <is>
          <t>Pikachu Red Cheeks</t>
        </is>
      </c>
      <c r="E672" s="80" t="inlineStr">
        <is>
          <t>Base Set Unlimited</t>
        </is>
      </c>
      <c r="F672" s="80" t="inlineStr">
        <is>
          <t>58/102</t>
        </is>
      </c>
      <c r="G672" s="80" t="inlineStr">
        <is>
          <t>PSA 10</t>
        </is>
      </c>
      <c r="H672" s="80" t="n">
        <v>1450</v>
      </c>
      <c r="I672" s="123" t="n">
        <v>46154</v>
      </c>
      <c r="J672" s="80" t="n">
        <v>1441.78</v>
      </c>
      <c r="K672" s="80" t="n">
        <v>1355.14</v>
      </c>
      <c r="L672" s="80" t="n">
        <v>1227.39</v>
      </c>
      <c r="M672" s="80">
        <f>IFERROR((H672-J672)/J672,0)</f>
        <v/>
      </c>
      <c r="N672" s="80">
        <f>IFERROR((H672-K672)/K672,0)</f>
        <v/>
      </c>
      <c r="O672" s="80">
        <f>IFERROR((H672-L672)/L672,0)</f>
        <v/>
      </c>
      <c r="P672" s="80" t="n">
        <v>1100</v>
      </c>
      <c r="Q672" s="80" t="n">
        <v>2100</v>
      </c>
      <c r="R672" s="80" t="inlineStr">
        <is>
          <t>5-10yr</t>
        </is>
      </c>
      <c r="S672" s="80" t="n">
        <v>5</v>
      </c>
      <c r="T672" s="80" t="n">
        <v>425</v>
      </c>
      <c r="U672" s="80">
        <f>MAX(0,MIN(100,50+((M672*0.6)+(N672*0.4))*200))</f>
        <v/>
      </c>
      <c r="V672" s="80">
        <f>MAX(20,MIN(100,50+(P672-H672)/P672*100))</f>
        <v/>
      </c>
      <c r="W672" s="80">
        <f>IFERROR(MAX(0,MIN(100,100-LOG10(T672)*16)),60)</f>
        <v/>
      </c>
      <c r="X672" s="80">
        <f>IF(C672="T2",85,IF(C672="T4",70,IF(C672="T1",65,IF(C672="T3",55,45))))</f>
        <v/>
      </c>
      <c r="Y672" s="80">
        <f>U672*0.55+W672*0.20+V672*0.15+X672*0.10+ROW()/1000000</f>
        <v/>
      </c>
      <c r="Z672" s="80">
        <f>IF(Y672&gt;=75,"STRONG BUY",IF(Y672&gt;=60,"BUY",IF(Y672&gt;=40,"HOLD",IF(Y672&gt;=25,"TRIM","SELL"))))</f>
        <v/>
      </c>
      <c r="AA672" s="80" t="inlineStr">
        <is>
          <t>https://www.pricecharting.com/game/pokemon-base-set/pikachu-red-cheeks-58</t>
        </is>
      </c>
      <c r="AB672" s="80" t="inlineStr">
        <is>
          <t>Red Cheeks Pikachu - 1999 variant.</t>
        </is>
      </c>
    </row>
    <row r="673">
      <c r="A673" s="80" t="inlineStr">
        <is>
          <t>V262</t>
        </is>
      </c>
      <c r="B673" s="80" t="inlineStr">
        <is>
          <t>Vintage Graded Singles</t>
        </is>
      </c>
      <c r="C673" s="80" t="inlineStr">
        <is>
          <t>T2</t>
        </is>
      </c>
      <c r="D673" s="80" t="inlineStr">
        <is>
          <t>Pikachu Yellow Cheeks</t>
        </is>
      </c>
      <c r="E673" s="80" t="inlineStr">
        <is>
          <t>Base Set Unlimited</t>
        </is>
      </c>
      <c r="F673" s="80" t="inlineStr">
        <is>
          <t>58/102</t>
        </is>
      </c>
      <c r="G673" s="80" t="inlineStr">
        <is>
          <t>PSA 10</t>
        </is>
      </c>
      <c r="H673" s="80" t="n">
        <v>285</v>
      </c>
      <c r="I673" s="123" t="n">
        <v>46154</v>
      </c>
      <c r="J673" s="80" t="n">
        <v>283.12</v>
      </c>
      <c r="K673" s="80" t="n">
        <v>274.04</v>
      </c>
      <c r="L673" s="80" t="n">
        <v>263.2</v>
      </c>
      <c r="M673" s="80">
        <f>IFERROR((H673-J673)/J673,0)</f>
        <v/>
      </c>
      <c r="N673" s="80">
        <f>IFERROR((H673-K673)/K673,0)</f>
        <v/>
      </c>
      <c r="O673" s="80">
        <f>IFERROR((H673-L673)/L673,0)</f>
        <v/>
      </c>
      <c r="P673" s="80" t="n">
        <v>220</v>
      </c>
      <c r="Q673" s="80" t="n">
        <v>420</v>
      </c>
      <c r="R673" s="80" t="inlineStr">
        <is>
          <t>3-7yr</t>
        </is>
      </c>
      <c r="S673" s="80" t="n">
        <v>4</v>
      </c>
      <c r="T673" s="80" t="n">
        <v>1850</v>
      </c>
      <c r="U673" s="80">
        <f>MAX(0,MIN(100,50+((M673*0.6)+(N673*0.4))*200))</f>
        <v/>
      </c>
      <c r="V673" s="80">
        <f>MAX(20,MIN(100,50+(P673-H673)/P673*100))</f>
        <v/>
      </c>
      <c r="W673" s="80">
        <f>IFERROR(MAX(0,MIN(100,100-LOG10(T673)*16)),60)</f>
        <v/>
      </c>
      <c r="X673" s="80">
        <f>IF(C673="T2",85,IF(C673="T4",70,IF(C673="T1",65,IF(C673="T3",55,45))))</f>
        <v/>
      </c>
      <c r="Y673" s="80">
        <f>U673*0.55+W673*0.20+V673*0.15+X673*0.10+ROW()/1000000</f>
        <v/>
      </c>
      <c r="Z673" s="80">
        <f>IF(Y673&gt;=75,"STRONG BUY",IF(Y673&gt;=60,"BUY",IF(Y673&gt;=40,"HOLD",IF(Y673&gt;=25,"TRIM","SELL"))))</f>
        <v/>
      </c>
      <c r="AA673" s="80" t="inlineStr">
        <is>
          <t>https://www.pricecharting.com/game/pokemon-base-set/pikachu-yellow-cheeks-58</t>
        </is>
      </c>
      <c r="AB673" s="80" t="inlineStr">
        <is>
          <t>Yellow Cheeks Pikachu PSA 10.</t>
        </is>
      </c>
    </row>
    <row r="674">
      <c r="A674" s="80" t="inlineStr">
        <is>
          <t>V270</t>
        </is>
      </c>
      <c r="B674" s="80" t="inlineStr">
        <is>
          <t>Vintage Graded Singles</t>
        </is>
      </c>
      <c r="C674" s="80" t="inlineStr">
        <is>
          <t>T2</t>
        </is>
      </c>
      <c r="D674" s="80" t="inlineStr">
        <is>
          <t>Blastoise PSA 10</t>
        </is>
      </c>
      <c r="E674" s="80" t="inlineStr">
        <is>
          <t>Base Set Unlimited</t>
        </is>
      </c>
      <c r="F674" s="80" t="inlineStr">
        <is>
          <t>2/102</t>
        </is>
      </c>
      <c r="G674" s="80" t="inlineStr">
        <is>
          <t>PSA 10</t>
        </is>
      </c>
      <c r="H674" s="80" t="n">
        <v>1850</v>
      </c>
      <c r="I674" s="123" t="n">
        <v>46154</v>
      </c>
      <c r="J674" s="80" t="n">
        <v>1837.49</v>
      </c>
      <c r="K674" s="80" t="n">
        <v>1745.28</v>
      </c>
      <c r="L674" s="80" t="n">
        <v>1704.89</v>
      </c>
      <c r="M674" s="80">
        <f>IFERROR((H674-J674)/J674,0)</f>
        <v/>
      </c>
      <c r="N674" s="80">
        <f>IFERROR((H674-K674)/K674,0)</f>
        <v/>
      </c>
      <c r="O674" s="80">
        <f>IFERROR((H674-L674)/L674,0)</f>
        <v/>
      </c>
      <c r="P674" s="80" t="n">
        <v>1450</v>
      </c>
      <c r="Q674" s="80" t="n">
        <v>2700</v>
      </c>
      <c r="R674" s="80" t="inlineStr">
        <is>
          <t>5-10yr</t>
        </is>
      </c>
      <c r="S674" s="80" t="n">
        <v>5</v>
      </c>
      <c r="T674" s="80" t="n">
        <v>365</v>
      </c>
      <c r="U674" s="80">
        <f>MAX(0,MIN(100,50+((M674*0.6)+(N674*0.4))*200))</f>
        <v/>
      </c>
      <c r="V674" s="80">
        <f>MAX(20,MIN(100,50+(P674-H674)/P674*100))</f>
        <v/>
      </c>
      <c r="W674" s="80">
        <f>IFERROR(MAX(0,MIN(100,100-LOG10(T674)*16)),60)</f>
        <v/>
      </c>
      <c r="X674" s="80">
        <f>IF(C674="T2",85,IF(C674="T4",70,IF(C674="T1",65,IF(C674="T3",55,45))))</f>
        <v/>
      </c>
      <c r="Y674" s="80">
        <f>U674*0.55+W674*0.20+V674*0.15+X674*0.10+ROW()/1000000</f>
        <v/>
      </c>
      <c r="Z674" s="80">
        <f>IF(Y674&gt;=75,"STRONG BUY",IF(Y674&gt;=60,"BUY",IF(Y674&gt;=40,"HOLD",IF(Y674&gt;=25,"TRIM","SELL"))))</f>
        <v/>
      </c>
      <c r="AA674" s="80" t="inlineStr">
        <is>
          <t>https://www.pricecharting.com/game/pokemon-base-set/blastoise-2</t>
        </is>
      </c>
      <c r="AB674" s="80" t="inlineStr">
        <is>
          <t>Base Unlimited Blastoise PSA 10.</t>
        </is>
      </c>
    </row>
    <row r="675">
      <c r="A675" s="80" t="inlineStr">
        <is>
          <t>V271</t>
        </is>
      </c>
      <c r="B675" s="80" t="inlineStr">
        <is>
          <t>Vintage Graded Singles</t>
        </is>
      </c>
      <c r="C675" s="80" t="inlineStr">
        <is>
          <t>T2</t>
        </is>
      </c>
      <c r="D675" s="80" t="inlineStr">
        <is>
          <t>Venusaur PSA 10</t>
        </is>
      </c>
      <c r="E675" s="80" t="inlineStr">
        <is>
          <t>Base Set Unlimited</t>
        </is>
      </c>
      <c r="F675" s="80" t="inlineStr">
        <is>
          <t>15/102</t>
        </is>
      </c>
      <c r="G675" s="80" t="inlineStr">
        <is>
          <t>PSA 10</t>
        </is>
      </c>
      <c r="H675" s="80" t="n">
        <v>1550</v>
      </c>
      <c r="I675" s="123" t="n">
        <v>46154</v>
      </c>
      <c r="J675" s="80" t="n">
        <v>1512.53</v>
      </c>
      <c r="K675" s="80" t="n">
        <v>1476.19</v>
      </c>
      <c r="L675" s="80" t="n">
        <v>1410.75</v>
      </c>
      <c r="M675" s="80">
        <f>IFERROR((H675-J675)/J675,0)</f>
        <v/>
      </c>
      <c r="N675" s="80">
        <f>IFERROR((H675-K675)/K675,0)</f>
        <v/>
      </c>
      <c r="O675" s="80">
        <f>IFERROR((H675-L675)/L675,0)</f>
        <v/>
      </c>
      <c r="P675" s="80" t="n">
        <v>1200</v>
      </c>
      <c r="Q675" s="80" t="n">
        <v>2250</v>
      </c>
      <c r="R675" s="80" t="inlineStr">
        <is>
          <t>5-10yr</t>
        </is>
      </c>
      <c r="S675" s="80" t="n">
        <v>5</v>
      </c>
      <c r="T675" s="80" t="n">
        <v>385</v>
      </c>
      <c r="U675" s="80">
        <f>MAX(0,MIN(100,50+((M675*0.6)+(N675*0.4))*200))</f>
        <v/>
      </c>
      <c r="V675" s="80">
        <f>MAX(20,MIN(100,50+(P675-H675)/P675*100))</f>
        <v/>
      </c>
      <c r="W675" s="80">
        <f>IFERROR(MAX(0,MIN(100,100-LOG10(T675)*16)),60)</f>
        <v/>
      </c>
      <c r="X675" s="80">
        <f>IF(C675="T2",85,IF(C675="T4",70,IF(C675="T1",65,IF(C675="T3",55,45))))</f>
        <v/>
      </c>
      <c r="Y675" s="80">
        <f>U675*0.55+W675*0.20+V675*0.15+X675*0.10+ROW()/1000000</f>
        <v/>
      </c>
      <c r="Z675" s="80">
        <f>IF(Y675&gt;=75,"STRONG BUY",IF(Y675&gt;=60,"BUY",IF(Y675&gt;=40,"HOLD",IF(Y675&gt;=25,"TRIM","SELL"))))</f>
        <v/>
      </c>
      <c r="AA675" s="80" t="inlineStr">
        <is>
          <t>https://www.pricecharting.com/game/pokemon-base-set/venusaur-15</t>
        </is>
      </c>
      <c r="AB675" s="80" t="inlineStr">
        <is>
          <t>Base Unlimited Venusaur PSA 10.</t>
        </is>
      </c>
    </row>
    <row r="676">
      <c r="A676" s="80" t="inlineStr">
        <is>
          <t>V272</t>
        </is>
      </c>
      <c r="B676" s="80" t="inlineStr">
        <is>
          <t>Vintage Graded Singles</t>
        </is>
      </c>
      <c r="C676" s="80" t="inlineStr">
        <is>
          <t>T2</t>
        </is>
      </c>
      <c r="D676" s="80" t="inlineStr">
        <is>
          <t>Mewtwo PSA 10</t>
        </is>
      </c>
      <c r="E676" s="80" t="inlineStr">
        <is>
          <t>Base Set Unlimited</t>
        </is>
      </c>
      <c r="F676" s="80" t="inlineStr">
        <is>
          <t>10/102</t>
        </is>
      </c>
      <c r="G676" s="80" t="inlineStr">
        <is>
          <t>PSA 10</t>
        </is>
      </c>
      <c r="H676" s="80" t="n">
        <v>1450</v>
      </c>
      <c r="I676" s="123" t="n">
        <v>46154</v>
      </c>
      <c r="J676" s="80" t="n">
        <v>1413.27</v>
      </c>
      <c r="K676" s="80" t="n">
        <v>1380.95</v>
      </c>
      <c r="L676" s="80" t="n">
        <v>1256.82</v>
      </c>
      <c r="M676" s="80">
        <f>IFERROR((H676-J676)/J676,0)</f>
        <v/>
      </c>
      <c r="N676" s="80">
        <f>IFERROR((H676-K676)/K676,0)</f>
        <v/>
      </c>
      <c r="O676" s="80">
        <f>IFERROR((H676-L676)/L676,0)</f>
        <v/>
      </c>
      <c r="P676" s="80" t="n">
        <v>1100</v>
      </c>
      <c r="Q676" s="80" t="n">
        <v>2100</v>
      </c>
      <c r="R676" s="80" t="inlineStr">
        <is>
          <t>5-10yr</t>
        </is>
      </c>
      <c r="S676" s="80" t="n">
        <v>5</v>
      </c>
      <c r="T676" s="80" t="n">
        <v>425</v>
      </c>
      <c r="U676" s="80">
        <f>MAX(0,MIN(100,50+((M676*0.6)+(N676*0.4))*200))</f>
        <v/>
      </c>
      <c r="V676" s="80">
        <f>MAX(20,MIN(100,50+(P676-H676)/P676*100))</f>
        <v/>
      </c>
      <c r="W676" s="80">
        <f>IFERROR(MAX(0,MIN(100,100-LOG10(T676)*16)),60)</f>
        <v/>
      </c>
      <c r="X676" s="80">
        <f>IF(C676="T2",85,IF(C676="T4",70,IF(C676="T1",65,IF(C676="T3",55,45))))</f>
        <v/>
      </c>
      <c r="Y676" s="80">
        <f>U676*0.55+W676*0.20+V676*0.15+X676*0.10+ROW()/1000000</f>
        <v/>
      </c>
      <c r="Z676" s="80">
        <f>IF(Y676&gt;=75,"STRONG BUY",IF(Y676&gt;=60,"BUY",IF(Y676&gt;=40,"HOLD",IF(Y676&gt;=25,"TRIM","SELL"))))</f>
        <v/>
      </c>
      <c r="AA676" s="80" t="inlineStr">
        <is>
          <t>https://www.pricecharting.com/game/pokemon-base-set/mewtwo-10</t>
        </is>
      </c>
      <c r="AB676" s="80" t="inlineStr">
        <is>
          <t>Base Unlimited Mewtwo PSA 10.</t>
        </is>
      </c>
    </row>
    <row r="677">
      <c r="A677" s="80" t="inlineStr">
        <is>
          <t>V273</t>
        </is>
      </c>
      <c r="B677" s="80" t="inlineStr">
        <is>
          <t>Vintage Graded Singles</t>
        </is>
      </c>
      <c r="C677" s="80" t="inlineStr">
        <is>
          <t>T2</t>
        </is>
      </c>
      <c r="D677" s="80" t="inlineStr">
        <is>
          <t>Alakazam PSA 10</t>
        </is>
      </c>
      <c r="E677" s="80" t="inlineStr">
        <is>
          <t>Base Set Unlimited</t>
        </is>
      </c>
      <c r="F677" s="80" t="inlineStr">
        <is>
          <t>1/102</t>
        </is>
      </c>
      <c r="G677" s="80" t="inlineStr">
        <is>
          <t>PSA 10</t>
        </is>
      </c>
      <c r="H677" s="80" t="n">
        <v>950</v>
      </c>
      <c r="I677" s="123" t="n">
        <v>46154</v>
      </c>
      <c r="J677" s="80" t="n">
        <v>942.92</v>
      </c>
      <c r="K677" s="80" t="n">
        <v>904.76</v>
      </c>
      <c r="L677" s="80" t="n">
        <v>828.17</v>
      </c>
      <c r="M677" s="80">
        <f>IFERROR((H677-J677)/J677,0)</f>
        <v/>
      </c>
      <c r="N677" s="80">
        <f>IFERROR((H677-K677)/K677,0)</f>
        <v/>
      </c>
      <c r="O677" s="80">
        <f>IFERROR((H677-L677)/L677,0)</f>
        <v/>
      </c>
      <c r="P677" s="80" t="n">
        <v>750</v>
      </c>
      <c r="Q677" s="80" t="n">
        <v>1400</v>
      </c>
      <c r="R677" s="80" t="inlineStr">
        <is>
          <t>5-10yr</t>
        </is>
      </c>
      <c r="S677" s="80" t="n">
        <v>4</v>
      </c>
      <c r="T677" s="80" t="n">
        <v>385</v>
      </c>
      <c r="U677" s="80">
        <f>MAX(0,MIN(100,50+((M677*0.6)+(N677*0.4))*200))</f>
        <v/>
      </c>
      <c r="V677" s="80">
        <f>MAX(20,MIN(100,50+(P677-H677)/P677*100))</f>
        <v/>
      </c>
      <c r="W677" s="80">
        <f>IFERROR(MAX(0,MIN(100,100-LOG10(T677)*16)),60)</f>
        <v/>
      </c>
      <c r="X677" s="80">
        <f>IF(C677="T2",85,IF(C677="T4",70,IF(C677="T1",65,IF(C677="T3",55,45))))</f>
        <v/>
      </c>
      <c r="Y677" s="80">
        <f>U677*0.55+W677*0.20+V677*0.15+X677*0.10+ROW()/1000000</f>
        <v/>
      </c>
      <c r="Z677" s="80">
        <f>IF(Y677&gt;=75,"STRONG BUY",IF(Y677&gt;=60,"BUY",IF(Y677&gt;=40,"HOLD",IF(Y677&gt;=25,"TRIM","SELL"))))</f>
        <v/>
      </c>
      <c r="AA677" s="80" t="inlineStr">
        <is>
          <t>https://www.pricecharting.com/game/pokemon-base-set/alakazam-1</t>
        </is>
      </c>
      <c r="AB677" s="80" t="inlineStr">
        <is>
          <t>Base Unlimited Alakazam PSA 10.</t>
        </is>
      </c>
    </row>
    <row r="678">
      <c r="A678" s="80" t="inlineStr">
        <is>
          <t>V274</t>
        </is>
      </c>
      <c r="B678" s="80" t="inlineStr">
        <is>
          <t>Vintage Graded Singles</t>
        </is>
      </c>
      <c r="C678" s="80" t="inlineStr">
        <is>
          <t>T2</t>
        </is>
      </c>
      <c r="D678" s="80" t="inlineStr">
        <is>
          <t>Gyarados PSA 10</t>
        </is>
      </c>
      <c r="E678" s="80" t="inlineStr">
        <is>
          <t>Base Set Unlimited</t>
        </is>
      </c>
      <c r="F678" s="80" t="inlineStr">
        <is>
          <t>6/102</t>
        </is>
      </c>
      <c r="G678" s="80" t="inlineStr">
        <is>
          <t>PSA 10</t>
        </is>
      </c>
      <c r="H678" s="80" t="n">
        <v>850</v>
      </c>
      <c r="I678" s="123" t="n">
        <v>46154</v>
      </c>
      <c r="J678" s="80" t="n">
        <v>841.26</v>
      </c>
      <c r="K678" s="80" t="n">
        <v>801.89</v>
      </c>
      <c r="L678" s="80" t="n">
        <v>771.45</v>
      </c>
      <c r="M678" s="80">
        <f>IFERROR((H678-J678)/J678,0)</f>
        <v/>
      </c>
      <c r="N678" s="80">
        <f>IFERROR((H678-K678)/K678,0)</f>
        <v/>
      </c>
      <c r="O678" s="80">
        <f>IFERROR((H678-L678)/L678,0)</f>
        <v/>
      </c>
      <c r="P678" s="80" t="n">
        <v>650</v>
      </c>
      <c r="Q678" s="80" t="n">
        <v>1250</v>
      </c>
      <c r="R678" s="80" t="inlineStr">
        <is>
          <t>5-10yr</t>
        </is>
      </c>
      <c r="S678" s="80" t="n">
        <v>4</v>
      </c>
      <c r="T678" s="80" t="n">
        <v>425</v>
      </c>
      <c r="U678" s="80">
        <f>MAX(0,MIN(100,50+((M678*0.6)+(N678*0.4))*200))</f>
        <v/>
      </c>
      <c r="V678" s="80">
        <f>MAX(20,MIN(100,50+(P678-H678)/P678*100))</f>
        <v/>
      </c>
      <c r="W678" s="80">
        <f>IFERROR(MAX(0,MIN(100,100-LOG10(T678)*16)),60)</f>
        <v/>
      </c>
      <c r="X678" s="80">
        <f>IF(C678="T2",85,IF(C678="T4",70,IF(C678="T1",65,IF(C678="T3",55,45))))</f>
        <v/>
      </c>
      <c r="Y678" s="80">
        <f>U678*0.55+W678*0.20+V678*0.15+X678*0.10+ROW()/1000000</f>
        <v/>
      </c>
      <c r="Z678" s="80">
        <f>IF(Y678&gt;=75,"STRONG BUY",IF(Y678&gt;=60,"BUY",IF(Y678&gt;=40,"HOLD",IF(Y678&gt;=25,"TRIM","SELL"))))</f>
        <v/>
      </c>
      <c r="AA678" s="80" t="inlineStr">
        <is>
          <t>https://www.pricecharting.com/game/pokemon-base-set/gyarados-6</t>
        </is>
      </c>
      <c r="AB678" s="80" t="inlineStr">
        <is>
          <t>Base Unlimited Gyarados PSA 10.</t>
        </is>
      </c>
    </row>
  </sheetData>
  <autoFilter ref="A4:AB202"/>
  <mergeCells count="2">
    <mergeCell ref="A2:AB2"/>
    <mergeCell ref="A1:AB1"/>
  </mergeCells>
  <conditionalFormatting sqref="Z5:Z202">
    <cfRule type="expression" rank="0" priority="2" equalAverage="0" aboveAverage="0" dxfId="0" text="" percent="0" bottom="0">
      <formula>$Z5="STRONG BUY"</formula>
    </cfRule>
    <cfRule type="expression" rank="0" priority="3" equalAverage="0" aboveAverage="0" dxfId="1" text="" percent="0" bottom="0">
      <formula>$Z5="BUY"</formula>
    </cfRule>
    <cfRule type="expression" rank="0" priority="4" equalAverage="0" aboveAverage="0" dxfId="3" text="" percent="0" bottom="0">
      <formula>$Z5="TRIM"</formula>
    </cfRule>
    <cfRule type="expression" rank="0" priority="5" equalAverage="0" aboveAverage="0" dxfId="2" text="" percent="0" bottom="0">
      <formula>$Z5="SELL"</formula>
    </cfRule>
  </conditionalFormatting>
  <conditionalFormatting sqref="Y5:Y202">
    <cfRule type="expression" rank="0" priority="6" equalAverage="0" aboveAverage="0" dxfId="0" text="" percent="0" bottom="0">
      <formula>$Y5&gt;=75</formula>
    </cfRule>
    <cfRule type="expression" rank="0" priority="7" equalAverage="0" aboveAverage="0" dxfId="1" text="" percent="0" bottom="0">
      <formula>AND($Y5&gt;=60,$Y5&lt;75)</formula>
    </cfRule>
    <cfRule type="expression" rank="0" priority="8" equalAverage="0" aboveAverage="0" dxfId="2" text="" percent="0" bottom="0">
      <formula>$Y5&lt;25</formula>
    </cfRule>
  </conditionalFormatting>
  <conditionalFormatting sqref="M5:M202">
    <cfRule type="expression" rank="0" priority="9" equalAverage="0" aboveAverage="0" dxfId="1" text="" percent="0" bottom="0">
      <formula>$M5&gt;0.05</formula>
    </cfRule>
    <cfRule type="expression" rank="0" priority="10" equalAverage="0" aboveAverage="0" dxfId="2" text="" percent="0" bottom="0">
      <formula>$M5&lt;-0.05</formula>
    </cfRule>
  </conditionalFormatting>
  <conditionalFormatting sqref="N5:N202">
    <cfRule type="expression" rank="0" priority="11" equalAverage="0" aboveAverage="0" dxfId="1" text="" percent="0" bottom="0">
      <formula>$N5&gt;0.05</formula>
    </cfRule>
    <cfRule type="expression" rank="0" priority="12" equalAverage="0" aboveAverage="0" dxfId="2" text="" percent="0" bottom="0">
      <formula>$N5&lt;-0.05</formula>
    </cfRule>
  </conditionalFormatting>
  <conditionalFormatting sqref="O5:O202">
    <cfRule type="expression" rank="0" priority="13" equalAverage="0" aboveAverage="0" dxfId="1" text="" percent="0" bottom="0">
      <formula>$O5&gt;0.05</formula>
    </cfRule>
    <cfRule type="expression" rank="0" priority="14" equalAverage="0" aboveAverage="0" dxfId="2" text="" percent="0" bottom="0">
      <formula>$O5&lt;-0.05</formula>
    </cfRule>
  </conditionalFormatting>
  <conditionalFormatting sqref="H5:H202">
    <cfRule type="expression" rank="0" priority="15" equalAverage="0" aboveAverage="0" dxfId="1" text="" percent="0" bottom="0">
      <formula>$H5&lt;=$P5</formula>
    </cfRule>
    <cfRule type="expression" rank="0" priority="16" equalAverage="0" aboveAverage="0" dxfId="2" text="" percent="0" bottom="0">
      <formula>$H5&gt;=$Q5</formula>
    </cfRule>
  </conditionalFormatting>
  <hyperlinks>
    <hyperlink xmlns:r="http://schemas.openxmlformats.org/officeDocument/2006/relationships" ref="AA5" display="https://www.pricecharting.com/game/pokemon-base-set/charizard-1st-edition-4" r:id="rId1"/>
    <hyperlink xmlns:r="http://schemas.openxmlformats.org/officeDocument/2006/relationships" ref="AA6" display="https://www.pricecharting.com/game/pokemon-base-set/charizard-1st-edition-4" r:id="rId2"/>
    <hyperlink xmlns:r="http://schemas.openxmlformats.org/officeDocument/2006/relationships" ref="AA7" display="https://www.pricecharting.com/game/pokemon-base-set/charizard-shadowless-4" r:id="rId3"/>
    <hyperlink xmlns:r="http://schemas.openxmlformats.org/officeDocument/2006/relationships" ref="AA8" display="https://www.pricecharting.com/game/pokemon-base-set/charizard-4" r:id="rId4"/>
    <hyperlink xmlns:r="http://schemas.openxmlformats.org/officeDocument/2006/relationships" ref="AA9" display="https://www.pricecharting.com/game/pokemon-base-set/charizard-4" r:id="rId5"/>
    <hyperlink xmlns:r="http://schemas.openxmlformats.org/officeDocument/2006/relationships" ref="AA10" display="https://www.pricecharting.com/game/pokemon-base-set/blastoise-1st-edition-2" r:id="rId6"/>
    <hyperlink xmlns:r="http://schemas.openxmlformats.org/officeDocument/2006/relationships" ref="AA11" display="https://www.pricecharting.com/game/pokemon-base-set/venusaur-1st-edition-15" r:id="rId7"/>
    <hyperlink xmlns:r="http://schemas.openxmlformats.org/officeDocument/2006/relationships" ref="AA12" display="https://www.pricecharting.com/game/pokemon-base-set/chansey-1st-edition-3" r:id="rId8"/>
    <hyperlink xmlns:r="http://schemas.openxmlformats.org/officeDocument/2006/relationships" ref="AA13" display="https://www.pricecharting.com/game/pokemon-base-set/mewtwo-1st-edition-10" r:id="rId9"/>
    <hyperlink xmlns:r="http://schemas.openxmlformats.org/officeDocument/2006/relationships" ref="AA14" display="https://www.pricecharting.com/game/pokemon-base-set/alakazam-1st-edition-1" r:id="rId10"/>
    <hyperlink xmlns:r="http://schemas.openxmlformats.org/officeDocument/2006/relationships" ref="AA15" display="https://www.pricecharting.com/game/pokemon-base-set/ninetales-1st-edition-12" r:id="rId11"/>
    <hyperlink xmlns:r="http://schemas.openxmlformats.org/officeDocument/2006/relationships" ref="AA16" display="https://www.pricecharting.com/game/pokemon-base-set/zapdos-1st-edition-16" r:id="rId12"/>
    <hyperlink xmlns:r="http://schemas.openxmlformats.org/officeDocument/2006/relationships" ref="AA17" display="https://www.pricecharting.com/game/pokemon-base-set/pikachu-red-cheeks-58" r:id="rId13"/>
    <hyperlink xmlns:r="http://schemas.openxmlformats.org/officeDocument/2006/relationships" ref="AA18" display="https://www.pricecharting.com/game/pokemon-fossil/dragonite-1st-edition-4" r:id="rId14"/>
    <hyperlink xmlns:r="http://schemas.openxmlformats.org/officeDocument/2006/relationships" ref="AA19" display="https://www.pricecharting.com/game/pokemon-fossil/mewtwo-1st-edition-10" r:id="rId15"/>
    <hyperlink xmlns:r="http://schemas.openxmlformats.org/officeDocument/2006/relationships" ref="AA20" display="https://www.pricecharting.com/game/pokemon-neo-genesis/lugia-1st-edition-9" r:id="rId16"/>
    <hyperlink xmlns:r="http://schemas.openxmlformats.org/officeDocument/2006/relationships" ref="AA21" display="https://www.pricecharting.com/game/pokemon-neo-destiny/shining-charizard-1st-edition-107" r:id="rId17"/>
    <hyperlink xmlns:r="http://schemas.openxmlformats.org/officeDocument/2006/relationships" ref="AA22" display="https://www.pricecharting.com/game/pokemon-neo-destiny/shining-tyranitar-1st-edition-113" r:id="rId18"/>
    <hyperlink xmlns:r="http://schemas.openxmlformats.org/officeDocument/2006/relationships" ref="AA23" display="https://www.pricecharting.com/game/pokemon-promo/pikachu-trophy-bronze" r:id="rId19"/>
    <hyperlink xmlns:r="http://schemas.openxmlformats.org/officeDocument/2006/relationships" ref="AA24" display="https://www.pricecharting.com/game/pokemon-dragon-frontiers/charizard-gold-star-100" r:id="rId20"/>
    <hyperlink xmlns:r="http://schemas.openxmlformats.org/officeDocument/2006/relationships" ref="AA25" display="https://www.pricecharting.com/game/pokemon-dragon-frontiers/charizard-gold-star-100" r:id="rId21"/>
    <hyperlink xmlns:r="http://schemas.openxmlformats.org/officeDocument/2006/relationships" ref="AA26" display="https://www.pricecharting.com/game/pokemon-pop-series-5/umbreon-gold-star-17" r:id="rId22"/>
    <hyperlink xmlns:r="http://schemas.openxmlformats.org/officeDocument/2006/relationships" ref="AA27" display="https://www.pricecharting.com/game/pokemon-pop-series-5/espeon-gold-star-16" r:id="rId23"/>
    <hyperlink xmlns:r="http://schemas.openxmlformats.org/officeDocument/2006/relationships" ref="AA28" display="https://www.pricecharting.com/game/pokemon-ex-power-keepers/vaporeon-gold-star" r:id="rId24"/>
    <hyperlink xmlns:r="http://schemas.openxmlformats.org/officeDocument/2006/relationships" ref="AA29" display="https://www.pricecharting.com/game/pokemon-ex-power-keepers/jolteon-gold-star" r:id="rId25"/>
    <hyperlink xmlns:r="http://schemas.openxmlformats.org/officeDocument/2006/relationships" ref="AA30" display="https://www.pricecharting.com/game/pokemon-ex-power-keepers/flareon-gold-star" r:id="rId26"/>
    <hyperlink xmlns:r="http://schemas.openxmlformats.org/officeDocument/2006/relationships" ref="AA31" display="https://www.pricecharting.com/game/pokemon-ex-deoxys/rayquaza-gold-star" r:id="rId27"/>
    <hyperlink xmlns:r="http://schemas.openxmlformats.org/officeDocument/2006/relationships" ref="AA32" display="https://www.pricecharting.com/game/pokemon-ex-holon-phantoms/mew-gold-star" r:id="rId28"/>
    <hyperlink xmlns:r="http://schemas.openxmlformats.org/officeDocument/2006/relationships" ref="AA33" display="https://www.pricecharting.com/game/pokemon-diamond-and-pearl-promos/glaceon-gold-star-dp38" r:id="rId29"/>
    <hyperlink xmlns:r="http://schemas.openxmlformats.org/officeDocument/2006/relationships" ref="AA34" display="https://www.pricecharting.com/game/pokemon-diamond-and-pearl-promos/leafeon-gold-star-dp37" r:id="rId30"/>
    <hyperlink xmlns:r="http://schemas.openxmlformats.org/officeDocument/2006/relationships" ref="AA35" display="https://www.pricecharting.com/game/pokemon-promo/pikachu-illustrator" r:id="rId31"/>
    <hyperlink xmlns:r="http://schemas.openxmlformats.org/officeDocument/2006/relationships" ref="AA36" display="https://www.pricecharting.com/game/pokemon-promo/tropical-wind-promo" r:id="rId32"/>
    <hyperlink xmlns:r="http://schemas.openxmlformats.org/officeDocument/2006/relationships" ref="AA37" display="https://www.pricecharting.com/game/pokemon-promo/no-2-trainer" r:id="rId33"/>
    <hyperlink xmlns:r="http://schemas.openxmlformats.org/officeDocument/2006/relationships" ref="AA38" display="https://www.pricecharting.com/game/pokemon-gym-heroes/blaines-charizard-1st-edition-2" r:id="rId34"/>
    <hyperlink xmlns:r="http://schemas.openxmlformats.org/officeDocument/2006/relationships" ref="AA39" display="https://www.pricecharting.com/game/pokemon-team-rocket/dark-charizard-1st-edition-4" r:id="rId35"/>
    <hyperlink xmlns:r="http://schemas.openxmlformats.org/officeDocument/2006/relationships" ref="AA40" display="https://www.tcgplayer.com/product/246723" r:id="rId36"/>
    <hyperlink xmlns:r="http://schemas.openxmlformats.org/officeDocument/2006/relationships" ref="AA41" display="https://www.tcgplayer.com/product/246723" r:id="rId37"/>
    <hyperlink xmlns:r="http://schemas.openxmlformats.org/officeDocument/2006/relationships" ref="AA42" display="https://www.tcgplayer.com/product/246726" r:id="rId38"/>
    <hyperlink xmlns:r="http://schemas.openxmlformats.org/officeDocument/2006/relationships" ref="AA43" display="https://www.tcgplayer.com/product/246720" r:id="rId39"/>
    <hyperlink xmlns:r="http://schemas.openxmlformats.org/officeDocument/2006/relationships" ref="AA44" display="https://www.tcgplayer.com/product/246716" r:id="rId40"/>
    <hyperlink xmlns:r="http://schemas.openxmlformats.org/officeDocument/2006/relationships" ref="AA45" display="https://www.tcgplayer.com/product/246713" r:id="rId41"/>
    <hyperlink xmlns:r="http://schemas.openxmlformats.org/officeDocument/2006/relationships" ref="AA46" display="https://www.tcgplayer.com/product/246718" r:id="rId42"/>
    <hyperlink xmlns:r="http://schemas.openxmlformats.org/officeDocument/2006/relationships" ref="AA47" display="https://www.tcgplayer.com/product/246711" r:id="rId43"/>
    <hyperlink xmlns:r="http://schemas.openxmlformats.org/officeDocument/2006/relationships" ref="AA48" display="https://www.tcgplayer.com/product/246697" r:id="rId44"/>
    <hyperlink xmlns:r="http://schemas.openxmlformats.org/officeDocument/2006/relationships" ref="AA49" display="https://www.tcgplayer.com/product/246700" r:id="rId45"/>
    <hyperlink xmlns:r="http://schemas.openxmlformats.org/officeDocument/2006/relationships" ref="AA50" display="https://www.tcgplayer.com/product/246725" r:id="rId46"/>
    <hyperlink xmlns:r="http://schemas.openxmlformats.org/officeDocument/2006/relationships" ref="AA51" display="https://www.tcgplayer.com/product/246702" r:id="rId47"/>
    <hyperlink xmlns:r="http://schemas.openxmlformats.org/officeDocument/2006/relationships" ref="AA52" display="https://www.tcgplayer.com/product/223073" r:id="rId48"/>
    <hyperlink xmlns:r="http://schemas.openxmlformats.org/officeDocument/2006/relationships" ref="AA53" display="https://www.tcgplayer.com/product/223078" r:id="rId49"/>
    <hyperlink xmlns:r="http://schemas.openxmlformats.org/officeDocument/2006/relationships" ref="AA54" display="https://www.tcgplayer.com/product/261975" r:id="rId50"/>
    <hyperlink xmlns:r="http://schemas.openxmlformats.org/officeDocument/2006/relationships" ref="AA55" display="https://www.tcgplayer.com/product/261977" r:id="rId51"/>
    <hyperlink xmlns:r="http://schemas.openxmlformats.org/officeDocument/2006/relationships" ref="AA56" display="https://www.tcgplayer.com/product/261976" r:id="rId52"/>
    <hyperlink xmlns:r="http://schemas.openxmlformats.org/officeDocument/2006/relationships" ref="AA57" display="https://www.tcgplayer.com/product/261985" r:id="rId53"/>
    <hyperlink xmlns:r="http://schemas.openxmlformats.org/officeDocument/2006/relationships" ref="AA58" display="https://www.tcgplayer.com/product/267749" r:id="rId54"/>
    <hyperlink xmlns:r="http://schemas.openxmlformats.org/officeDocument/2006/relationships" ref="AA59" display="https://www.tcgplayer.com/product/267748" r:id="rId55"/>
    <hyperlink xmlns:r="http://schemas.openxmlformats.org/officeDocument/2006/relationships" ref="AA60" display="https://www.pricecharting.com/game/pokemon-lost-origin/giratina-vstar-tg30" r:id="rId56"/>
    <hyperlink xmlns:r="http://schemas.openxmlformats.org/officeDocument/2006/relationships" ref="AA61" display="https://www.tcgplayer.com/product/271620" r:id="rId57"/>
    <hyperlink xmlns:r="http://schemas.openxmlformats.org/officeDocument/2006/relationships" ref="AA62" display="https://www.tcgplayer.com/product/271612" r:id="rId58"/>
    <hyperlink xmlns:r="http://schemas.openxmlformats.org/officeDocument/2006/relationships" ref="AA63" display="https://www.tcgplayer.com/product/278920" r:id="rId59"/>
    <hyperlink xmlns:r="http://schemas.openxmlformats.org/officeDocument/2006/relationships" ref="AA64" display="https://www.tcgplayer.com/product/278897" r:id="rId60"/>
    <hyperlink xmlns:r="http://schemas.openxmlformats.org/officeDocument/2006/relationships" ref="AA65" display="https://www.tcgplayer.com/product/278892" r:id="rId61"/>
    <hyperlink xmlns:r="http://schemas.openxmlformats.org/officeDocument/2006/relationships" ref="AA66" display="https://www.tcgplayer.com/product/278899" r:id="rId62"/>
    <hyperlink xmlns:r="http://schemas.openxmlformats.org/officeDocument/2006/relationships" ref="AA67" display="https://www.tcgplayer.com/product/278902" r:id="rId63"/>
    <hyperlink xmlns:r="http://schemas.openxmlformats.org/officeDocument/2006/relationships" ref="AA68" display="https://www.tcgplayer.com/product/477059" r:id="rId64"/>
    <hyperlink xmlns:r="http://schemas.openxmlformats.org/officeDocument/2006/relationships" ref="AA69" display="https://www.tcgplayer.com/product/477057" r:id="rId65"/>
    <hyperlink xmlns:r="http://schemas.openxmlformats.org/officeDocument/2006/relationships" ref="AA70" display="https://www.tcgplayer.com/product/477069" r:id="rId66"/>
    <hyperlink xmlns:r="http://schemas.openxmlformats.org/officeDocument/2006/relationships" ref="AA71" display="https://www.tcgplayer.com/product/477064" r:id="rId67"/>
    <hyperlink xmlns:r="http://schemas.openxmlformats.org/officeDocument/2006/relationships" ref="AA72" display="https://www.tcgplayer.com/product/477058" r:id="rId68"/>
    <hyperlink xmlns:r="http://schemas.openxmlformats.org/officeDocument/2006/relationships" ref="AA73" display="https://www.tcgplayer.com/product/498100" r:id="rId69"/>
    <hyperlink xmlns:r="http://schemas.openxmlformats.org/officeDocument/2006/relationships" ref="AA74" display="https://www.tcgplayer.com/product/498100" r:id="rId70"/>
    <hyperlink xmlns:r="http://schemas.openxmlformats.org/officeDocument/2006/relationships" ref="AA75" display="https://www.tcgplayer.com/product/498084" r:id="rId71"/>
    <hyperlink xmlns:r="http://schemas.openxmlformats.org/officeDocument/2006/relationships" ref="AA76" display="https://www.tcgplayer.com/product/498106" r:id="rId72"/>
    <hyperlink xmlns:r="http://schemas.openxmlformats.org/officeDocument/2006/relationships" ref="AA77" display="https://www.tcgplayer.com/product/498103" r:id="rId73"/>
    <hyperlink xmlns:r="http://schemas.openxmlformats.org/officeDocument/2006/relationships" ref="AA78" display="https://www.tcgplayer.com/product/498099" r:id="rId74"/>
    <hyperlink xmlns:r="http://schemas.openxmlformats.org/officeDocument/2006/relationships" ref="AA79" display="https://www.tcgplayer.com/product/498101" r:id="rId75"/>
    <hyperlink xmlns:r="http://schemas.openxmlformats.org/officeDocument/2006/relationships" ref="AA80" display="https://www.tcgplayer.com/product/498102" r:id="rId76"/>
    <hyperlink xmlns:r="http://schemas.openxmlformats.org/officeDocument/2006/relationships" ref="AA81" display="https://www.tcgplayer.com/product/498075" r:id="rId77"/>
    <hyperlink xmlns:r="http://schemas.openxmlformats.org/officeDocument/2006/relationships" ref="AA82" display="https://www.tcgplayer.com/product/498104" r:id="rId78"/>
    <hyperlink xmlns:r="http://schemas.openxmlformats.org/officeDocument/2006/relationships" ref="AA83" display="https://www.pricecharting.com/game/pokemon-paldea-evolved/iono-237" r:id="rId79"/>
    <hyperlink xmlns:r="http://schemas.openxmlformats.org/officeDocument/2006/relationships" ref="AA84" display="https://www.tcgplayer.com/product/505420" r:id="rId80"/>
    <hyperlink xmlns:r="http://schemas.openxmlformats.org/officeDocument/2006/relationships" ref="AA85" display="https://www.tcgplayer.com/product/521988" r:id="rId81"/>
    <hyperlink xmlns:r="http://schemas.openxmlformats.org/officeDocument/2006/relationships" ref="AA86" display="https://www.pricecharting.com/game/pokemon-obsidian-flames/charizard-ex-special-illustration-rare-215" r:id="rId82"/>
    <hyperlink xmlns:r="http://schemas.openxmlformats.org/officeDocument/2006/relationships" ref="AA87" display="https://www.tcgplayer.com/product/521990" r:id="rId83"/>
    <hyperlink xmlns:r="http://schemas.openxmlformats.org/officeDocument/2006/relationships" ref="AA88" display="https://www.tcgplayer.com/product/521989" r:id="rId84"/>
    <hyperlink xmlns:r="http://schemas.openxmlformats.org/officeDocument/2006/relationships" ref="AA89" display="https://www.tcgplayer.com/product/536451" r:id="rId85"/>
    <hyperlink xmlns:r="http://schemas.openxmlformats.org/officeDocument/2006/relationships" ref="AA90" display="https://www.tcgplayer.com/product/536452" r:id="rId86"/>
    <hyperlink xmlns:r="http://schemas.openxmlformats.org/officeDocument/2006/relationships" ref="AA91" display="https://www.tcgplayer.com/product/536461" r:id="rId87"/>
    <hyperlink xmlns:r="http://schemas.openxmlformats.org/officeDocument/2006/relationships" ref="AA92" display="https://www.tcgplayer.com/product/536453" r:id="rId88"/>
    <hyperlink xmlns:r="http://schemas.openxmlformats.org/officeDocument/2006/relationships" ref="AA93" display="https://www.tcgplayer.com/product/536474" r:id="rId89"/>
    <hyperlink xmlns:r="http://schemas.openxmlformats.org/officeDocument/2006/relationships" ref="AA94" display="https://www.tcgplayer.com/product/536475" r:id="rId90"/>
    <hyperlink xmlns:r="http://schemas.openxmlformats.org/officeDocument/2006/relationships" ref="AA95" display="https://www.tcgplayer.com/product/542687" r:id="rId91"/>
    <hyperlink xmlns:r="http://schemas.openxmlformats.org/officeDocument/2006/relationships" ref="AA96" display="https://www.tcgplayer.com/product/542688" r:id="rId92"/>
    <hyperlink xmlns:r="http://schemas.openxmlformats.org/officeDocument/2006/relationships" ref="AA97" display="https://www.tcgplayer.com/product/542685" r:id="rId93"/>
    <hyperlink xmlns:r="http://schemas.openxmlformats.org/officeDocument/2006/relationships" ref="AA98" display="https://www.tcgplayer.com/product/567103" r:id="rId94"/>
    <hyperlink xmlns:r="http://schemas.openxmlformats.org/officeDocument/2006/relationships" ref="AA99" display="https://www.tcgplayer.com/product/567100" r:id="rId95"/>
    <hyperlink xmlns:r="http://schemas.openxmlformats.org/officeDocument/2006/relationships" ref="AA100" display="https://www.tcgplayer.com/product/567101" r:id="rId96"/>
    <hyperlink xmlns:r="http://schemas.openxmlformats.org/officeDocument/2006/relationships" ref="AA101" display="https://www.tcgplayer.com/product/586420" r:id="rId97"/>
    <hyperlink xmlns:r="http://schemas.openxmlformats.org/officeDocument/2006/relationships" ref="AA102" display="https://www.tcgplayer.com/product/586412" r:id="rId98"/>
    <hyperlink xmlns:r="http://schemas.openxmlformats.org/officeDocument/2006/relationships" ref="AA103" display="https://www.tcgplayer.com/product/598340" r:id="rId99"/>
    <hyperlink xmlns:r="http://schemas.openxmlformats.org/officeDocument/2006/relationships" ref="AA104" display="https://www.tcgplayer.com/product/598335" r:id="rId100"/>
    <hyperlink xmlns:r="http://schemas.openxmlformats.org/officeDocument/2006/relationships" ref="AA105" display="https://www.tcgplayer.com/product/610489" r:id="rId101"/>
    <hyperlink xmlns:r="http://schemas.openxmlformats.org/officeDocument/2006/relationships" ref="AA106" display="https://www.tcgplayer.com/product/610490" r:id="rId102"/>
    <hyperlink xmlns:r="http://schemas.openxmlformats.org/officeDocument/2006/relationships" ref="AA107" display="https://www.tcgplayer.com/product/610491" r:id="rId103"/>
    <hyperlink xmlns:r="http://schemas.openxmlformats.org/officeDocument/2006/relationships" ref="AA108" display="https://www.pricecharting.com/game/pokemon-prismatic-evolutions/umbreon-ex-161" r:id="rId104"/>
    <hyperlink xmlns:r="http://schemas.openxmlformats.org/officeDocument/2006/relationships" ref="AA109" display="https://www.tcgplayer.com/product/610516" r:id="rId105"/>
    <hyperlink xmlns:r="http://schemas.openxmlformats.org/officeDocument/2006/relationships" ref="AA110" display="https://www.pricecharting.com/game/pokemon-prismatic-evolutions/sylveon-ex-156" r:id="rId106"/>
    <hyperlink xmlns:r="http://schemas.openxmlformats.org/officeDocument/2006/relationships" ref="AA111" display="https://www.tcgplayer.com/product/610510" r:id="rId107"/>
    <hyperlink xmlns:r="http://schemas.openxmlformats.org/officeDocument/2006/relationships" ref="AA112" display="https://www.tcgplayer.com/product/610514" r:id="rId108"/>
    <hyperlink xmlns:r="http://schemas.openxmlformats.org/officeDocument/2006/relationships" ref="AA113" display="https://www.tcgplayer.com/product/610513" r:id="rId109"/>
    <hyperlink xmlns:r="http://schemas.openxmlformats.org/officeDocument/2006/relationships" ref="AA114" display="https://www.tcgplayer.com/product/610499" r:id="rId110"/>
    <hyperlink xmlns:r="http://schemas.openxmlformats.org/officeDocument/2006/relationships" ref="AA115" display="https://www.tcgplayer.com/product/645321" r:id="rId111"/>
    <hyperlink xmlns:r="http://schemas.openxmlformats.org/officeDocument/2006/relationships" ref="AA116" display="https://www.tcgplayer.com/product/645316" r:id="rId112"/>
    <hyperlink xmlns:r="http://schemas.openxmlformats.org/officeDocument/2006/relationships" ref="AA117" display="https://www.tcgplayer.com/product/654523" r:id="rId113"/>
    <hyperlink xmlns:r="http://schemas.openxmlformats.org/officeDocument/2006/relationships" ref="AA118" display="https://www.tcgplayer.com/product/654523" r:id="rId114"/>
    <hyperlink xmlns:r="http://schemas.openxmlformats.org/officeDocument/2006/relationships" ref="AA119" display="https://www.tcgplayer.com/product/654519" r:id="rId115"/>
    <hyperlink xmlns:r="http://schemas.openxmlformats.org/officeDocument/2006/relationships" ref="AA120" display="https://www.pricecharting.com/game/pokemon-ascended-heroes/mega-gengar-ex-284" r:id="rId116"/>
    <hyperlink xmlns:r="http://schemas.openxmlformats.org/officeDocument/2006/relationships" ref="AA121" display="https://www.tcgplayer.com/product/676096" r:id="rId117"/>
    <hyperlink xmlns:r="http://schemas.openxmlformats.org/officeDocument/2006/relationships" ref="AA122" display="https://www.tcgplayer.com/product/676081" r:id="rId118"/>
    <hyperlink xmlns:r="http://schemas.openxmlformats.org/officeDocument/2006/relationships" ref="AA123" display="https://www.tcgplayer.com/product/676098" r:id="rId119"/>
    <hyperlink xmlns:r="http://schemas.openxmlformats.org/officeDocument/2006/relationships" ref="AA124" display="https://www.tcgplayer.com/product/676097" r:id="rId120"/>
    <hyperlink xmlns:r="http://schemas.openxmlformats.org/officeDocument/2006/relationships" ref="AA125" display="https://www.tcgplayer.com/product/676095" r:id="rId121"/>
    <hyperlink xmlns:r="http://schemas.openxmlformats.org/officeDocument/2006/relationships" ref="AA126" display="https://www.tcgplayer.com/product/676100" r:id="rId122"/>
    <hyperlink xmlns:r="http://schemas.openxmlformats.org/officeDocument/2006/relationships" ref="AA127" display="https://www.tcgplayer.com/product/676100" r:id="rId123"/>
    <hyperlink xmlns:r="http://schemas.openxmlformats.org/officeDocument/2006/relationships" ref="AA128" display="https://www.pricecharting.com/game/pokemon-promo/van-gogh-pikachu-085" r:id="rId124"/>
    <hyperlink xmlns:r="http://schemas.openxmlformats.org/officeDocument/2006/relationships" ref="AA129" display="https://www.pricecharting.com/game/pokemon-promo/van-gogh-pikachu-085" r:id="rId125"/>
    <hyperlink xmlns:r="http://schemas.openxmlformats.org/officeDocument/2006/relationships" ref="AA130" display="https://www.pricecharting.com/game/pokemon-promo/pokemon-day-2026-pikachu" r:id="rId126"/>
    <hyperlink xmlns:r="http://schemas.openxmlformats.org/officeDocument/2006/relationships" ref="AA131" display="https://www.pricecharting.com/game/pokemon-promo/birthday-pikachu-24" r:id="rId127"/>
    <hyperlink xmlns:r="http://schemas.openxmlformats.org/officeDocument/2006/relationships" ref="AA132" display="https://www.pricecharting.com/game/pokemon-promo/tropical-wind-2010" r:id="rId128"/>
    <hyperlink xmlns:r="http://schemas.openxmlformats.org/officeDocument/2006/relationships" ref="AA133" display="https://www.pricecharting.com/game/pokemon-evolving-skies/booster-box" r:id="rId129"/>
    <hyperlink xmlns:r="http://schemas.openxmlformats.org/officeDocument/2006/relationships" ref="AA134" display="https://www.pricecharting.com/game/pokemon-evolving-skies/elite-trainer-box" r:id="rId130"/>
    <hyperlink xmlns:r="http://schemas.openxmlformats.org/officeDocument/2006/relationships" ref="AA135" display="https://www.pricecharting.com/game/pokemon-evolving-skies/booster-bundle" r:id="rId131"/>
    <hyperlink xmlns:r="http://schemas.openxmlformats.org/officeDocument/2006/relationships" ref="AA136" display="https://www.pricecharting.com/game/pokemon-crown-zenith/elite-trainer-box" r:id="rId132"/>
    <hyperlink xmlns:r="http://schemas.openxmlformats.org/officeDocument/2006/relationships" ref="AA137" display="https://www.pricecharting.com/game/pokemon-crown-zenith/premium-playmat" r:id="rId133"/>
    <hyperlink xmlns:r="http://schemas.openxmlformats.org/officeDocument/2006/relationships" ref="AA138" display="https://www.pricecharting.com/game/pokemon-brilliant-stars/booster-box" r:id="rId134"/>
    <hyperlink xmlns:r="http://schemas.openxmlformats.org/officeDocument/2006/relationships" ref="AA139" display="https://www.pricecharting.com/game/pokemon-astral-radiance/booster-box" r:id="rId135"/>
    <hyperlink xmlns:r="http://schemas.openxmlformats.org/officeDocument/2006/relationships" ref="AA140" display="https://www.pricecharting.com/game/pokemon-lost-origin/booster-box" r:id="rId136"/>
    <hyperlink xmlns:r="http://schemas.openxmlformats.org/officeDocument/2006/relationships" ref="AA141" display="https://www.pricecharting.com/game/pokemon-silver-tempest/booster-box" r:id="rId137"/>
    <hyperlink xmlns:r="http://schemas.openxmlformats.org/officeDocument/2006/relationships" ref="AA142" display="https://www.tcgplayer.com/product/502000" r:id="rId138"/>
    <hyperlink xmlns:r="http://schemas.openxmlformats.org/officeDocument/2006/relationships" ref="AA143" display="https://www.pricecharting.com/game/pokemon-scarlet-&amp;-violet-151/elite-trainer-box" r:id="rId139"/>
    <hyperlink xmlns:r="http://schemas.openxmlformats.org/officeDocument/2006/relationships" ref="AA144" display="https://www.pricecharting.com/game/pokemon-scarlet-&amp;-violet-151/ultra-premium-collection" r:id="rId140"/>
    <hyperlink xmlns:r="http://schemas.openxmlformats.org/officeDocument/2006/relationships" ref="AA145" display="https://www.pricecharting.com/game/pokemon-paldea-evolved/booster-box" r:id="rId141"/>
    <hyperlink xmlns:r="http://schemas.openxmlformats.org/officeDocument/2006/relationships" ref="AA146" display="https://www.pricecharting.com/game/pokemon-obsidian-flames/booster-box" r:id="rId142"/>
    <hyperlink xmlns:r="http://schemas.openxmlformats.org/officeDocument/2006/relationships" ref="AA147" display="https://www.pricecharting.com/game/pokemon-obsidian-flames/elite-trainer-box" r:id="rId143"/>
    <hyperlink xmlns:r="http://schemas.openxmlformats.org/officeDocument/2006/relationships" ref="AA148" display="https://www.pricecharting.com/game/pokemon-paldean-fates/elite-trainer-box" r:id="rId144"/>
    <hyperlink xmlns:r="http://schemas.openxmlformats.org/officeDocument/2006/relationships" ref="AA149" display="https://www.pricecharting.com/game/pokemon-paldean-fates/booster-bundle" r:id="rId145"/>
    <hyperlink xmlns:r="http://schemas.openxmlformats.org/officeDocument/2006/relationships" ref="AA150" display="https://www.pricecharting.com/game/pokemon-paradox-rift/booster-box" r:id="rId146"/>
    <hyperlink xmlns:r="http://schemas.openxmlformats.org/officeDocument/2006/relationships" ref="AA151" display="https://www.pricecharting.com/game/pokemon-paradox-rift/elite-trainer-box" r:id="rId147"/>
    <hyperlink xmlns:r="http://schemas.openxmlformats.org/officeDocument/2006/relationships" ref="AA152" display="https://www.pricecharting.com/game/pokemon-twilight-masquerade/booster-box" r:id="rId148"/>
    <hyperlink xmlns:r="http://schemas.openxmlformats.org/officeDocument/2006/relationships" ref="AA153" display="https://www.pricecharting.com/game/pokemon-shrouded-fable/tin" r:id="rId149"/>
    <hyperlink xmlns:r="http://schemas.openxmlformats.org/officeDocument/2006/relationships" ref="AA154" display="https://www.pricecharting.com/game/pokemon-stellar-crown/booster-box" r:id="rId150"/>
    <hyperlink xmlns:r="http://schemas.openxmlformats.org/officeDocument/2006/relationships" ref="AA155" display="https://www.pricecharting.com/game/pokemon-surging-sparks/booster-box" r:id="rId151"/>
    <hyperlink xmlns:r="http://schemas.openxmlformats.org/officeDocument/2006/relationships" ref="AA156" display="https://www.pokemonpricetracker.com/blog/posts/prismatic-evolutions-set-review-2026-complete-guide" r:id="rId152"/>
    <hyperlink xmlns:r="http://schemas.openxmlformats.org/officeDocument/2006/relationships" ref="AA157" display="https://www.pricecharting.com/game/pokemon-prismatic-evolutions/booster-bundle" r:id="rId153"/>
    <hyperlink xmlns:r="http://schemas.openxmlformats.org/officeDocument/2006/relationships" ref="AA158" display="https://www.pricecharting.com/game/pokemon-mega-evolution/booster-box" r:id="rId154"/>
    <hyperlink xmlns:r="http://schemas.openxmlformats.org/officeDocument/2006/relationships" ref="AA159" display="https://www.pricecharting.com/game/pokemon-ascended-heroes/booster-box" r:id="rId155"/>
    <hyperlink xmlns:r="http://schemas.openxmlformats.org/officeDocument/2006/relationships" ref="AA160" display="https://www.pricecharting.com/game/pokemon-promo/pokemon-day-2026-collection-box" r:id="rId156"/>
    <hyperlink xmlns:r="http://schemas.openxmlformats.org/officeDocument/2006/relationships" ref="AA161" display="https://www.pricecharting.com/game/pokemon-promo/30th-anniversary-etb" r:id="rId157"/>
    <hyperlink xmlns:r="http://schemas.openxmlformats.org/officeDocument/2006/relationships" ref="AA162" display="https://www.pricecharting.com/game/pokemon-promo/charizard-ex-premium-collection" r:id="rId158"/>
    <hyperlink xmlns:r="http://schemas.openxmlformats.org/officeDocument/2006/relationships" ref="AA163" display="https://www.pricecharting.com/game/pokemon-promo/mew-ultra-premium-collection" r:id="rId159"/>
    <hyperlink xmlns:r="http://schemas.openxmlformats.org/officeDocument/2006/relationships" ref="AA164" display="https://www.pricecharting.com/game/pokemon-crown-zenith/tin" r:id="rId160"/>
    <hyperlink xmlns:r="http://schemas.openxmlformats.org/officeDocument/2006/relationships" ref="AA165" display="https://www.pricecharting.com/game/pokemon-paldea-evolved/iono-237" r:id="rId161"/>
    <hyperlink xmlns:r="http://schemas.openxmlformats.org/officeDocument/2006/relationships" ref="AA166" display="https://www.pricecharting.com/game/pokemon-promo/pikachu-v-union" r:id="rId162"/>
    <hyperlink xmlns:r="http://schemas.openxmlformats.org/officeDocument/2006/relationships" ref="AA167" display="https://www.pricecharting.com/game/pokemon-sword-and-shield/marnie-full-art-200" r:id="rId163"/>
    <hyperlink xmlns:r="http://schemas.openxmlformats.org/officeDocument/2006/relationships" ref="AA168" display="https://www.pricecharting.com/game/pokemon-ultra-prism/cynthia-full-art-148" r:id="rId164"/>
    <hyperlink xmlns:r="http://schemas.openxmlformats.org/officeDocument/2006/relationships" ref="AA169" display="https://www.tcgplayer.com/product/498104" r:id="rId165"/>
    <hyperlink xmlns:r="http://schemas.openxmlformats.org/officeDocument/2006/relationships" ref="AA170" display="https://www.tcgplayer.com/product/654525" r:id="rId166"/>
    <hyperlink xmlns:r="http://schemas.openxmlformats.org/officeDocument/2006/relationships" ref="AA171" display="https://www.pricecharting.com/game/pokemon-promo/mewtwo-wave-holo" r:id="rId167"/>
    <hyperlink xmlns:r="http://schemas.openxmlformats.org/officeDocument/2006/relationships" ref="AA172" display="https://www.pricecharting.com/game/pokemon-promo/ancient-mew" r:id="rId168"/>
    <hyperlink xmlns:r="http://schemas.openxmlformats.org/officeDocument/2006/relationships" ref="AA173" display="https://www.pricecharting.com/game/pokemon-flashfire/m-charizard-ex-full-art-100" r:id="rId169"/>
    <hyperlink xmlns:r="http://schemas.openxmlformats.org/officeDocument/2006/relationships" ref="AA174" display="https://www.pricecharting.com/game/pokemon-roaring-skies/m-rayquaza-ex-full-art-76" r:id="rId170"/>
    <hyperlink xmlns:r="http://schemas.openxmlformats.org/officeDocument/2006/relationships" ref="AA175" display="https://www.pricecharting.com/game/pokemon-ex-crystal-guardians/charizard-star-delta-species-100" r:id="rId171"/>
    <hyperlink xmlns:r="http://schemas.openxmlformats.org/officeDocument/2006/relationships" ref="AA176" display="https://www.tcgplayer.com/product/271606" r:id="rId172"/>
    <hyperlink xmlns:r="http://schemas.openxmlformats.org/officeDocument/2006/relationships" ref="AA177" display="https://www.pricecharting.com/game/pokemon-japanese-eevee-heroes/eevee-v-alt-art" r:id="rId173"/>
    <hyperlink xmlns:r="http://schemas.openxmlformats.org/officeDocument/2006/relationships" ref="AA178" display="https://www.pricecharting.com/game/pokemon-promo/charizard-star-holographic" r:id="rId174"/>
    <hyperlink xmlns:r="http://schemas.openxmlformats.org/officeDocument/2006/relationships" ref="AA179" display="https://www.pricecharting.com/game/pokemon-skyridge/crystal-charizard-146" r:id="rId175"/>
    <hyperlink xmlns:r="http://schemas.openxmlformats.org/officeDocument/2006/relationships" ref="AA180" display="https://www.pricecharting.com/game/pokemon-japanese-promo/pikachu-25th-anniversary" r:id="rId176"/>
    <hyperlink xmlns:r="http://schemas.openxmlformats.org/officeDocument/2006/relationships" ref="AA181" display="https://www.pricecharting.com/game/pokemon-japanese-vmax-climax/mew-v-chr" r:id="rId177"/>
    <hyperlink xmlns:r="http://schemas.openxmlformats.org/officeDocument/2006/relationships" ref="AA182" display="https://www.pricecharting.com/game/pokemon-japanese-vmax-climax/charizard-v-csr" r:id="rId178"/>
    <hyperlink xmlns:r="http://schemas.openxmlformats.org/officeDocument/2006/relationships" ref="AA183" display="https://www.pricecharting.com/game/pokemon-japanese-eevee-heroes/rayquaza-v-alt" r:id="rId179"/>
    <hyperlink xmlns:r="http://schemas.openxmlformats.org/officeDocument/2006/relationships" ref="AA184" display="https://www.pricecharting.com/game/pokemon-japanese-eevee-heroes/umbreon-vmax-alt" r:id="rId180"/>
    <hyperlink xmlns:r="http://schemas.openxmlformats.org/officeDocument/2006/relationships" ref="AA185" display="https://www.pricecharting.com/game/pokemon-japanese-paradigm-trigger/lugia-vstar" r:id="rId181"/>
    <hyperlink xmlns:r="http://schemas.openxmlformats.org/officeDocument/2006/relationships" ref="AA186" display="https://www.pricecharting.com/game/pokemon-japanese-promo/trainers-card-pokemon-day" r:id="rId182"/>
    <hyperlink xmlns:r="http://schemas.openxmlformats.org/officeDocument/2006/relationships" ref="AA187" display="https://www.pricecharting.com/game/pokemon-japanese-promo/mewtwo-star-movie" r:id="rId183"/>
    <hyperlink xmlns:r="http://schemas.openxmlformats.org/officeDocument/2006/relationships" ref="AA188" display="https://www.pricecharting.com/game/pokemon-japanese-vstar-universe/high-class-box" r:id="rId184"/>
    <hyperlink xmlns:r="http://schemas.openxmlformats.org/officeDocument/2006/relationships" ref="AA189" display="https://www.pricecharting.com/game/pokemon-japanese-eevee-heroes/booster-box" r:id="rId185"/>
    <hyperlink xmlns:r="http://schemas.openxmlformats.org/officeDocument/2006/relationships" ref="AA190" display="https://www.pricecharting.com/game/pokemon-jungle/pikachu-1st-edition-60" r:id="rId186"/>
    <hyperlink xmlns:r="http://schemas.openxmlformats.org/officeDocument/2006/relationships" ref="AA191" display="https://www.pricecharting.com/game/pokemon-jungle/snorlax-1st-edition-11" r:id="rId187"/>
    <hyperlink xmlns:r="http://schemas.openxmlformats.org/officeDocument/2006/relationships" ref="AA192" display="https://www.pricecharting.com/game/pokemon-fossil/aerodactyl-1st-edition-1" r:id="rId188"/>
    <hyperlink xmlns:r="http://schemas.openxmlformats.org/officeDocument/2006/relationships" ref="AA193" display="https://www.pricecharting.com/game/pokemon-fossil/gengar-1st-edition-5" r:id="rId189"/>
    <hyperlink xmlns:r="http://schemas.openxmlformats.org/officeDocument/2006/relationships" ref="AA194" display="https://www.pricecharting.com/game/pokemon-team-rocket/dark-charizard-1st-edition-4" r:id="rId190"/>
    <hyperlink xmlns:r="http://schemas.openxmlformats.org/officeDocument/2006/relationships" ref="AA195" display="https://www.pricecharting.com/game/pokemon-team-rocket/dark-blastoise-1st-edition-20" r:id="rId191"/>
    <hyperlink xmlns:r="http://schemas.openxmlformats.org/officeDocument/2006/relationships" ref="AA196" display="https://www.pricecharting.com/game/pokemon-neo-revelation/suicune-1st-edition-14" r:id="rId192"/>
    <hyperlink xmlns:r="http://schemas.openxmlformats.org/officeDocument/2006/relationships" ref="AA197" display="https://www.pricecharting.com/game/pokemon-neo-revelation/ho-oh-1st-edition-7" r:id="rId193"/>
    <hyperlink xmlns:r="http://schemas.openxmlformats.org/officeDocument/2006/relationships" ref="AA198" display="https://www.tcgplayer.com/product/498108" r:id="rId194"/>
    <hyperlink xmlns:r="http://schemas.openxmlformats.org/officeDocument/2006/relationships" ref="AA199" display="https://www.pricecharting.com/game/pokemon-promo/mistys-tears" r:id="rId195"/>
    <hyperlink xmlns:r="http://schemas.openxmlformats.org/officeDocument/2006/relationships" ref="AA200" display="https://www.pricecharting.com/game/pokemon-hidden-fates/latias-and-latios-gx-169" r:id="rId196"/>
    <hyperlink xmlns:r="http://schemas.openxmlformats.org/officeDocument/2006/relationships" ref="AA201" display="https://www.pricecharting.com/game/pokemon-hidden-fates/charizard-gx-shiny-sv49" r:id="rId197"/>
    <hyperlink xmlns:r="http://schemas.openxmlformats.org/officeDocument/2006/relationships" ref="AA202" display="https://www.pricecharting.com/game/pokemon-promo/mewtwo-mew-gx-sm196" r:id="rId198"/>
    <hyperlink xmlns:r="http://schemas.openxmlformats.org/officeDocument/2006/relationships" ref="AA203" display="https://www.tcgplayer.com/product/567050" r:id="rId199"/>
    <hyperlink xmlns:r="http://schemas.openxmlformats.org/officeDocument/2006/relationships" ref="AA204" display="https://www.tcgplayer.com/product/567092" r:id="rId200"/>
    <hyperlink xmlns:r="http://schemas.openxmlformats.org/officeDocument/2006/relationships" ref="AA205" display="https://www.tcgplayer.com/product/586411" r:id="rId201"/>
    <hyperlink xmlns:r="http://schemas.openxmlformats.org/officeDocument/2006/relationships" ref="AA206" display="https://www.tcgplayer.com/product/598334" r:id="rId202"/>
    <hyperlink xmlns:r="http://schemas.openxmlformats.org/officeDocument/2006/relationships" ref="AA207" display="https://www.tcgplayer.com/product/598336" r:id="rId203"/>
    <hyperlink xmlns:r="http://schemas.openxmlformats.org/officeDocument/2006/relationships" ref="AA208" display="https://www.tcgplayer.com/product/498119" r:id="rId204"/>
    <hyperlink xmlns:r="http://schemas.openxmlformats.org/officeDocument/2006/relationships" ref="AA209" display="https://www.tcgplayer.com/product/500001" r:id="rId205"/>
    <hyperlink xmlns:r="http://schemas.openxmlformats.org/officeDocument/2006/relationships" ref="AA210" display="https://www.tcgplayer.com/product/477145" r:id="rId206"/>
    <hyperlink xmlns:r="http://schemas.openxmlformats.org/officeDocument/2006/relationships" ref="AA211" display="https://www.tcgplayer.com/product/267745" r:id="rId207"/>
    <hyperlink xmlns:r="http://schemas.openxmlformats.org/officeDocument/2006/relationships" ref="AA212" display="https://www.tcgplayer.com/product/271629" r:id="rId208"/>
    <hyperlink xmlns:r="http://schemas.openxmlformats.org/officeDocument/2006/relationships" ref="AA213" display="https://www.tcgplayer.com/product/267748" r:id="rId209"/>
    <hyperlink xmlns:r="http://schemas.openxmlformats.org/officeDocument/2006/relationships" ref="AA214" display="https://www.tcgplayer.com/product/521995" r:id="rId210"/>
    <hyperlink xmlns:r="http://schemas.openxmlformats.org/officeDocument/2006/relationships" ref="AA215" display="https://www.tcgplayer.com/product/505418" r:id="rId211"/>
    <hyperlink xmlns:r="http://schemas.openxmlformats.org/officeDocument/2006/relationships" ref="AA216" display="https://www.tcgplayer.com/product/505419" r:id="rId212"/>
    <hyperlink xmlns:r="http://schemas.openxmlformats.org/officeDocument/2006/relationships" ref="AA217" display="https://www.tcgplayer.com/product/536454" r:id="rId213"/>
    <hyperlink xmlns:r="http://schemas.openxmlformats.org/officeDocument/2006/relationships" ref="AA218" display="https://www.tcgplayer.com/product/536455" r:id="rId214"/>
    <hyperlink xmlns:r="http://schemas.openxmlformats.org/officeDocument/2006/relationships" ref="AA219" display="https://www.tcgplayer.com/product/553420" r:id="rId215"/>
    <hyperlink xmlns:r="http://schemas.openxmlformats.org/officeDocument/2006/relationships" ref="AA220" display="https://www.tcgplayer.com/product/553421" r:id="rId216"/>
    <hyperlink xmlns:r="http://schemas.openxmlformats.org/officeDocument/2006/relationships" ref="AA221" display="https://www.tcgplayer.com/product/482220" r:id="rId217"/>
    <hyperlink xmlns:r="http://schemas.openxmlformats.org/officeDocument/2006/relationships" ref="AA222" display="https://www.tcgplayer.com/product/482222" r:id="rId218"/>
    <hyperlink xmlns:r="http://schemas.openxmlformats.org/officeDocument/2006/relationships" ref="AA223" display="https://www.tcgplayer.com/product/495018" r:id="rId219"/>
    <hyperlink xmlns:r="http://schemas.openxmlformats.org/officeDocument/2006/relationships" ref="AA224" display="https://www.tcgplayer.com/product/494997" r:id="rId220"/>
    <hyperlink xmlns:r="http://schemas.openxmlformats.org/officeDocument/2006/relationships" ref="AA225" display="https://www.tcgplayer.com/product/495000" r:id="rId221"/>
    <hyperlink xmlns:r="http://schemas.openxmlformats.org/officeDocument/2006/relationships" ref="AA226" display="https://www.tcgplayer.com/product/494994" r:id="rId222"/>
    <hyperlink xmlns:r="http://schemas.openxmlformats.org/officeDocument/2006/relationships" ref="AA227" display="https://www.tcgplayer.com/product/495126" r:id="rId223"/>
    <hyperlink xmlns:r="http://schemas.openxmlformats.org/officeDocument/2006/relationships" ref="AA228" display="https://www.tcgplayer.com/product/270541" r:id="rId224"/>
    <hyperlink xmlns:r="http://schemas.openxmlformats.org/officeDocument/2006/relationships" ref="AA229" display="https://www.tcgplayer.com/product/270542" r:id="rId225"/>
    <hyperlink xmlns:r="http://schemas.openxmlformats.org/officeDocument/2006/relationships" ref="AA230" display="https://www.tcgplayer.com/product/270540" r:id="rId226"/>
    <hyperlink xmlns:r="http://schemas.openxmlformats.org/officeDocument/2006/relationships" ref="AA231" display="https://www.tcgplayer.com/product/270557" r:id="rId227"/>
    <hyperlink xmlns:r="http://schemas.openxmlformats.org/officeDocument/2006/relationships" ref="AA232" display="https://www.tcgplayer.com/product/270522" r:id="rId228"/>
    <hyperlink xmlns:r="http://schemas.openxmlformats.org/officeDocument/2006/relationships" ref="AA233" display="https://www.tcgplayer.com/product/498076" r:id="rId229"/>
    <hyperlink xmlns:r="http://schemas.openxmlformats.org/officeDocument/2006/relationships" ref="AA234" display="https://www.tcgplayer.com/product/498077" r:id="rId230"/>
    <hyperlink xmlns:r="http://schemas.openxmlformats.org/officeDocument/2006/relationships" ref="AA235" display="https://www.tcgplayer.com/product/498075" r:id="rId231"/>
    <hyperlink xmlns:r="http://schemas.openxmlformats.org/officeDocument/2006/relationships" ref="AA236" display="https://www.tcgplayer.com/product/498093" r:id="rId232"/>
    <hyperlink xmlns:r="http://schemas.openxmlformats.org/officeDocument/2006/relationships" ref="AA237" display="https://www.tcgplayer.com/product/498100" r:id="rId233"/>
    <hyperlink xmlns:r="http://schemas.openxmlformats.org/officeDocument/2006/relationships" ref="AA238" display="https://www.tcgplayer.com/product/654522" r:id="rId234"/>
    <hyperlink xmlns:r="http://schemas.openxmlformats.org/officeDocument/2006/relationships" ref="AA239" display="https://www.tcgplayer.com/product/197812" r:id="rId235"/>
    <hyperlink xmlns:r="http://schemas.openxmlformats.org/officeDocument/2006/relationships" ref="AA240" display="https://www.tcgplayer.com/product/240091" r:id="rId236"/>
    <hyperlink xmlns:r="http://schemas.openxmlformats.org/officeDocument/2006/relationships" ref="AA241" display="https://www.tcgplayer.com/product/505431" r:id="rId237"/>
    <hyperlink xmlns:r="http://schemas.openxmlformats.org/officeDocument/2006/relationships" ref="AA242" display="https://www.tcgplayer.com/product/505423" r:id="rId238"/>
    <hyperlink xmlns:r="http://schemas.openxmlformats.org/officeDocument/2006/relationships" ref="AA243" display="https://www.tcgplayer.com/product/654534" r:id="rId239"/>
    <hyperlink xmlns:r="http://schemas.openxmlformats.org/officeDocument/2006/relationships" ref="AA244" display="https://www.tcgplayer.com/product/654373" r:id="rId240"/>
    <hyperlink xmlns:r="http://schemas.openxmlformats.org/officeDocument/2006/relationships" ref="AA245" display="https://www.tcgplayer.com/product/654374" r:id="rId241"/>
    <hyperlink xmlns:r="http://schemas.openxmlformats.org/officeDocument/2006/relationships" ref="AA246" display="https://www.tcgplayer.com/product/676000" r:id="rId242"/>
    <hyperlink xmlns:r="http://schemas.openxmlformats.org/officeDocument/2006/relationships" ref="AA247" display="https://www.tcgplayer.com/product/676021" r:id="rId243"/>
    <hyperlink xmlns:r="http://schemas.openxmlformats.org/officeDocument/2006/relationships" ref="AA248" display="https://www.tcgplayer.com/product/676044" r:id="rId244"/>
    <hyperlink xmlns:r="http://schemas.openxmlformats.org/officeDocument/2006/relationships" ref="AA249" display="https://www.tcgplayer.com/product/610387" r:id="rId245"/>
    <hyperlink xmlns:r="http://schemas.openxmlformats.org/officeDocument/2006/relationships" ref="AA250" display="https://www.tcgplayer.com/product/610400" r:id="rId246"/>
    <hyperlink xmlns:r="http://schemas.openxmlformats.org/officeDocument/2006/relationships" ref="AA251" display="https://www.tcgplayer.com/product/610421" r:id="rId247"/>
    <hyperlink xmlns:r="http://schemas.openxmlformats.org/officeDocument/2006/relationships" ref="AA252" display="https://www.tcgplayer.com/product/610376" r:id="rId248"/>
    <hyperlink xmlns:r="http://schemas.openxmlformats.org/officeDocument/2006/relationships" ref="AA253" display="https://www.tcgplayer.com/product/610431" r:id="rId249"/>
    <hyperlink xmlns:r="http://schemas.openxmlformats.org/officeDocument/2006/relationships" ref="AA254" display="https://www.tcgplayer.com/product/610486" r:id="rId250"/>
    <hyperlink xmlns:r="http://schemas.openxmlformats.org/officeDocument/2006/relationships" ref="AA255" display="https://www.tcgplayer.com/product/610363" r:id="rId251"/>
    <hyperlink xmlns:r="http://schemas.openxmlformats.org/officeDocument/2006/relationships" ref="AA256" display="https://www.tcgplayer.com/product/610390" r:id="rId252"/>
    <hyperlink xmlns:r="http://schemas.openxmlformats.org/officeDocument/2006/relationships" ref="AA257" display="https://www.tcgplayer.com/product/610441" r:id="rId253"/>
    <hyperlink xmlns:r="http://schemas.openxmlformats.org/officeDocument/2006/relationships" ref="AA258" display="https://www.tcgplayer.com/product/610356" r:id="rId254"/>
    <hyperlink xmlns:r="http://schemas.openxmlformats.org/officeDocument/2006/relationships" ref="AA259" display="https://www.tcgplayer.com/product/610379" r:id="rId255"/>
    <hyperlink xmlns:r="http://schemas.openxmlformats.org/officeDocument/2006/relationships" ref="AA260" display="https://www.tcgplayer.com/product/610463" r:id="rId256"/>
    <hyperlink xmlns:r="http://schemas.openxmlformats.org/officeDocument/2006/relationships" ref="AA261" display="https://www.tcgplayer.com/product/610498" r:id="rId257"/>
    <hyperlink xmlns:r="http://schemas.openxmlformats.org/officeDocument/2006/relationships" ref="AA262" display="https://www.tcgplayer.com/product/610516" r:id="rId258"/>
    <hyperlink xmlns:r="http://schemas.openxmlformats.org/officeDocument/2006/relationships" ref="AA263" display="https://www.tcgplayer.com/product/610489" r:id="rId259"/>
    <hyperlink xmlns:r="http://schemas.openxmlformats.org/officeDocument/2006/relationships" ref="AA264" display="https://www.tcgplayer.com/product/567103" r:id="rId260"/>
    <hyperlink xmlns:r="http://schemas.openxmlformats.org/officeDocument/2006/relationships" ref="AA265" display="https://www.tcgplayer.com/product/271622" r:id="rId261"/>
    <hyperlink xmlns:r="http://schemas.openxmlformats.org/officeDocument/2006/relationships" ref="AA266" display="https://www.tcgplayer.com/product/536452" r:id="rId262"/>
    <hyperlink xmlns:r="http://schemas.openxmlformats.org/officeDocument/2006/relationships" ref="AA267" display="https://www.tcgplayer.com/product/536451" r:id="rId263"/>
    <hyperlink xmlns:r="http://schemas.openxmlformats.org/officeDocument/2006/relationships" ref="AA268" display="https://www.tcgplayer.com/product/521989" r:id="rId264"/>
    <hyperlink xmlns:r="http://schemas.openxmlformats.org/officeDocument/2006/relationships" ref="AA269" display="https://www.tcgplayer.com/product/567099" r:id="rId265"/>
    <hyperlink xmlns:r="http://schemas.openxmlformats.org/officeDocument/2006/relationships" ref="AA270" display="https://www.tcgplayer.com/product/250000" r:id="rId266"/>
    <hyperlink xmlns:r="http://schemas.openxmlformats.org/officeDocument/2006/relationships" ref="AA271" display="https://www.tcgplayer.com/product/261819" r:id="rId267"/>
    <hyperlink xmlns:r="http://schemas.openxmlformats.org/officeDocument/2006/relationships" ref="AA272" display="https://www.tcgplayer.com/product/254093" r:id="rId268"/>
    <hyperlink xmlns:r="http://schemas.openxmlformats.org/officeDocument/2006/relationships" ref="AA273" display="https://www.tcgplayer.com/product/254092" r:id="rId269"/>
    <hyperlink xmlns:r="http://schemas.openxmlformats.org/officeDocument/2006/relationships" ref="AA274" display="https://www.tcgplayer.com/product/271617" r:id="rId270"/>
    <hyperlink xmlns:r="http://schemas.openxmlformats.org/officeDocument/2006/relationships" ref="AA275" display="https://www.tcgplayer.com/product/261988" r:id="rId271"/>
    <hyperlink xmlns:r="http://schemas.openxmlformats.org/officeDocument/2006/relationships" ref="AA276" display="https://www.tcgplayer.com/product/278920" r:id="rId272"/>
    <hyperlink xmlns:r="http://schemas.openxmlformats.org/officeDocument/2006/relationships" ref="AA277" display="https://www.tcgplayer.com/product/700000" r:id="rId273"/>
    <hyperlink xmlns:r="http://schemas.openxmlformats.org/officeDocument/2006/relationships" ref="AA278" display="https://www.tcgplayer.com/product/267749" r:id="rId274"/>
    <hyperlink xmlns:r="http://schemas.openxmlformats.org/officeDocument/2006/relationships" ref="AA279" display="https://www.tcgplayer.com/product/267748" r:id="rId275"/>
    <hyperlink xmlns:r="http://schemas.openxmlformats.org/officeDocument/2006/relationships" ref="AA280" display="https://www.tcgplayer.com/product/261976" r:id="rId276"/>
    <hyperlink xmlns:r="http://schemas.openxmlformats.org/officeDocument/2006/relationships" ref="AA281" display="https://www.tcgplayer.com/product/271608" r:id="rId277"/>
    <hyperlink xmlns:r="http://schemas.openxmlformats.org/officeDocument/2006/relationships" ref="AA282" display="https://www.tcgplayer.com/product/267729" r:id="rId278"/>
    <hyperlink xmlns:r="http://schemas.openxmlformats.org/officeDocument/2006/relationships" ref="AA283" display="https://www.tcgplayer.com/product/223078" r:id="rId279"/>
    <hyperlink xmlns:r="http://schemas.openxmlformats.org/officeDocument/2006/relationships" ref="AA284" display="https://www.tcgplayer.com/product/278918" r:id="rId280"/>
    <hyperlink xmlns:r="http://schemas.openxmlformats.org/officeDocument/2006/relationships" ref="AA285" display="https://www.tcgplayer.com/product/240071" r:id="rId281"/>
    <hyperlink xmlns:r="http://schemas.openxmlformats.org/officeDocument/2006/relationships" ref="AA286" display="https://www.tcgplayer.com/product/477099" r:id="rId282"/>
    <hyperlink xmlns:r="http://schemas.openxmlformats.org/officeDocument/2006/relationships" ref="AA287" display="https://www.tcgplayer.com/product/477100" r:id="rId283"/>
    <hyperlink xmlns:r="http://schemas.openxmlformats.org/officeDocument/2006/relationships" ref="AA288" display="https://www.tcgplayer.com/product/477101" r:id="rId284"/>
    <hyperlink xmlns:r="http://schemas.openxmlformats.org/officeDocument/2006/relationships" ref="AA289" display="https://www.tcgplayer.com/product/254094" r:id="rId285"/>
    <hyperlink xmlns:r="http://schemas.openxmlformats.org/officeDocument/2006/relationships" ref="AA290" display="https://www.tcgplayer.com/product/246709" r:id="rId286"/>
    <hyperlink xmlns:r="http://schemas.openxmlformats.org/officeDocument/2006/relationships" ref="AA291" display="https://www.tcgplayer.com/product/246708" r:id="rId287"/>
    <hyperlink xmlns:r="http://schemas.openxmlformats.org/officeDocument/2006/relationships" ref="AA292" display="https://www.tcgplayer.com/product/240084" r:id="rId288"/>
    <hyperlink xmlns:r="http://schemas.openxmlformats.org/officeDocument/2006/relationships" ref="AA293" display="https://www.tcgplayer.com/product/261973" r:id="rId289"/>
    <hyperlink xmlns:r="http://schemas.openxmlformats.org/officeDocument/2006/relationships" ref="AA294" display="https://www.tcgplayer.com/product/271627" r:id="rId290"/>
    <hyperlink xmlns:r="http://schemas.openxmlformats.org/officeDocument/2006/relationships" ref="AA295" display="https://www.tcgplayer.com/product/267735" r:id="rId291"/>
    <hyperlink xmlns:r="http://schemas.openxmlformats.org/officeDocument/2006/relationships" ref="AA296" display="https://www.tcgplayer.com/product/271606" r:id="rId292"/>
    <hyperlink xmlns:r="http://schemas.openxmlformats.org/officeDocument/2006/relationships" ref="AA297" display="https://www.tcgplayer.com/product/250100" r:id="rId293"/>
    <hyperlink xmlns:r="http://schemas.openxmlformats.org/officeDocument/2006/relationships" ref="AA298" display="https://www.pricecharting.com/game/pokemon-base-set/charizard-4" r:id="rId294"/>
    <hyperlink xmlns:r="http://schemas.openxmlformats.org/officeDocument/2006/relationships" ref="AA299" display="https://www.pricecharting.com/game/pokemon-base-set/blastoise-2" r:id="rId295"/>
    <hyperlink xmlns:r="http://schemas.openxmlformats.org/officeDocument/2006/relationships" ref="AA300" display="https://www.pricecharting.com/game/pokemon-base-set/venusaur-15" r:id="rId296"/>
    <hyperlink xmlns:r="http://schemas.openxmlformats.org/officeDocument/2006/relationships" ref="AA301" display="https://www.pricecharting.com/game/pokemon-base-set/mewtwo-10" r:id="rId297"/>
    <hyperlink xmlns:r="http://schemas.openxmlformats.org/officeDocument/2006/relationships" ref="AA302" display="https://www.pricecharting.com/game/pokemon-base-set/pikachu-58" r:id="rId298"/>
    <hyperlink xmlns:r="http://schemas.openxmlformats.org/officeDocument/2006/relationships" ref="AA303" display="https://www.pricecharting.com/game/pokemon-jungle/scyther-holo" r:id="rId299"/>
    <hyperlink xmlns:r="http://schemas.openxmlformats.org/officeDocument/2006/relationships" ref="AA304" display="https://www.pricecharting.com/game/pokemon-fossil/dragonite-4" r:id="rId300"/>
    <hyperlink xmlns:r="http://schemas.openxmlformats.org/officeDocument/2006/relationships" ref="AA305" display="https://www.pricecharting.com/game/pokemon-neo-genesis/lugia-9" r:id="rId301"/>
    <hyperlink xmlns:r="http://schemas.openxmlformats.org/officeDocument/2006/relationships" ref="AA306" display="https://www.pricecharting.com/game/pokemon-neo-revelation/ho-oh-7" r:id="rId302"/>
    <hyperlink xmlns:r="http://schemas.openxmlformats.org/officeDocument/2006/relationships" ref="AA307" display="https://www.pricecharting.com/game/pokemon-neo-discovery/espeon-20" r:id="rId303"/>
    <hyperlink xmlns:r="http://schemas.openxmlformats.org/officeDocument/2006/relationships" ref="AA308" display="https://www.pricecharting.com/game/pokemon-neo-discovery/umbreon-32" r:id="rId304"/>
    <hyperlink xmlns:r="http://schemas.openxmlformats.org/officeDocument/2006/relationships" ref="AA309" display="https://www.pricecharting.com/game/pokemon-skyridge/charizard-146" r:id="rId305"/>
    <hyperlink xmlns:r="http://schemas.openxmlformats.org/officeDocument/2006/relationships" ref="AA310" display="https://www.pricecharting.com/game/pokemon-aquapolis/crystal-lugia-148" r:id="rId306"/>
    <hyperlink xmlns:r="http://schemas.openxmlformats.org/officeDocument/2006/relationships" ref="AA311" display="https://www.pricecharting.com/game/pokemon-skyridge/crystal-charizard-146" r:id="rId307"/>
    <hyperlink xmlns:r="http://schemas.openxmlformats.org/officeDocument/2006/relationships" ref="AA312" display="https://www.pricecharting.com/game/pokemon-ex-power-keepers/espeon-gold-star" r:id="rId308"/>
    <hyperlink xmlns:r="http://schemas.openxmlformats.org/officeDocument/2006/relationships" ref="AA313" display="https://www.pricecharting.com/game/pokemon-japanese-151/charizard-ex-chr" r:id="rId309"/>
    <hyperlink xmlns:r="http://schemas.openxmlformats.org/officeDocument/2006/relationships" ref="AA314" display="https://www.pricecharting.com/game/pokemon-japanese-151/mew-ex-chr" r:id="rId310"/>
    <hyperlink xmlns:r="http://schemas.openxmlformats.org/officeDocument/2006/relationships" ref="AA315" display="https://www.pricecharting.com/game/pokemon-japanese-promo/pikachu-stamp" r:id="rId311"/>
    <hyperlink xmlns:r="http://schemas.openxmlformats.org/officeDocument/2006/relationships" ref="AA316" display="https://www.pricecharting.com/game/pokemon-japanese-eevee-heroes/booster-pack" r:id="rId312"/>
    <hyperlink xmlns:r="http://schemas.openxmlformats.org/officeDocument/2006/relationships" ref="AA317" display="https://www.pricecharting.com/game/pokemon-japanese-vmax-climax/booster-pack" r:id="rId313"/>
    <hyperlink xmlns:r="http://schemas.openxmlformats.org/officeDocument/2006/relationships" ref="AA318" display="https://www.pricecharting.com/game/pokemon-japanese-151/eevee-chr" r:id="rId314"/>
    <hyperlink xmlns:r="http://schemas.openxmlformats.org/officeDocument/2006/relationships" ref="AA319" display="https://www.pricecharting.com/game/pokemon-japanese-vstar-universe/lugia-vstar-hr" r:id="rId315"/>
    <hyperlink xmlns:r="http://schemas.openxmlformats.org/officeDocument/2006/relationships" ref="AA320" display="https://www.pricecharting.com/game/pokemon-japanese-vstar-universe/mewtwo-vstar-hr" r:id="rId316"/>
    <hyperlink xmlns:r="http://schemas.openxmlformats.org/officeDocument/2006/relationships" ref="AA321" display="https://www.tcgplayer.com/product/567150" r:id="rId317"/>
    <hyperlink xmlns:r="http://schemas.openxmlformats.org/officeDocument/2006/relationships" ref="AA322" display="https://www.tcgplayer.com/product/598337" r:id="rId318"/>
    <hyperlink xmlns:r="http://schemas.openxmlformats.org/officeDocument/2006/relationships" ref="AA323" display="https://www.tcgplayer.com/product/598340" r:id="rId319"/>
    <hyperlink xmlns:r="http://schemas.openxmlformats.org/officeDocument/2006/relationships" ref="AA324" display="https://www.tcgplayer.com/product/598327" r:id="rId320"/>
    <hyperlink xmlns:r="http://schemas.openxmlformats.org/officeDocument/2006/relationships" ref="AA325" display="https://www.tcgplayer.com/product/610490" r:id="rId321"/>
    <hyperlink xmlns:r="http://schemas.openxmlformats.org/officeDocument/2006/relationships" ref="AA326" display="https://www.tcgplayer.com/product/598340" r:id="rId322"/>
    <hyperlink xmlns:r="http://schemas.openxmlformats.org/officeDocument/2006/relationships" ref="AA327" display="https://www.pricecharting.com/game/pokemon-shrouded-fable/pecharunt-tin" r:id="rId323"/>
    <hyperlink xmlns:r="http://schemas.openxmlformats.org/officeDocument/2006/relationships" ref="AA328" display="https://www.pricecharting.com/game/pokemon-promo/stellar-charizard-premium" r:id="rId324"/>
    <hyperlink xmlns:r="http://schemas.openxmlformats.org/officeDocument/2006/relationships" ref="AA329" display="https://www.pricecharting.com/game/pokemon-surging-sparks/etb" r:id="rId325"/>
    <hyperlink xmlns:r="http://schemas.openxmlformats.org/officeDocument/2006/relationships" ref="AA330" display="https://www.pricecharting.com/game/pokemon-shrouded-fable/etb" r:id="rId326"/>
    <hyperlink xmlns:r="http://schemas.openxmlformats.org/officeDocument/2006/relationships" ref="AA331" display="https://www.pricecharting.com/game/pokemon-stellar-crown/etb" r:id="rId327"/>
    <hyperlink xmlns:r="http://schemas.openxmlformats.org/officeDocument/2006/relationships" ref="AA332" display="https://www.pricecharting.com/game/pokemon-mega-evolution/etb" r:id="rId328"/>
    <hyperlink xmlns:r="http://schemas.openxmlformats.org/officeDocument/2006/relationships" ref="AA333" display="https://www.pricecharting.com/game/pokemon-ascended-heroes/etb" r:id="rId329"/>
    <hyperlink xmlns:r="http://schemas.openxmlformats.org/officeDocument/2006/relationships" ref="AA334" display="https://www.pricecharting.com/game/pokemon-twilight-masquerade/booster-box" r:id="rId330"/>
    <hyperlink xmlns:r="http://schemas.openxmlformats.org/officeDocument/2006/relationships" ref="AA335" display="https://www.pricecharting.com/game/pokemon-shrouded-fable/booster-bundle" r:id="rId331"/>
    <hyperlink xmlns:r="http://schemas.openxmlformats.org/officeDocument/2006/relationships" ref="AA336" display="https://www.pricecharting.com/game/pokemon-stellar-crown/booster-bundle" r:id="rId332"/>
    <hyperlink xmlns:r="http://schemas.openxmlformats.org/officeDocument/2006/relationships" ref="AA337" display="https://www.pricecharting.com/game/pokemon-surging-sparks/booster-bundle" r:id="rId333"/>
    <hyperlink xmlns:r="http://schemas.openxmlformats.org/officeDocument/2006/relationships" ref="AA338" display="https://www.pricecharting.com/game/pokemon-twilight-masquerade/etb" r:id="rId334"/>
    <hyperlink xmlns:r="http://schemas.openxmlformats.org/officeDocument/2006/relationships" ref="AA339" display="https://www.pricecharting.com/game/pokemon-promo/charizard-twin-pack" r:id="rId335"/>
    <hyperlink xmlns:r="http://schemas.openxmlformats.org/officeDocument/2006/relationships" ref="AA340" display="https://www.pricecharting.com/game/pokemon-stellar-crown/premium-playmat" r:id="rId336"/>
    <hyperlink xmlns:r="http://schemas.openxmlformats.org/officeDocument/2006/relationships" ref="AA341" display="https://www.pricecharting.com/game/pokemon-mega-evolution/booster-bundle" r:id="rId337"/>
    <hyperlink xmlns:r="http://schemas.openxmlformats.org/officeDocument/2006/relationships" ref="AA342" display="https://www.pricecharting.com/game/pokemon-ascended-heroes/booster-bundle" r:id="rId338"/>
    <hyperlink xmlns:r="http://schemas.openxmlformats.org/officeDocument/2006/relationships" ref="AA343" display="https://www.pricecharting.com/game/pokemon-promo/pokemon-day-2026-premium" r:id="rId339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3B5998"/>
    <outlinePr summaryBelow="1" summaryRight="1"/>
    <pageSetUpPr fitToPage="0"/>
  </sheetPr>
  <dimension ref="A1:R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0" customWidth="1" style="80" min="1" max="1"/>
    <col width="12" customWidth="1" style="80" min="2" max="2"/>
    <col width="22" customWidth="1" style="80" min="3" max="3"/>
    <col width="36" customWidth="1" style="80" min="4" max="4"/>
    <col width="12" customWidth="1" style="80" min="5" max="5"/>
    <col width="6" customWidth="1" style="80" min="6" max="6"/>
    <col width="14" customWidth="1" style="80" min="7" max="9"/>
    <col width="12" customWidth="1" style="80" min="10" max="10"/>
    <col width="16" customWidth="1" style="80" min="11" max="11"/>
    <col width="14" customWidth="1" style="80" min="12" max="12"/>
    <col width="12" customWidth="1" style="80" min="13" max="13"/>
    <col width="10" customWidth="1" style="80" min="14" max="15"/>
    <col width="18" customWidth="1" style="80" min="16" max="16"/>
    <col width="40" customWidth="1" style="80" min="17" max="17"/>
    <col width="12" customWidth="1" style="80" min="18" max="18"/>
  </cols>
  <sheetData>
    <row r="1" ht="21.75" customHeight="1" s="81">
      <c r="A1" s="86" t="inlineStr">
        <is>
          <t>INVENTORY — Active Positions</t>
        </is>
      </c>
    </row>
    <row r="2" ht="15" customHeight="1" s="81">
      <c r="A2" s="87" t="inlineStr">
        <is>
          <t>Enter CardID Lookup (e.g., M001) - Category/Description/Current Price auto-populate from Watchlist.</t>
        </is>
      </c>
    </row>
    <row r="4" ht="30" customHeight="1" s="81">
      <c r="A4" s="91" t="inlineStr">
        <is>
          <t>Item ID</t>
        </is>
      </c>
      <c r="B4" s="91" t="inlineStr">
        <is>
          <t>CardID Lookup</t>
        </is>
      </c>
      <c r="C4" s="91" t="inlineStr">
        <is>
          <t>Category</t>
        </is>
      </c>
      <c r="D4" s="91" t="inlineStr">
        <is>
          <t>Description</t>
        </is>
      </c>
      <c r="E4" s="91" t="inlineStr">
        <is>
          <t>Acquired</t>
        </is>
      </c>
      <c r="F4" s="91" t="inlineStr">
        <is>
          <t>Qty</t>
        </is>
      </c>
      <c r="G4" s="91" t="inlineStr">
        <is>
          <t>Cost / Unit</t>
        </is>
      </c>
      <c r="H4" s="91" t="inlineStr">
        <is>
          <t>Total Cost</t>
        </is>
      </c>
      <c r="I4" s="91" t="inlineStr">
        <is>
          <t>Current Price / Unit</t>
        </is>
      </c>
      <c r="J4" s="91" t="inlineStr">
        <is>
          <t>Last Updated</t>
        </is>
      </c>
      <c r="K4" s="91" t="inlineStr">
        <is>
          <t>Total Current Value</t>
        </is>
      </c>
      <c r="L4" s="91" t="inlineStr">
        <is>
          <t>Unrealized P&amp;L $</t>
        </is>
      </c>
      <c r="M4" s="91" t="inlineStr">
        <is>
          <t>Unrealized P&amp;L %</t>
        </is>
      </c>
      <c r="N4" s="91" t="inlineStr">
        <is>
          <t>Days Held</t>
        </is>
      </c>
      <c r="O4" s="91" t="inlineStr">
        <is>
          <t>Tax Status</t>
        </is>
      </c>
      <c r="P4" s="91" t="inlineStr">
        <is>
          <t>Storage</t>
        </is>
      </c>
      <c r="Q4" s="91" t="inlineStr">
        <is>
          <t>Notes</t>
        </is>
      </c>
      <c r="R4" s="91" t="inlineStr">
        <is>
          <t>Buyer</t>
        </is>
      </c>
    </row>
    <row r="5" ht="36" customHeight="1" s="81">
      <c r="A5" s="124" t="inlineStr">
        <is>
          <t>INV-001</t>
        </is>
      </c>
      <c r="B5" s="125" t="inlineStr">
        <is>
          <t>S001</t>
        </is>
      </c>
      <c r="C5" s="92">
        <f>IFERROR(VLOOKUP(B5,Watchlist!$A$5:$AB$202,2,FALSE()),"")</f>
        <v/>
      </c>
      <c r="D5" s="92">
        <f>IFERROR(VLOOKUP(B5,Watchlist!$A$5:$AB$202,4,FALSE())&amp;" — "&amp;VLOOKUP(B5,Watchlist!$A$5:$AB$202,7,FALSE()),"")</f>
        <v/>
      </c>
      <c r="E5" s="114" t="n">
        <v>46127</v>
      </c>
      <c r="F5" s="125" t="n">
        <v>2</v>
      </c>
      <c r="G5" s="126" t="n">
        <v>275</v>
      </c>
      <c r="H5" s="127">
        <f>F5*G5</f>
        <v/>
      </c>
      <c r="I5" s="127">
        <f>IFERROR(VLOOKUP(B5,Watchlist!$A$5:$AB$202,8,FALSE()),0)</f>
        <v/>
      </c>
      <c r="J5" s="128">
        <f>IFERROR(VLOOKUP(B5,Watchlist!$A$5:$AB$202,9,FALSE()),"")</f>
        <v/>
      </c>
      <c r="K5" s="127">
        <f>F5*I5</f>
        <v/>
      </c>
      <c r="L5" s="127">
        <f>K5-H5</f>
        <v/>
      </c>
      <c r="M5" s="94">
        <f>IFERROR(L5/H5,0)</f>
        <v/>
      </c>
      <c r="N5" s="129">
        <f>IFERROR(TODAY()-E5,0)</f>
        <v/>
      </c>
      <c r="O5" s="110">
        <f>IF(N5&gt;365,"LT","ST")</f>
        <v/>
      </c>
      <c r="P5" s="124" t="inlineStr">
        <is>
          <t>Vault Safe A</t>
        </is>
      </c>
      <c r="Q5" s="130" t="inlineStr">
        <is>
          <t>ES BB - case fresh, weighed 543g and 547g</t>
        </is>
      </c>
      <c r="R5" s="125" t="inlineStr">
        <is>
          <t>Brandon</t>
        </is>
      </c>
    </row>
    <row r="6" ht="36" customHeight="1" s="81">
      <c r="A6" s="124" t="inlineStr">
        <is>
          <t>INV-002</t>
        </is>
      </c>
      <c r="B6" s="125" t="inlineStr">
        <is>
          <t>M001</t>
        </is>
      </c>
      <c r="C6" s="92">
        <f>IFERROR(VLOOKUP(B6,Watchlist!$A$5:$AB$202,2,FALSE()),"")</f>
        <v/>
      </c>
      <c r="D6" s="92">
        <f>IFERROR(VLOOKUP(B6,Watchlist!$A$5:$AB$202,4,FALSE())&amp;" — "&amp;VLOOKUP(B6,Watchlist!$A$5:$AB$202,7,FALSE()),"")</f>
        <v/>
      </c>
      <c r="E6" s="114" t="n">
        <v>46101</v>
      </c>
      <c r="F6" s="125" t="n">
        <v>1</v>
      </c>
      <c r="G6" s="126" t="n">
        <v>1450</v>
      </c>
      <c r="H6" s="127">
        <f>F6*G6</f>
        <v/>
      </c>
      <c r="I6" s="127">
        <f>IFERROR(VLOOKUP(B6,Watchlist!$A$5:$AB$202,8,FALSE()),0)</f>
        <v/>
      </c>
      <c r="J6" s="128">
        <f>IFERROR(VLOOKUP(B6,Watchlist!$A$5:$AB$202,9,FALSE()),"")</f>
        <v/>
      </c>
      <c r="K6" s="127">
        <f>F6*I6</f>
        <v/>
      </c>
      <c r="L6" s="127">
        <f>K6-H6</f>
        <v/>
      </c>
      <c r="M6" s="94">
        <f>IFERROR(L6/H6,0)</f>
        <v/>
      </c>
      <c r="N6" s="129">
        <f>IFERROR(TODAY()-E6,0)</f>
        <v/>
      </c>
      <c r="O6" s="110">
        <f>IF(N6&gt;365,"LT","ST")</f>
        <v/>
      </c>
      <c r="P6" s="124" t="inlineStr">
        <is>
          <t>Top Loader Binder</t>
        </is>
      </c>
      <c r="Q6" s="130" t="inlineStr">
        <is>
          <t>PSA 10 Moonbreon, strong centering from PWCC</t>
        </is>
      </c>
      <c r="R6" s="125" t="inlineStr">
        <is>
          <t>Brandon</t>
        </is>
      </c>
    </row>
    <row r="7" ht="36" customHeight="1" s="81">
      <c r="A7" s="124" t="inlineStr">
        <is>
          <t>INV-003</t>
        </is>
      </c>
      <c r="B7" s="125" t="inlineStr">
        <is>
          <t>S024</t>
        </is>
      </c>
      <c r="C7" s="92">
        <f>IFERROR(VLOOKUP(B7,Watchlist!$A$5:$AB$202,2,FALSE()),"")</f>
        <v/>
      </c>
      <c r="D7" s="92">
        <f>IFERROR(VLOOKUP(B7,Watchlist!$A$5:$AB$202,4,FALSE())&amp;" — "&amp;VLOOKUP(B7,Watchlist!$A$5:$AB$202,7,FALSE()),"")</f>
        <v/>
      </c>
      <c r="E7" s="114" t="n">
        <v>46063</v>
      </c>
      <c r="F7" s="125" t="n">
        <v>3</v>
      </c>
      <c r="G7" s="126" t="n">
        <v>165</v>
      </c>
      <c r="H7" s="127">
        <f>F7*G7</f>
        <v/>
      </c>
      <c r="I7" s="127">
        <f>IFERROR(VLOOKUP(B7,Watchlist!$A$5:$AB$202,8,FALSE()),0)</f>
        <v/>
      </c>
      <c r="J7" s="128">
        <f>IFERROR(VLOOKUP(B7,Watchlist!$A$5:$AB$202,9,FALSE()),"")</f>
        <v/>
      </c>
      <c r="K7" s="127">
        <f>F7*I7</f>
        <v/>
      </c>
      <c r="L7" s="127">
        <f>K7-H7</f>
        <v/>
      </c>
      <c r="M7" s="94">
        <f>IFERROR(L7/H7,0)</f>
        <v/>
      </c>
      <c r="N7" s="129">
        <f>IFERROR(TODAY()-E7,0)</f>
        <v/>
      </c>
      <c r="O7" s="110">
        <f>IF(N7&gt;365,"LT","ST")</f>
        <v/>
      </c>
      <c r="P7" s="124" t="inlineStr">
        <is>
          <t>Vault Safe A</t>
        </is>
      </c>
      <c r="Q7" s="130" t="inlineStr">
        <is>
          <t>PE ETBs at preorder</t>
        </is>
      </c>
      <c r="R7" s="125" t="inlineStr">
        <is>
          <t>Joint</t>
        </is>
      </c>
    </row>
    <row r="8" ht="36" customHeight="1" s="81">
      <c r="A8" s="124" t="inlineStr">
        <is>
          <t>INV-004</t>
        </is>
      </c>
      <c r="B8" s="125" t="inlineStr">
        <is>
          <t>M047</t>
        </is>
      </c>
      <c r="C8" s="92">
        <f>IFERROR(VLOOKUP(B8,Watchlist!$A$5:$AB$202,2,FALSE()),"")</f>
        <v/>
      </c>
      <c r="D8" s="92">
        <f>IFERROR(VLOOKUP(B8,Watchlist!$A$5:$AB$202,4,FALSE())&amp;" — "&amp;VLOOKUP(B8,Watchlist!$A$5:$AB$202,7,FALSE()),"")</f>
        <v/>
      </c>
      <c r="E8" s="114" t="n">
        <v>46140</v>
      </c>
      <c r="F8" s="125" t="n">
        <v>4</v>
      </c>
      <c r="G8" s="126" t="n">
        <v>265</v>
      </c>
      <c r="H8" s="127">
        <f>F8*G8</f>
        <v/>
      </c>
      <c r="I8" s="127">
        <f>IFERROR(VLOOKUP(B8,Watchlist!$A$5:$AB$202,8,FALSE()),0)</f>
        <v/>
      </c>
      <c r="J8" s="128">
        <f>IFERROR(VLOOKUP(B8,Watchlist!$A$5:$AB$202,9,FALSE()),"")</f>
        <v/>
      </c>
      <c r="K8" s="127">
        <f>F8*I8</f>
        <v/>
      </c>
      <c r="L8" s="127">
        <f>K8-H8</f>
        <v/>
      </c>
      <c r="M8" s="94">
        <f>IFERROR(L8/H8,0)</f>
        <v/>
      </c>
      <c r="N8" s="129">
        <f>IFERROR(TODAY()-E8,0)</f>
        <v/>
      </c>
      <c r="O8" s="110">
        <f>IF(N8&gt;365,"LT","ST")</f>
        <v/>
      </c>
      <c r="P8" s="124" t="inlineStr">
        <is>
          <t>Submission Box</t>
        </is>
      </c>
      <c r="Q8" s="130" t="inlineStr">
        <is>
          <t>Raw Char ex SIR OF for PSA Value</t>
        </is>
      </c>
      <c r="R8" s="125" t="inlineStr">
        <is>
          <t>Brandon</t>
        </is>
      </c>
    </row>
    <row r="9" ht="15" customHeight="1" s="81">
      <c r="A9" s="124" t="inlineStr">
        <is>
          <t>P-001</t>
        </is>
      </c>
      <c r="B9" s="124" t="inlineStr">
        <is>
          <t>PERSONAL</t>
        </is>
      </c>
      <c r="C9" s="131">
        <f>IFERROR(VLOOKUP(B9,Watchlist!$A$5:$AB$202,2,FALSE()),"")</f>
        <v/>
      </c>
      <c r="D9" s="131" t="inlineStr">
        <is>
          <t>Pikachu VMAX Rainbow Rare PSA 10</t>
        </is>
      </c>
      <c r="E9" s="132" t="n">
        <v>46113</v>
      </c>
      <c r="F9" s="124" t="n">
        <v>1</v>
      </c>
      <c r="G9" s="133" t="n">
        <v>375</v>
      </c>
      <c r="H9" s="134" t="n">
        <v>375</v>
      </c>
      <c r="I9" s="134" t="n">
        <v>375</v>
      </c>
      <c r="J9" s="135">
        <f>IFERROR(VLOOKUP(B9,Watchlist!$A$5:$AB$202,9,FALSE()),"")</f>
        <v/>
      </c>
      <c r="K9" s="134" t="n">
        <v>375</v>
      </c>
      <c r="L9" s="134" t="n">
        <v>0</v>
      </c>
      <c r="M9" s="136" t="n">
        <v>0</v>
      </c>
      <c r="N9" s="137">
        <f>IF(ISNUMBER(E9),TODAY()-E9,0)</f>
        <v/>
      </c>
      <c r="O9" s="131">
        <f>IF(ISNUMBER(E9),IF(N9&gt;365,"LT","ST"),"")</f>
        <v/>
      </c>
      <c r="P9" s="124" t="inlineStr">
        <is>
          <t>Graded Card · Existing · Anchor — hold</t>
        </is>
      </c>
      <c r="Q9" s="124" t="n"/>
      <c r="R9" s="125" t="inlineStr">
        <is>
          <t>Brandon</t>
        </is>
      </c>
    </row>
    <row r="10" ht="15" customHeight="1" s="81">
      <c r="A10" s="124" t="inlineStr">
        <is>
          <t>P-002</t>
        </is>
      </c>
      <c r="B10" s="124" t="inlineStr">
        <is>
          <t>PERSONAL</t>
        </is>
      </c>
      <c r="C10" s="131">
        <f>IFERROR(VLOOKUP(B10,Watchlist!$A$5:$AB$202,2,FALSE()),"")</f>
        <v/>
      </c>
      <c r="D10" s="131" t="inlineStr">
        <is>
          <t>1999 Unlimited Base Set Venusaur Pack</t>
        </is>
      </c>
      <c r="E10" s="132" t="n">
        <v>46113</v>
      </c>
      <c r="F10" s="124" t="n">
        <v>1</v>
      </c>
      <c r="G10" s="133" t="n">
        <v>1500</v>
      </c>
      <c r="H10" s="134" t="n">
        <v>1500</v>
      </c>
      <c r="I10" s="134" t="n">
        <v>1500</v>
      </c>
      <c r="J10" s="135">
        <f>IFERROR(VLOOKUP(B10,Watchlist!$A$5:$AB$202,9,FALSE()),"")</f>
        <v/>
      </c>
      <c r="K10" s="134" t="n">
        <v>1500</v>
      </c>
      <c r="L10" s="134" t="n">
        <v>0</v>
      </c>
      <c r="M10" s="136" t="n">
        <v>0</v>
      </c>
      <c r="N10" s="137">
        <f>IF(ISNUMBER(E10),TODAY()-E10,0)</f>
        <v/>
      </c>
      <c r="O10" s="131">
        <f>IF(ISNUMBER(E10),IF(N10&gt;365,"LT","ST"),"")</f>
        <v/>
      </c>
      <c r="P10" s="124" t="inlineStr">
        <is>
          <t>Sealed Vintage · Inherited · Submit PSA sealed ASAP</t>
        </is>
      </c>
      <c r="Q10" s="124" t="n"/>
      <c r="R10" s="125" t="inlineStr">
        <is>
          <t>Brandon</t>
        </is>
      </c>
    </row>
    <row r="11" ht="15" customHeight="1" s="81">
      <c r="A11" s="124" t="inlineStr">
        <is>
          <t>P-003</t>
        </is>
      </c>
      <c r="B11" s="124" t="inlineStr">
        <is>
          <t>PERSONAL</t>
        </is>
      </c>
      <c r="C11" s="131">
        <f>IFERROR(VLOOKUP(B11,Watchlist!$A$5:$AB$202,2,FALSE()),"")</f>
        <v/>
      </c>
      <c r="D11" s="131" t="inlineStr">
        <is>
          <t>Vintage Duo Packs — held</t>
        </is>
      </c>
      <c r="E11" s="132" t="n">
        <v>46113</v>
      </c>
      <c r="F11" s="124" t="n">
        <v>1</v>
      </c>
      <c r="G11" s="133" t="n">
        <v>600</v>
      </c>
      <c r="H11" s="134" t="n">
        <v>600</v>
      </c>
      <c r="I11" s="134" t="n">
        <v>600</v>
      </c>
      <c r="J11" s="135">
        <f>IFERROR(VLOOKUP(B11,Watchlist!$A$5:$AB$202,9,FALSE()),"")</f>
        <v/>
      </c>
      <c r="K11" s="134" t="n">
        <v>600</v>
      </c>
      <c r="L11" s="134" t="n">
        <v>0</v>
      </c>
      <c r="M11" s="136" t="n">
        <v>0</v>
      </c>
      <c r="N11" s="137">
        <f>IF(ISNUMBER(E11),TODAY()-E11,0)</f>
        <v/>
      </c>
      <c r="O11" s="131">
        <f>IF(ISNUMBER(E11),IF(N11&gt;365,"LT","ST"),"")</f>
        <v/>
      </c>
      <c r="P11" s="124" t="inlineStr">
        <is>
          <t>Sealed Vintage · Inherited · $200-300 each — all held</t>
        </is>
      </c>
      <c r="Q11" s="124" t="n"/>
      <c r="R11" s="125" t="inlineStr">
        <is>
          <t>Brandon</t>
        </is>
      </c>
    </row>
    <row r="12" ht="15" customHeight="1" s="81">
      <c r="A12" s="124" t="n"/>
      <c r="B12" s="124" t="n"/>
      <c r="C12" s="131">
        <f>IFERROR(VLOOKUP(B12,Watchlist!$A$5:$AB$202,2,FALSE()),"")</f>
        <v/>
      </c>
      <c r="D12" s="131">
        <f>IFERROR(VLOOKUP(B12,Watchlist!$A$5:$AB$202,4,FALSE())&amp;" — "&amp;VLOOKUP(B12,Watchlist!$A$5:$AB$202,7,FALSE()),"")</f>
        <v/>
      </c>
      <c r="E12" s="132" t="n"/>
      <c r="F12" s="124" t="n"/>
      <c r="G12" s="133" t="n"/>
      <c r="H12" s="134">
        <f>IF(AND(ISNUMBER(F12),ISNUMBER(G12)),F12*G12,0)</f>
        <v/>
      </c>
      <c r="I12" s="134">
        <f>IFERROR(VLOOKUP(B12,Watchlist!$A$5:$AB$202,8,FALSE()),0)</f>
        <v/>
      </c>
      <c r="J12" s="135">
        <f>IFERROR(VLOOKUP(B12,Watchlist!$A$5:$AB$202,9,FALSE()),"")</f>
        <v/>
      </c>
      <c r="K12" s="134">
        <f>IF(ISNUMBER(F12),F12*I12,0)</f>
        <v/>
      </c>
      <c r="L12" s="134">
        <f>IF(H12=0,0,K12-H12)</f>
        <v/>
      </c>
      <c r="M12" s="136">
        <f>IFERROR(L12/H12,0)</f>
        <v/>
      </c>
      <c r="N12" s="137">
        <f>IF(ISNUMBER(E12),TODAY()-E12,0)</f>
        <v/>
      </c>
      <c r="O12" s="131">
        <f>IF(ISNUMBER(E12),IF(N12&gt;365,"LT","ST"),"")</f>
        <v/>
      </c>
      <c r="P12" s="124" t="n"/>
      <c r="Q12" s="124" t="n"/>
      <c r="R12" s="125" t="n"/>
    </row>
    <row r="13" ht="15" customHeight="1" s="81">
      <c r="A13" s="124" t="n"/>
      <c r="B13" s="124" t="n"/>
      <c r="C13" s="131">
        <f>IFERROR(VLOOKUP(B13,Watchlist!$A$5:$AB$202,2,FALSE()),"")</f>
        <v/>
      </c>
      <c r="D13" s="131">
        <f>IFERROR(VLOOKUP(B13,Watchlist!$A$5:$AB$202,4,FALSE())&amp;" — "&amp;VLOOKUP(B13,Watchlist!$A$5:$AB$202,7,FALSE()),"")</f>
        <v/>
      </c>
      <c r="E13" s="132" t="n"/>
      <c r="F13" s="124" t="n"/>
      <c r="G13" s="133" t="n"/>
      <c r="H13" s="134">
        <f>IF(AND(ISNUMBER(F13),ISNUMBER(G13)),F13*G13,0)</f>
        <v/>
      </c>
      <c r="I13" s="134">
        <f>IFERROR(VLOOKUP(B13,Watchlist!$A$5:$AB$202,8,FALSE()),0)</f>
        <v/>
      </c>
      <c r="J13" s="135">
        <f>IFERROR(VLOOKUP(B13,Watchlist!$A$5:$AB$202,9,FALSE()),"")</f>
        <v/>
      </c>
      <c r="K13" s="134">
        <f>IF(ISNUMBER(F13),F13*I13,0)</f>
        <v/>
      </c>
      <c r="L13" s="134">
        <f>IF(H13=0,0,K13-H13)</f>
        <v/>
      </c>
      <c r="M13" s="136">
        <f>IFERROR(L13/H13,0)</f>
        <v/>
      </c>
      <c r="N13" s="137">
        <f>IF(ISNUMBER(E13),TODAY()-E13,0)</f>
        <v/>
      </c>
      <c r="O13" s="131">
        <f>IF(ISNUMBER(E13),IF(N13&gt;365,"LT","ST"),"")</f>
        <v/>
      </c>
      <c r="P13" s="124" t="n"/>
      <c r="Q13" s="124" t="n"/>
      <c r="R13" s="125" t="n"/>
    </row>
    <row r="14" ht="15" customHeight="1" s="81">
      <c r="A14" s="124" t="n"/>
      <c r="B14" s="124" t="n"/>
      <c r="C14" s="131">
        <f>IFERROR(VLOOKUP(B14,Watchlist!$A$5:$AB$202,2,FALSE()),"")</f>
        <v/>
      </c>
      <c r="D14" s="131">
        <f>IFERROR(VLOOKUP(B14,Watchlist!$A$5:$AB$202,4,FALSE())&amp;" — "&amp;VLOOKUP(B14,Watchlist!$A$5:$AB$202,7,FALSE()),"")</f>
        <v/>
      </c>
      <c r="E14" s="132" t="n"/>
      <c r="F14" s="124" t="n"/>
      <c r="G14" s="133" t="n"/>
      <c r="H14" s="134">
        <f>IF(AND(ISNUMBER(F14),ISNUMBER(G14)),F14*G14,0)</f>
        <v/>
      </c>
      <c r="I14" s="134">
        <f>IFERROR(VLOOKUP(B14,Watchlist!$A$5:$AB$202,8,FALSE()),0)</f>
        <v/>
      </c>
      <c r="J14" s="135">
        <f>IFERROR(VLOOKUP(B14,Watchlist!$A$5:$AB$202,9,FALSE()),"")</f>
        <v/>
      </c>
      <c r="K14" s="134">
        <f>IF(ISNUMBER(F14),F14*I14,0)</f>
        <v/>
      </c>
      <c r="L14" s="134">
        <f>IF(H14=0,0,K14-H14)</f>
        <v/>
      </c>
      <c r="M14" s="136">
        <f>IFERROR(L14/H14,0)</f>
        <v/>
      </c>
      <c r="N14" s="137">
        <f>IF(ISNUMBER(E14),TODAY()-E14,0)</f>
        <v/>
      </c>
      <c r="O14" s="131">
        <f>IF(ISNUMBER(E14),IF(N14&gt;365,"LT","ST"),"")</f>
        <v/>
      </c>
      <c r="P14" s="124" t="n"/>
      <c r="Q14" s="124" t="n"/>
      <c r="R14" s="125" t="n"/>
    </row>
    <row r="15" ht="15" customHeight="1" s="81">
      <c r="A15" s="124" t="n"/>
      <c r="B15" s="124" t="n"/>
      <c r="C15" s="131">
        <f>IFERROR(VLOOKUP(B15,Watchlist!$A$5:$AB$202,2,FALSE()),"")</f>
        <v/>
      </c>
      <c r="D15" s="131">
        <f>IFERROR(VLOOKUP(B15,Watchlist!$A$5:$AB$202,4,FALSE())&amp;" — "&amp;VLOOKUP(B15,Watchlist!$A$5:$AB$202,7,FALSE()),"")</f>
        <v/>
      </c>
      <c r="E15" s="132" t="n"/>
      <c r="F15" s="124" t="n"/>
      <c r="G15" s="133" t="n"/>
      <c r="H15" s="134">
        <f>IF(AND(ISNUMBER(F15),ISNUMBER(G15)),F15*G15,0)</f>
        <v/>
      </c>
      <c r="I15" s="134">
        <f>IFERROR(VLOOKUP(B15,Watchlist!$A$5:$AB$202,8,FALSE()),0)</f>
        <v/>
      </c>
      <c r="J15" s="135">
        <f>IFERROR(VLOOKUP(B15,Watchlist!$A$5:$AB$202,9,FALSE()),"")</f>
        <v/>
      </c>
      <c r="K15" s="134">
        <f>IF(ISNUMBER(F15),F15*I15,0)</f>
        <v/>
      </c>
      <c r="L15" s="134">
        <f>IF(H15=0,0,K15-H15)</f>
        <v/>
      </c>
      <c r="M15" s="136">
        <f>IFERROR(L15/H15,0)</f>
        <v/>
      </c>
      <c r="N15" s="137">
        <f>IF(ISNUMBER(E15),TODAY()-E15,0)</f>
        <v/>
      </c>
      <c r="O15" s="131">
        <f>IF(ISNUMBER(E15),IF(N15&gt;365,"LT","ST"),"")</f>
        <v/>
      </c>
      <c r="P15" s="124" t="n"/>
      <c r="Q15" s="124" t="n"/>
      <c r="R15" s="125" t="n"/>
    </row>
    <row r="16" ht="15" customHeight="1" s="81">
      <c r="A16" s="124" t="n"/>
      <c r="B16" s="124" t="n"/>
      <c r="C16" s="131">
        <f>IFERROR(VLOOKUP(B16,Watchlist!$A$5:$AB$202,2,FALSE()),"")</f>
        <v/>
      </c>
      <c r="D16" s="131">
        <f>IFERROR(VLOOKUP(B16,Watchlist!$A$5:$AB$202,4,FALSE())&amp;" — "&amp;VLOOKUP(B16,Watchlist!$A$5:$AB$202,7,FALSE()),"")</f>
        <v/>
      </c>
      <c r="E16" s="132" t="n"/>
      <c r="F16" s="124" t="n"/>
      <c r="G16" s="133" t="n"/>
      <c r="H16" s="134">
        <f>IF(AND(ISNUMBER(F16),ISNUMBER(G16)),F16*G16,0)</f>
        <v/>
      </c>
      <c r="I16" s="134">
        <f>IFERROR(VLOOKUP(B16,Watchlist!$A$5:$AB$202,8,FALSE()),0)</f>
        <v/>
      </c>
      <c r="J16" s="135">
        <f>IFERROR(VLOOKUP(B16,Watchlist!$A$5:$AB$202,9,FALSE()),"")</f>
        <v/>
      </c>
      <c r="K16" s="134">
        <f>IF(ISNUMBER(F16),F16*I16,0)</f>
        <v/>
      </c>
      <c r="L16" s="134">
        <f>IF(H16=0,0,K16-H16)</f>
        <v/>
      </c>
      <c r="M16" s="136">
        <f>IFERROR(L16/H16,0)</f>
        <v/>
      </c>
      <c r="N16" s="137">
        <f>IF(ISNUMBER(E16),TODAY()-E16,0)</f>
        <v/>
      </c>
      <c r="O16" s="131">
        <f>IF(ISNUMBER(E16),IF(N16&gt;365,"LT","ST"),"")</f>
        <v/>
      </c>
      <c r="P16" s="124" t="n"/>
      <c r="Q16" s="124" t="n"/>
      <c r="R16" s="125" t="n"/>
    </row>
    <row r="17" ht="15" customHeight="1" s="81">
      <c r="A17" s="124" t="n"/>
      <c r="B17" s="124" t="n"/>
      <c r="C17" s="131">
        <f>IFERROR(VLOOKUP(B17,Watchlist!$A$5:$AB$202,2,FALSE()),"")</f>
        <v/>
      </c>
      <c r="D17" s="131">
        <f>IFERROR(VLOOKUP(B17,Watchlist!$A$5:$AB$202,4,FALSE())&amp;" — "&amp;VLOOKUP(B17,Watchlist!$A$5:$AB$202,7,FALSE()),"")</f>
        <v/>
      </c>
      <c r="E17" s="132" t="n"/>
      <c r="F17" s="124" t="n"/>
      <c r="G17" s="133" t="n"/>
      <c r="H17" s="134">
        <f>IF(AND(ISNUMBER(F17),ISNUMBER(G17)),F17*G17,0)</f>
        <v/>
      </c>
      <c r="I17" s="134">
        <f>IFERROR(VLOOKUP(B17,Watchlist!$A$5:$AB$202,8,FALSE()),0)</f>
        <v/>
      </c>
      <c r="J17" s="135">
        <f>IFERROR(VLOOKUP(B17,Watchlist!$A$5:$AB$202,9,FALSE()),"")</f>
        <v/>
      </c>
      <c r="K17" s="134">
        <f>IF(ISNUMBER(F17),F17*I17,0)</f>
        <v/>
      </c>
      <c r="L17" s="134">
        <f>IF(H17=0,0,K17-H17)</f>
        <v/>
      </c>
      <c r="M17" s="136">
        <f>IFERROR(L17/H17,0)</f>
        <v/>
      </c>
      <c r="N17" s="137">
        <f>IF(ISNUMBER(E17),TODAY()-E17,0)</f>
        <v/>
      </c>
      <c r="O17" s="131">
        <f>IF(ISNUMBER(E17),IF(N17&gt;365,"LT","ST"),"")</f>
        <v/>
      </c>
      <c r="P17" s="124" t="n"/>
      <c r="Q17" s="124" t="n"/>
      <c r="R17" s="125" t="n"/>
    </row>
    <row r="18" ht="15" customHeight="1" s="81">
      <c r="A18" s="124" t="n"/>
      <c r="B18" s="124" t="n"/>
      <c r="C18" s="131">
        <f>IFERROR(VLOOKUP(B18,Watchlist!$A$5:$AB$202,2,FALSE()),"")</f>
        <v/>
      </c>
      <c r="D18" s="131">
        <f>IFERROR(VLOOKUP(B18,Watchlist!$A$5:$AB$202,4,FALSE())&amp;" — "&amp;VLOOKUP(B18,Watchlist!$A$5:$AB$202,7,FALSE()),"")</f>
        <v/>
      </c>
      <c r="E18" s="132" t="n"/>
      <c r="F18" s="124" t="n"/>
      <c r="G18" s="133" t="n"/>
      <c r="H18" s="134">
        <f>IF(AND(ISNUMBER(F18),ISNUMBER(G18)),F18*G18,0)</f>
        <v/>
      </c>
      <c r="I18" s="134">
        <f>IFERROR(VLOOKUP(B18,Watchlist!$A$5:$AB$202,8,FALSE()),0)</f>
        <v/>
      </c>
      <c r="J18" s="135">
        <f>IFERROR(VLOOKUP(B18,Watchlist!$A$5:$AB$202,9,FALSE()),"")</f>
        <v/>
      </c>
      <c r="K18" s="134">
        <f>IF(ISNUMBER(F18),F18*I18,0)</f>
        <v/>
      </c>
      <c r="L18" s="134">
        <f>IF(H18=0,0,K18-H18)</f>
        <v/>
      </c>
      <c r="M18" s="136">
        <f>IFERROR(L18/H18,0)</f>
        <v/>
      </c>
      <c r="N18" s="137">
        <f>IF(ISNUMBER(E18),TODAY()-E18,0)</f>
        <v/>
      </c>
      <c r="O18" s="131">
        <f>IF(ISNUMBER(E18),IF(N18&gt;365,"LT","ST"),"")</f>
        <v/>
      </c>
      <c r="P18" s="124" t="n"/>
      <c r="Q18" s="124" t="n"/>
      <c r="R18" s="125" t="n"/>
    </row>
    <row r="19" ht="15" customHeight="1" s="81">
      <c r="A19" s="124" t="n"/>
      <c r="B19" s="124" t="n"/>
      <c r="C19" s="131">
        <f>IFERROR(VLOOKUP(B19,Watchlist!$A$5:$AB$202,2,FALSE()),"")</f>
        <v/>
      </c>
      <c r="D19" s="131">
        <f>IFERROR(VLOOKUP(B19,Watchlist!$A$5:$AB$202,4,FALSE())&amp;" — "&amp;VLOOKUP(B19,Watchlist!$A$5:$AB$202,7,FALSE()),"")</f>
        <v/>
      </c>
      <c r="E19" s="132" t="n"/>
      <c r="F19" s="124" t="n"/>
      <c r="G19" s="133" t="n"/>
      <c r="H19" s="134">
        <f>IF(AND(ISNUMBER(F19),ISNUMBER(G19)),F19*G19,0)</f>
        <v/>
      </c>
      <c r="I19" s="134">
        <f>IFERROR(VLOOKUP(B19,Watchlist!$A$5:$AB$202,8,FALSE()),0)</f>
        <v/>
      </c>
      <c r="J19" s="135">
        <f>IFERROR(VLOOKUP(B19,Watchlist!$A$5:$AB$202,9,FALSE()),"")</f>
        <v/>
      </c>
      <c r="K19" s="134">
        <f>IF(ISNUMBER(F19),F19*I19,0)</f>
        <v/>
      </c>
      <c r="L19" s="134">
        <f>IF(H19=0,0,K19-H19)</f>
        <v/>
      </c>
      <c r="M19" s="136">
        <f>IFERROR(L19/H19,0)</f>
        <v/>
      </c>
      <c r="N19" s="137">
        <f>IF(ISNUMBER(E19),TODAY()-E19,0)</f>
        <v/>
      </c>
      <c r="O19" s="131">
        <f>IF(ISNUMBER(E19),IF(N19&gt;365,"LT","ST"),"")</f>
        <v/>
      </c>
      <c r="P19" s="124" t="n"/>
      <c r="Q19" s="124" t="n"/>
      <c r="R19" s="125" t="n"/>
    </row>
    <row r="20" ht="15" customHeight="1" s="81">
      <c r="A20" s="124" t="n"/>
      <c r="B20" s="124" t="n"/>
      <c r="C20" s="131">
        <f>IFERROR(VLOOKUP(B20,Watchlist!$A$5:$AB$202,2,FALSE()),"")</f>
        <v/>
      </c>
      <c r="D20" s="131">
        <f>IFERROR(VLOOKUP(B20,Watchlist!$A$5:$AB$202,4,FALSE())&amp;" — "&amp;VLOOKUP(B20,Watchlist!$A$5:$AB$202,7,FALSE()),"")</f>
        <v/>
      </c>
      <c r="E20" s="132" t="n"/>
      <c r="F20" s="124" t="n"/>
      <c r="G20" s="133" t="n"/>
      <c r="H20" s="134">
        <f>IF(AND(ISNUMBER(F20),ISNUMBER(G20)),F20*G20,0)</f>
        <v/>
      </c>
      <c r="I20" s="134">
        <f>IFERROR(VLOOKUP(B20,Watchlist!$A$5:$AB$202,8,FALSE()),0)</f>
        <v/>
      </c>
      <c r="J20" s="135">
        <f>IFERROR(VLOOKUP(B20,Watchlist!$A$5:$AB$202,9,FALSE()),"")</f>
        <v/>
      </c>
      <c r="K20" s="134">
        <f>IF(ISNUMBER(F20),F20*I20,0)</f>
        <v/>
      </c>
      <c r="L20" s="134">
        <f>IF(H20=0,0,K20-H20)</f>
        <v/>
      </c>
      <c r="M20" s="136">
        <f>IFERROR(L20/H20,0)</f>
        <v/>
      </c>
      <c r="N20" s="137">
        <f>IF(ISNUMBER(E20),TODAY()-E20,0)</f>
        <v/>
      </c>
      <c r="O20" s="131">
        <f>IF(ISNUMBER(E20),IF(N20&gt;365,"LT","ST"),"")</f>
        <v/>
      </c>
      <c r="P20" s="124" t="n"/>
      <c r="Q20" s="124" t="n"/>
      <c r="R20" s="125" t="n"/>
    </row>
    <row r="21" ht="15" customHeight="1" s="81">
      <c r="A21" s="124" t="n"/>
      <c r="B21" s="124" t="n"/>
      <c r="C21" s="131">
        <f>IFERROR(VLOOKUP(B21,Watchlist!$A$5:$AB$202,2,FALSE()),"")</f>
        <v/>
      </c>
      <c r="D21" s="131">
        <f>IFERROR(VLOOKUP(B21,Watchlist!$A$5:$AB$202,4,FALSE())&amp;" — "&amp;VLOOKUP(B21,Watchlist!$A$5:$AB$202,7,FALSE()),"")</f>
        <v/>
      </c>
      <c r="E21" s="132" t="n"/>
      <c r="F21" s="124" t="n"/>
      <c r="G21" s="133" t="n"/>
      <c r="H21" s="134">
        <f>IF(AND(ISNUMBER(F21),ISNUMBER(G21)),F21*G21,0)</f>
        <v/>
      </c>
      <c r="I21" s="134">
        <f>IFERROR(VLOOKUP(B21,Watchlist!$A$5:$AB$202,8,FALSE()),0)</f>
        <v/>
      </c>
      <c r="J21" s="135">
        <f>IFERROR(VLOOKUP(B21,Watchlist!$A$5:$AB$202,9,FALSE()),"")</f>
        <v/>
      </c>
      <c r="K21" s="134">
        <f>IF(ISNUMBER(F21),F21*I21,0)</f>
        <v/>
      </c>
      <c r="L21" s="134">
        <f>IF(H21=0,0,K21-H21)</f>
        <v/>
      </c>
      <c r="M21" s="136">
        <f>IFERROR(L21/H21,0)</f>
        <v/>
      </c>
      <c r="N21" s="137">
        <f>IF(ISNUMBER(E21),TODAY()-E21,0)</f>
        <v/>
      </c>
      <c r="O21" s="131">
        <f>IF(ISNUMBER(E21),IF(N21&gt;365,"LT","ST"),"")</f>
        <v/>
      </c>
      <c r="P21" s="124" t="n"/>
      <c r="Q21" s="124" t="n"/>
      <c r="R21" s="125" t="n"/>
    </row>
    <row r="22" ht="15" customHeight="1" s="81">
      <c r="A22" s="124" t="n"/>
      <c r="B22" s="124" t="n"/>
      <c r="C22" s="131">
        <f>IFERROR(VLOOKUP(B22,Watchlist!$A$5:$AB$202,2,FALSE()),"")</f>
        <v/>
      </c>
      <c r="D22" s="131">
        <f>IFERROR(VLOOKUP(B22,Watchlist!$A$5:$AB$202,4,FALSE())&amp;" — "&amp;VLOOKUP(B22,Watchlist!$A$5:$AB$202,7,FALSE()),"")</f>
        <v/>
      </c>
      <c r="E22" s="132" t="n"/>
      <c r="F22" s="124" t="n"/>
      <c r="G22" s="133" t="n"/>
      <c r="H22" s="134">
        <f>IF(AND(ISNUMBER(F22),ISNUMBER(G22)),F22*G22,0)</f>
        <v/>
      </c>
      <c r="I22" s="134">
        <f>IFERROR(VLOOKUP(B22,Watchlist!$A$5:$AB$202,8,FALSE()),0)</f>
        <v/>
      </c>
      <c r="J22" s="135">
        <f>IFERROR(VLOOKUP(B22,Watchlist!$A$5:$AB$202,9,FALSE()),"")</f>
        <v/>
      </c>
      <c r="K22" s="134">
        <f>IF(ISNUMBER(F22),F22*I22,0)</f>
        <v/>
      </c>
      <c r="L22" s="134">
        <f>IF(H22=0,0,K22-H22)</f>
        <v/>
      </c>
      <c r="M22" s="136">
        <f>IFERROR(L22/H22,0)</f>
        <v/>
      </c>
      <c r="N22" s="137">
        <f>IF(ISNUMBER(E22),TODAY()-E22,0)</f>
        <v/>
      </c>
      <c r="O22" s="131">
        <f>IF(ISNUMBER(E22),IF(N22&gt;365,"LT","ST"),"")</f>
        <v/>
      </c>
      <c r="P22" s="124" t="n"/>
      <c r="Q22" s="124" t="n"/>
      <c r="R22" s="125" t="n"/>
    </row>
    <row r="23" ht="15" customHeight="1" s="81">
      <c r="A23" s="124" t="n"/>
      <c r="B23" s="124" t="n"/>
      <c r="C23" s="131">
        <f>IFERROR(VLOOKUP(B23,Watchlist!$A$5:$AB$202,2,FALSE()),"")</f>
        <v/>
      </c>
      <c r="D23" s="131">
        <f>IFERROR(VLOOKUP(B23,Watchlist!$A$5:$AB$202,4,FALSE())&amp;" — "&amp;VLOOKUP(B23,Watchlist!$A$5:$AB$202,7,FALSE()),"")</f>
        <v/>
      </c>
      <c r="E23" s="132" t="n"/>
      <c r="F23" s="124" t="n"/>
      <c r="G23" s="133" t="n"/>
      <c r="H23" s="134">
        <f>IF(AND(ISNUMBER(F23),ISNUMBER(G23)),F23*G23,0)</f>
        <v/>
      </c>
      <c r="I23" s="134">
        <f>IFERROR(VLOOKUP(B23,Watchlist!$A$5:$AB$202,8,FALSE()),0)</f>
        <v/>
      </c>
      <c r="J23" s="135">
        <f>IFERROR(VLOOKUP(B23,Watchlist!$A$5:$AB$202,9,FALSE()),"")</f>
        <v/>
      </c>
      <c r="K23" s="134">
        <f>IF(ISNUMBER(F23),F23*I23,0)</f>
        <v/>
      </c>
      <c r="L23" s="134">
        <f>IF(H23=0,0,K23-H23)</f>
        <v/>
      </c>
      <c r="M23" s="136">
        <f>IFERROR(L23/H23,0)</f>
        <v/>
      </c>
      <c r="N23" s="137">
        <f>IF(ISNUMBER(E23),TODAY()-E23,0)</f>
        <v/>
      </c>
      <c r="O23" s="131">
        <f>IF(ISNUMBER(E23),IF(N23&gt;365,"LT","ST"),"")</f>
        <v/>
      </c>
      <c r="P23" s="124" t="n"/>
      <c r="Q23" s="124" t="n"/>
      <c r="R23" s="125" t="n"/>
    </row>
    <row r="24" ht="15" customHeight="1" s="81">
      <c r="A24" s="124" t="n"/>
      <c r="B24" s="124" t="n"/>
      <c r="C24" s="131">
        <f>IFERROR(VLOOKUP(B24,Watchlist!$A$5:$AB$202,2,FALSE()),"")</f>
        <v/>
      </c>
      <c r="D24" s="131">
        <f>IFERROR(VLOOKUP(B24,Watchlist!$A$5:$AB$202,4,FALSE())&amp;" — "&amp;VLOOKUP(B24,Watchlist!$A$5:$AB$202,7,FALSE()),"")</f>
        <v/>
      </c>
      <c r="E24" s="132" t="n"/>
      <c r="F24" s="124" t="n"/>
      <c r="G24" s="133" t="n"/>
      <c r="H24" s="134">
        <f>IF(AND(ISNUMBER(F24),ISNUMBER(G24)),F24*G24,0)</f>
        <v/>
      </c>
      <c r="I24" s="134">
        <f>IFERROR(VLOOKUP(B24,Watchlist!$A$5:$AB$202,8,FALSE()),0)</f>
        <v/>
      </c>
      <c r="J24" s="135">
        <f>IFERROR(VLOOKUP(B24,Watchlist!$A$5:$AB$202,9,FALSE()),"")</f>
        <v/>
      </c>
      <c r="K24" s="134">
        <f>IF(ISNUMBER(F24),F24*I24,0)</f>
        <v/>
      </c>
      <c r="L24" s="134">
        <f>IF(H24=0,0,K24-H24)</f>
        <v/>
      </c>
      <c r="M24" s="136">
        <f>IFERROR(L24/H24,0)</f>
        <v/>
      </c>
      <c r="N24" s="137">
        <f>IF(ISNUMBER(E24),TODAY()-E24,0)</f>
        <v/>
      </c>
      <c r="O24" s="131">
        <f>IF(ISNUMBER(E24),IF(N24&gt;365,"LT","ST"),"")</f>
        <v/>
      </c>
      <c r="P24" s="124" t="n"/>
      <c r="Q24" s="124" t="n"/>
      <c r="R24" s="125" t="n"/>
    </row>
    <row r="25" ht="15" customHeight="1" s="81">
      <c r="A25" s="124" t="n"/>
      <c r="B25" s="124" t="n"/>
      <c r="C25" s="131">
        <f>IFERROR(VLOOKUP(B25,Watchlist!$A$5:$AB$202,2,FALSE()),"")</f>
        <v/>
      </c>
      <c r="D25" s="131">
        <f>IFERROR(VLOOKUP(B25,Watchlist!$A$5:$AB$202,4,FALSE())&amp;" — "&amp;VLOOKUP(B25,Watchlist!$A$5:$AB$202,7,FALSE()),"")</f>
        <v/>
      </c>
      <c r="E25" s="132" t="n"/>
      <c r="F25" s="124" t="n"/>
      <c r="G25" s="133" t="n"/>
      <c r="H25" s="134">
        <f>IF(AND(ISNUMBER(F25),ISNUMBER(G25)),F25*G25,0)</f>
        <v/>
      </c>
      <c r="I25" s="134">
        <f>IFERROR(VLOOKUP(B25,Watchlist!$A$5:$AB$202,8,FALSE()),0)</f>
        <v/>
      </c>
      <c r="J25" s="135">
        <f>IFERROR(VLOOKUP(B25,Watchlist!$A$5:$AB$202,9,FALSE()),"")</f>
        <v/>
      </c>
      <c r="K25" s="134">
        <f>IF(ISNUMBER(F25),F25*I25,0)</f>
        <v/>
      </c>
      <c r="L25" s="134">
        <f>IF(H25=0,0,K25-H25)</f>
        <v/>
      </c>
      <c r="M25" s="136">
        <f>IFERROR(L25/H25,0)</f>
        <v/>
      </c>
      <c r="N25" s="137">
        <f>IF(ISNUMBER(E25),TODAY()-E25,0)</f>
        <v/>
      </c>
      <c r="O25" s="131">
        <f>IF(ISNUMBER(E25),IF(N25&gt;365,"LT","ST"),"")</f>
        <v/>
      </c>
      <c r="P25" s="124" t="n"/>
      <c r="Q25" s="124" t="n"/>
      <c r="R25" s="125" t="n"/>
    </row>
    <row r="26" ht="15" customHeight="1" s="81">
      <c r="A26" s="124" t="n"/>
      <c r="B26" s="124" t="n"/>
      <c r="C26" s="131">
        <f>IFERROR(VLOOKUP(B26,Watchlist!$A$5:$AB$202,2,FALSE()),"")</f>
        <v/>
      </c>
      <c r="D26" s="131">
        <f>IFERROR(VLOOKUP(B26,Watchlist!$A$5:$AB$202,4,FALSE())&amp;" — "&amp;VLOOKUP(B26,Watchlist!$A$5:$AB$202,7,FALSE()),"")</f>
        <v/>
      </c>
      <c r="E26" s="132" t="n"/>
      <c r="F26" s="124" t="n"/>
      <c r="G26" s="133" t="n"/>
      <c r="H26" s="134">
        <f>IF(AND(ISNUMBER(F26),ISNUMBER(G26)),F26*G26,0)</f>
        <v/>
      </c>
      <c r="I26" s="134">
        <f>IFERROR(VLOOKUP(B26,Watchlist!$A$5:$AB$202,8,FALSE()),0)</f>
        <v/>
      </c>
      <c r="J26" s="135">
        <f>IFERROR(VLOOKUP(B26,Watchlist!$A$5:$AB$202,9,FALSE()),"")</f>
        <v/>
      </c>
      <c r="K26" s="134">
        <f>IF(ISNUMBER(F26),F26*I26,0)</f>
        <v/>
      </c>
      <c r="L26" s="134">
        <f>IF(H26=0,0,K26-H26)</f>
        <v/>
      </c>
      <c r="M26" s="136">
        <f>IFERROR(L26/H26,0)</f>
        <v/>
      </c>
      <c r="N26" s="137">
        <f>IF(ISNUMBER(E26),TODAY()-E26,0)</f>
        <v/>
      </c>
      <c r="O26" s="131">
        <f>IF(ISNUMBER(E26),IF(N26&gt;365,"LT","ST"),"")</f>
        <v/>
      </c>
      <c r="P26" s="124" t="n"/>
      <c r="Q26" s="124" t="n"/>
      <c r="R26" s="125" t="n"/>
    </row>
    <row r="27" ht="15" customHeight="1" s="81">
      <c r="A27" s="124" t="n"/>
      <c r="B27" s="124" t="n"/>
      <c r="C27" s="131">
        <f>IFERROR(VLOOKUP(B27,Watchlist!$A$5:$AB$202,2,FALSE()),"")</f>
        <v/>
      </c>
      <c r="D27" s="131">
        <f>IFERROR(VLOOKUP(B27,Watchlist!$A$5:$AB$202,4,FALSE())&amp;" — "&amp;VLOOKUP(B27,Watchlist!$A$5:$AB$202,7,FALSE()),"")</f>
        <v/>
      </c>
      <c r="E27" s="132" t="n"/>
      <c r="F27" s="124" t="n"/>
      <c r="G27" s="133" t="n"/>
      <c r="H27" s="134">
        <f>IF(AND(ISNUMBER(F27),ISNUMBER(G27)),F27*G27,0)</f>
        <v/>
      </c>
      <c r="I27" s="134">
        <f>IFERROR(VLOOKUP(B27,Watchlist!$A$5:$AB$202,8,FALSE()),0)</f>
        <v/>
      </c>
      <c r="J27" s="135">
        <f>IFERROR(VLOOKUP(B27,Watchlist!$A$5:$AB$202,9,FALSE()),"")</f>
        <v/>
      </c>
      <c r="K27" s="134">
        <f>IF(ISNUMBER(F27),F27*I27,0)</f>
        <v/>
      </c>
      <c r="L27" s="134">
        <f>IF(H27=0,0,K27-H27)</f>
        <v/>
      </c>
      <c r="M27" s="136">
        <f>IFERROR(L27/H27,0)</f>
        <v/>
      </c>
      <c r="N27" s="137">
        <f>IF(ISNUMBER(E27),TODAY()-E27,0)</f>
        <v/>
      </c>
      <c r="O27" s="131">
        <f>IF(ISNUMBER(E27),IF(N27&gt;365,"LT","ST"),"")</f>
        <v/>
      </c>
      <c r="P27" s="124" t="n"/>
      <c r="Q27" s="124" t="n"/>
      <c r="R27" s="125" t="n"/>
    </row>
    <row r="28" ht="15" customHeight="1" s="81">
      <c r="A28" s="124" t="n"/>
      <c r="B28" s="124" t="n"/>
      <c r="C28" s="131">
        <f>IFERROR(VLOOKUP(B28,Watchlist!$A$5:$AB$202,2,FALSE()),"")</f>
        <v/>
      </c>
      <c r="D28" s="131">
        <f>IFERROR(VLOOKUP(B28,Watchlist!$A$5:$AB$202,4,FALSE())&amp;" — "&amp;VLOOKUP(B28,Watchlist!$A$5:$AB$202,7,FALSE()),"")</f>
        <v/>
      </c>
      <c r="E28" s="132" t="n"/>
      <c r="F28" s="124" t="n"/>
      <c r="G28" s="133" t="n"/>
      <c r="H28" s="134">
        <f>IF(AND(ISNUMBER(F28),ISNUMBER(G28)),F28*G28,0)</f>
        <v/>
      </c>
      <c r="I28" s="134">
        <f>IFERROR(VLOOKUP(B28,Watchlist!$A$5:$AB$202,8,FALSE()),0)</f>
        <v/>
      </c>
      <c r="J28" s="135">
        <f>IFERROR(VLOOKUP(B28,Watchlist!$A$5:$AB$202,9,FALSE()),"")</f>
        <v/>
      </c>
      <c r="K28" s="134">
        <f>IF(ISNUMBER(F28),F28*I28,0)</f>
        <v/>
      </c>
      <c r="L28" s="134">
        <f>IF(H28=0,0,K28-H28)</f>
        <v/>
      </c>
      <c r="M28" s="136">
        <f>IFERROR(L28/H28,0)</f>
        <v/>
      </c>
      <c r="N28" s="137">
        <f>IF(ISNUMBER(E28),TODAY()-E28,0)</f>
        <v/>
      </c>
      <c r="O28" s="131">
        <f>IF(ISNUMBER(E28),IF(N28&gt;365,"LT","ST"),"")</f>
        <v/>
      </c>
      <c r="P28" s="124" t="n"/>
      <c r="Q28" s="124" t="n"/>
      <c r="R28" s="125" t="n"/>
    </row>
    <row r="29" ht="15" customHeight="1" s="81">
      <c r="A29" s="124" t="n"/>
      <c r="B29" s="124" t="n"/>
      <c r="C29" s="131">
        <f>IFERROR(VLOOKUP(B29,Watchlist!$A$5:$AB$202,2,FALSE()),"")</f>
        <v/>
      </c>
      <c r="D29" s="131">
        <f>IFERROR(VLOOKUP(B29,Watchlist!$A$5:$AB$202,4,FALSE())&amp;" — "&amp;VLOOKUP(B29,Watchlist!$A$5:$AB$202,7,FALSE()),"")</f>
        <v/>
      </c>
      <c r="E29" s="132" t="n"/>
      <c r="F29" s="124" t="n"/>
      <c r="G29" s="133" t="n"/>
      <c r="H29" s="134">
        <f>IF(AND(ISNUMBER(F29),ISNUMBER(G29)),F29*G29,0)</f>
        <v/>
      </c>
      <c r="I29" s="134">
        <f>IFERROR(VLOOKUP(B29,Watchlist!$A$5:$AB$202,8,FALSE()),0)</f>
        <v/>
      </c>
      <c r="J29" s="135">
        <f>IFERROR(VLOOKUP(B29,Watchlist!$A$5:$AB$202,9,FALSE()),"")</f>
        <v/>
      </c>
      <c r="K29" s="134">
        <f>IF(ISNUMBER(F29),F29*I29,0)</f>
        <v/>
      </c>
      <c r="L29" s="134">
        <f>IF(H29=0,0,K29-H29)</f>
        <v/>
      </c>
      <c r="M29" s="136">
        <f>IFERROR(L29/H29,0)</f>
        <v/>
      </c>
      <c r="N29" s="137">
        <f>IF(ISNUMBER(E29),TODAY()-E29,0)</f>
        <v/>
      </c>
      <c r="O29" s="131">
        <f>IF(ISNUMBER(E29),IF(N29&gt;365,"LT","ST"),"")</f>
        <v/>
      </c>
      <c r="P29" s="124" t="n"/>
      <c r="Q29" s="124" t="n"/>
      <c r="R29" s="125" t="n"/>
    </row>
    <row r="30" ht="15" customHeight="1" s="81">
      <c r="A30" s="124" t="n"/>
      <c r="B30" s="124" t="n"/>
      <c r="C30" s="131">
        <f>IFERROR(VLOOKUP(B30,Watchlist!$A$5:$AB$202,2,FALSE()),"")</f>
        <v/>
      </c>
      <c r="D30" s="131">
        <f>IFERROR(VLOOKUP(B30,Watchlist!$A$5:$AB$202,4,FALSE())&amp;" — "&amp;VLOOKUP(B30,Watchlist!$A$5:$AB$202,7,FALSE()),"")</f>
        <v/>
      </c>
      <c r="E30" s="132" t="n"/>
      <c r="F30" s="124" t="n"/>
      <c r="G30" s="133" t="n"/>
      <c r="H30" s="134">
        <f>IF(AND(ISNUMBER(F30),ISNUMBER(G30)),F30*G30,0)</f>
        <v/>
      </c>
      <c r="I30" s="134">
        <f>IFERROR(VLOOKUP(B30,Watchlist!$A$5:$AB$202,8,FALSE()),0)</f>
        <v/>
      </c>
      <c r="J30" s="135">
        <f>IFERROR(VLOOKUP(B30,Watchlist!$A$5:$AB$202,9,FALSE()),"")</f>
        <v/>
      </c>
      <c r="K30" s="134">
        <f>IF(ISNUMBER(F30),F30*I30,0)</f>
        <v/>
      </c>
      <c r="L30" s="134">
        <f>IF(H30=0,0,K30-H30)</f>
        <v/>
      </c>
      <c r="M30" s="136">
        <f>IFERROR(L30/H30,0)</f>
        <v/>
      </c>
      <c r="N30" s="137">
        <f>IF(ISNUMBER(E30),TODAY()-E30,0)</f>
        <v/>
      </c>
      <c r="O30" s="131">
        <f>IF(ISNUMBER(E30),IF(N30&gt;365,"LT","ST"),"")</f>
        <v/>
      </c>
      <c r="P30" s="124" t="n"/>
      <c r="Q30" s="124" t="n"/>
      <c r="R30" s="125" t="n"/>
    </row>
    <row r="31" ht="15" customHeight="1" s="81">
      <c r="A31" s="124" t="n"/>
      <c r="B31" s="124" t="n"/>
      <c r="C31" s="131">
        <f>IFERROR(VLOOKUP(B31,Watchlist!$A$5:$AB$202,2,FALSE()),"")</f>
        <v/>
      </c>
      <c r="D31" s="131">
        <f>IFERROR(VLOOKUP(B31,Watchlist!$A$5:$AB$202,4,FALSE())&amp;" — "&amp;VLOOKUP(B31,Watchlist!$A$5:$AB$202,7,FALSE()),"")</f>
        <v/>
      </c>
      <c r="E31" s="132" t="n"/>
      <c r="F31" s="124" t="n"/>
      <c r="G31" s="133" t="n"/>
      <c r="H31" s="134">
        <f>IF(AND(ISNUMBER(F31),ISNUMBER(G31)),F31*G31,0)</f>
        <v/>
      </c>
      <c r="I31" s="134">
        <f>IFERROR(VLOOKUP(B31,Watchlist!$A$5:$AB$202,8,FALSE()),0)</f>
        <v/>
      </c>
      <c r="J31" s="135">
        <f>IFERROR(VLOOKUP(B31,Watchlist!$A$5:$AB$202,9,FALSE()),"")</f>
        <v/>
      </c>
      <c r="K31" s="134">
        <f>IF(ISNUMBER(F31),F31*I31,0)</f>
        <v/>
      </c>
      <c r="L31" s="134">
        <f>IF(H31=0,0,K31-H31)</f>
        <v/>
      </c>
      <c r="M31" s="136">
        <f>IFERROR(L31/H31,0)</f>
        <v/>
      </c>
      <c r="N31" s="137">
        <f>IF(ISNUMBER(E31),TODAY()-E31,0)</f>
        <v/>
      </c>
      <c r="O31" s="131">
        <f>IF(ISNUMBER(E31),IF(N31&gt;365,"LT","ST"),"")</f>
        <v/>
      </c>
      <c r="P31" s="124" t="n"/>
      <c r="Q31" s="124" t="n"/>
      <c r="R31" s="125" t="n"/>
    </row>
    <row r="32" ht="15" customHeight="1" s="81">
      <c r="A32" s="124" t="n"/>
      <c r="B32" s="124" t="n"/>
      <c r="C32" s="131">
        <f>IFERROR(VLOOKUP(B32,Watchlist!$A$5:$AB$202,2,FALSE()),"")</f>
        <v/>
      </c>
      <c r="D32" s="131">
        <f>IFERROR(VLOOKUP(B32,Watchlist!$A$5:$AB$202,4,FALSE())&amp;" — "&amp;VLOOKUP(B32,Watchlist!$A$5:$AB$202,7,FALSE()),"")</f>
        <v/>
      </c>
      <c r="E32" s="132" t="n"/>
      <c r="F32" s="124" t="n"/>
      <c r="G32" s="133" t="n"/>
      <c r="H32" s="134">
        <f>IF(AND(ISNUMBER(F32),ISNUMBER(G32)),F32*G32,0)</f>
        <v/>
      </c>
      <c r="I32" s="134">
        <f>IFERROR(VLOOKUP(B32,Watchlist!$A$5:$AB$202,8,FALSE()),0)</f>
        <v/>
      </c>
      <c r="J32" s="135">
        <f>IFERROR(VLOOKUP(B32,Watchlist!$A$5:$AB$202,9,FALSE()),"")</f>
        <v/>
      </c>
      <c r="K32" s="134">
        <f>IF(ISNUMBER(F32),F32*I32,0)</f>
        <v/>
      </c>
      <c r="L32" s="134">
        <f>IF(H32=0,0,K32-H32)</f>
        <v/>
      </c>
      <c r="M32" s="136">
        <f>IFERROR(L32/H32,0)</f>
        <v/>
      </c>
      <c r="N32" s="137">
        <f>IF(ISNUMBER(E32),TODAY()-E32,0)</f>
        <v/>
      </c>
      <c r="O32" s="131">
        <f>IF(ISNUMBER(E32),IF(N32&gt;365,"LT","ST"),"")</f>
        <v/>
      </c>
      <c r="P32" s="124" t="n"/>
      <c r="Q32" s="124" t="n"/>
      <c r="R32" s="125" t="n"/>
    </row>
    <row r="33" ht="15" customHeight="1" s="81">
      <c r="A33" s="124" t="n"/>
      <c r="B33" s="124" t="n"/>
      <c r="C33" s="131">
        <f>IFERROR(VLOOKUP(B33,Watchlist!$A$5:$AB$202,2,FALSE()),"")</f>
        <v/>
      </c>
      <c r="D33" s="131">
        <f>IFERROR(VLOOKUP(B33,Watchlist!$A$5:$AB$202,4,FALSE())&amp;" — "&amp;VLOOKUP(B33,Watchlist!$A$5:$AB$202,7,FALSE()),"")</f>
        <v/>
      </c>
      <c r="E33" s="132" t="n"/>
      <c r="F33" s="124" t="n"/>
      <c r="G33" s="133" t="n"/>
      <c r="H33" s="134">
        <f>IF(AND(ISNUMBER(F33),ISNUMBER(G33)),F33*G33,0)</f>
        <v/>
      </c>
      <c r="I33" s="134">
        <f>IFERROR(VLOOKUP(B33,Watchlist!$A$5:$AB$202,8,FALSE()),0)</f>
        <v/>
      </c>
      <c r="J33" s="135">
        <f>IFERROR(VLOOKUP(B33,Watchlist!$A$5:$AB$202,9,FALSE()),"")</f>
        <v/>
      </c>
      <c r="K33" s="134">
        <f>IF(ISNUMBER(F33),F33*I33,0)</f>
        <v/>
      </c>
      <c r="L33" s="134">
        <f>IF(H33=0,0,K33-H33)</f>
        <v/>
      </c>
      <c r="M33" s="136">
        <f>IFERROR(L33/H33,0)</f>
        <v/>
      </c>
      <c r="N33" s="137">
        <f>IF(ISNUMBER(E33),TODAY()-E33,0)</f>
        <v/>
      </c>
      <c r="O33" s="131">
        <f>IF(ISNUMBER(E33),IF(N33&gt;365,"LT","ST"),"")</f>
        <v/>
      </c>
      <c r="P33" s="124" t="n"/>
      <c r="Q33" s="124" t="n"/>
      <c r="R33" s="125" t="n"/>
    </row>
    <row r="34" ht="15" customHeight="1" s="81">
      <c r="A34" s="124" t="n"/>
      <c r="B34" s="124" t="n"/>
      <c r="C34" s="131">
        <f>IFERROR(VLOOKUP(B34,Watchlist!$A$5:$AB$202,2,FALSE()),"")</f>
        <v/>
      </c>
      <c r="D34" s="131">
        <f>IFERROR(VLOOKUP(B34,Watchlist!$A$5:$AB$202,4,FALSE())&amp;" — "&amp;VLOOKUP(B34,Watchlist!$A$5:$AB$202,7,FALSE()),"")</f>
        <v/>
      </c>
      <c r="E34" s="132" t="n"/>
      <c r="F34" s="124" t="n"/>
      <c r="G34" s="133" t="n"/>
      <c r="H34" s="134">
        <f>IF(AND(ISNUMBER(F34),ISNUMBER(G34)),F34*G34,0)</f>
        <v/>
      </c>
      <c r="I34" s="134">
        <f>IFERROR(VLOOKUP(B34,Watchlist!$A$5:$AB$202,8,FALSE()),0)</f>
        <v/>
      </c>
      <c r="J34" s="135">
        <f>IFERROR(VLOOKUP(B34,Watchlist!$A$5:$AB$202,9,FALSE()),"")</f>
        <v/>
      </c>
      <c r="K34" s="134">
        <f>IF(ISNUMBER(F34),F34*I34,0)</f>
        <v/>
      </c>
      <c r="L34" s="134">
        <f>IF(H34=0,0,K34-H34)</f>
        <v/>
      </c>
      <c r="M34" s="136">
        <f>IFERROR(L34/H34,0)</f>
        <v/>
      </c>
      <c r="N34" s="137">
        <f>IF(ISNUMBER(E34),TODAY()-E34,0)</f>
        <v/>
      </c>
      <c r="O34" s="131">
        <f>IF(ISNUMBER(E34),IF(N34&gt;365,"LT","ST"),"")</f>
        <v/>
      </c>
      <c r="P34" s="124" t="n"/>
      <c r="Q34" s="124" t="n"/>
      <c r="R34" s="125" t="n"/>
    </row>
    <row r="35" ht="15" customHeight="1" s="81">
      <c r="A35" s="124" t="n"/>
      <c r="B35" s="124" t="n"/>
      <c r="C35" s="131">
        <f>IFERROR(VLOOKUP(B35,Watchlist!$A$5:$AB$202,2,FALSE()),"")</f>
        <v/>
      </c>
      <c r="D35" s="131">
        <f>IFERROR(VLOOKUP(B35,Watchlist!$A$5:$AB$202,4,FALSE())&amp;" — "&amp;VLOOKUP(B35,Watchlist!$A$5:$AB$202,7,FALSE()),"")</f>
        <v/>
      </c>
      <c r="E35" s="132" t="n"/>
      <c r="F35" s="124" t="n"/>
      <c r="G35" s="133" t="n"/>
      <c r="H35" s="134">
        <f>IF(AND(ISNUMBER(F35),ISNUMBER(G35)),F35*G35,0)</f>
        <v/>
      </c>
      <c r="I35" s="134">
        <f>IFERROR(VLOOKUP(B35,Watchlist!$A$5:$AB$202,8,FALSE()),0)</f>
        <v/>
      </c>
      <c r="J35" s="135">
        <f>IFERROR(VLOOKUP(B35,Watchlist!$A$5:$AB$202,9,FALSE()),"")</f>
        <v/>
      </c>
      <c r="K35" s="134">
        <f>IF(ISNUMBER(F35),F35*I35,0)</f>
        <v/>
      </c>
      <c r="L35" s="134">
        <f>IF(H35=0,0,K35-H35)</f>
        <v/>
      </c>
      <c r="M35" s="136">
        <f>IFERROR(L35/H35,0)</f>
        <v/>
      </c>
      <c r="N35" s="137">
        <f>IF(ISNUMBER(E35),TODAY()-E35,0)</f>
        <v/>
      </c>
      <c r="O35" s="131">
        <f>IF(ISNUMBER(E35),IF(N35&gt;365,"LT","ST"),"")</f>
        <v/>
      </c>
      <c r="P35" s="124" t="n"/>
      <c r="Q35" s="124" t="n"/>
      <c r="R35" s="125" t="n"/>
    </row>
    <row r="36" ht="15" customHeight="1" s="81">
      <c r="A36" s="124" t="n"/>
      <c r="B36" s="124" t="n"/>
      <c r="C36" s="131">
        <f>IFERROR(VLOOKUP(B36,Watchlist!$A$5:$AB$202,2,FALSE()),"")</f>
        <v/>
      </c>
      <c r="D36" s="131">
        <f>IFERROR(VLOOKUP(B36,Watchlist!$A$5:$AB$202,4,FALSE())&amp;" — "&amp;VLOOKUP(B36,Watchlist!$A$5:$AB$202,7,FALSE()),"")</f>
        <v/>
      </c>
      <c r="E36" s="132" t="n"/>
      <c r="F36" s="124" t="n"/>
      <c r="G36" s="133" t="n"/>
      <c r="H36" s="134">
        <f>IF(AND(ISNUMBER(F36),ISNUMBER(G36)),F36*G36,0)</f>
        <v/>
      </c>
      <c r="I36" s="134">
        <f>IFERROR(VLOOKUP(B36,Watchlist!$A$5:$AB$202,8,FALSE()),0)</f>
        <v/>
      </c>
      <c r="J36" s="135">
        <f>IFERROR(VLOOKUP(B36,Watchlist!$A$5:$AB$202,9,FALSE()),"")</f>
        <v/>
      </c>
      <c r="K36" s="134">
        <f>IF(ISNUMBER(F36),F36*I36,0)</f>
        <v/>
      </c>
      <c r="L36" s="134">
        <f>IF(H36=0,0,K36-H36)</f>
        <v/>
      </c>
      <c r="M36" s="136">
        <f>IFERROR(L36/H36,0)</f>
        <v/>
      </c>
      <c r="N36" s="137">
        <f>IF(ISNUMBER(E36),TODAY()-E36,0)</f>
        <v/>
      </c>
      <c r="O36" s="131">
        <f>IF(ISNUMBER(E36),IF(N36&gt;365,"LT","ST"),"")</f>
        <v/>
      </c>
      <c r="P36" s="124" t="n"/>
      <c r="Q36" s="124" t="n"/>
      <c r="R36" s="125" t="n"/>
    </row>
    <row r="37" ht="15" customHeight="1" s="81">
      <c r="A37" s="124" t="n"/>
      <c r="B37" s="124" t="n"/>
      <c r="C37" s="131">
        <f>IFERROR(VLOOKUP(B37,Watchlist!$A$5:$AB$202,2,FALSE()),"")</f>
        <v/>
      </c>
      <c r="D37" s="131">
        <f>IFERROR(VLOOKUP(B37,Watchlist!$A$5:$AB$202,4,FALSE())&amp;" — "&amp;VLOOKUP(B37,Watchlist!$A$5:$AB$202,7,FALSE()),"")</f>
        <v/>
      </c>
      <c r="E37" s="132" t="n"/>
      <c r="F37" s="124" t="n"/>
      <c r="G37" s="133" t="n"/>
      <c r="H37" s="134">
        <f>IF(AND(ISNUMBER(F37),ISNUMBER(G37)),F37*G37,0)</f>
        <v/>
      </c>
      <c r="I37" s="134">
        <f>IFERROR(VLOOKUP(B37,Watchlist!$A$5:$AB$202,8,FALSE()),0)</f>
        <v/>
      </c>
      <c r="J37" s="135">
        <f>IFERROR(VLOOKUP(B37,Watchlist!$A$5:$AB$202,9,FALSE()),"")</f>
        <v/>
      </c>
      <c r="K37" s="134">
        <f>IF(ISNUMBER(F37),F37*I37,0)</f>
        <v/>
      </c>
      <c r="L37" s="134">
        <f>IF(H37=0,0,K37-H37)</f>
        <v/>
      </c>
      <c r="M37" s="136">
        <f>IFERROR(L37/H37,0)</f>
        <v/>
      </c>
      <c r="N37" s="137">
        <f>IF(ISNUMBER(E37),TODAY()-E37,0)</f>
        <v/>
      </c>
      <c r="O37" s="131">
        <f>IF(ISNUMBER(E37),IF(N37&gt;365,"LT","ST"),"")</f>
        <v/>
      </c>
      <c r="P37" s="124" t="n"/>
      <c r="Q37" s="124" t="n"/>
      <c r="R37" s="125" t="n"/>
    </row>
    <row r="38" ht="15" customHeight="1" s="81">
      <c r="A38" s="124" t="n"/>
      <c r="B38" s="124" t="n"/>
      <c r="C38" s="131">
        <f>IFERROR(VLOOKUP(B38,Watchlist!$A$5:$AB$202,2,FALSE()),"")</f>
        <v/>
      </c>
      <c r="D38" s="131">
        <f>IFERROR(VLOOKUP(B38,Watchlist!$A$5:$AB$202,4,FALSE())&amp;" — "&amp;VLOOKUP(B38,Watchlist!$A$5:$AB$202,7,FALSE()),"")</f>
        <v/>
      </c>
      <c r="E38" s="132" t="n"/>
      <c r="F38" s="124" t="n"/>
      <c r="G38" s="133" t="n"/>
      <c r="H38" s="134">
        <f>IF(AND(ISNUMBER(F38),ISNUMBER(G38)),F38*G38,0)</f>
        <v/>
      </c>
      <c r="I38" s="134">
        <f>IFERROR(VLOOKUP(B38,Watchlist!$A$5:$AB$202,8,FALSE()),0)</f>
        <v/>
      </c>
      <c r="J38" s="135">
        <f>IFERROR(VLOOKUP(B38,Watchlist!$A$5:$AB$202,9,FALSE()),"")</f>
        <v/>
      </c>
      <c r="K38" s="134">
        <f>IF(ISNUMBER(F38),F38*I38,0)</f>
        <v/>
      </c>
      <c r="L38" s="134">
        <f>IF(H38=0,0,K38-H38)</f>
        <v/>
      </c>
      <c r="M38" s="136">
        <f>IFERROR(L38/H38,0)</f>
        <v/>
      </c>
      <c r="N38" s="137">
        <f>IF(ISNUMBER(E38),TODAY()-E38,0)</f>
        <v/>
      </c>
      <c r="O38" s="131">
        <f>IF(ISNUMBER(E38),IF(N38&gt;365,"LT","ST"),"")</f>
        <v/>
      </c>
      <c r="P38" s="124" t="n"/>
      <c r="Q38" s="124" t="n"/>
      <c r="R38" s="125" t="n"/>
    </row>
    <row r="39" ht="15" customHeight="1" s="81">
      <c r="A39" s="124" t="n"/>
      <c r="B39" s="124" t="n"/>
      <c r="C39" s="131">
        <f>IFERROR(VLOOKUP(B39,Watchlist!$A$5:$AB$202,2,FALSE()),"")</f>
        <v/>
      </c>
      <c r="D39" s="131">
        <f>IFERROR(VLOOKUP(B39,Watchlist!$A$5:$AB$202,4,FALSE())&amp;" — "&amp;VLOOKUP(B39,Watchlist!$A$5:$AB$202,7,FALSE()),"")</f>
        <v/>
      </c>
      <c r="E39" s="132" t="n"/>
      <c r="F39" s="124" t="n"/>
      <c r="G39" s="133" t="n"/>
      <c r="H39" s="134">
        <f>IF(AND(ISNUMBER(F39),ISNUMBER(G39)),F39*G39,0)</f>
        <v/>
      </c>
      <c r="I39" s="134">
        <f>IFERROR(VLOOKUP(B39,Watchlist!$A$5:$AB$202,8,FALSE()),0)</f>
        <v/>
      </c>
      <c r="J39" s="135">
        <f>IFERROR(VLOOKUP(B39,Watchlist!$A$5:$AB$202,9,FALSE()),"")</f>
        <v/>
      </c>
      <c r="K39" s="134">
        <f>IF(ISNUMBER(F39),F39*I39,0)</f>
        <v/>
      </c>
      <c r="L39" s="134">
        <f>IF(H39=0,0,K39-H39)</f>
        <v/>
      </c>
      <c r="M39" s="136">
        <f>IFERROR(L39/H39,0)</f>
        <v/>
      </c>
      <c r="N39" s="137">
        <f>IF(ISNUMBER(E39),TODAY()-E39,0)</f>
        <v/>
      </c>
      <c r="O39" s="131">
        <f>IF(ISNUMBER(E39),IF(N39&gt;365,"LT","ST"),"")</f>
        <v/>
      </c>
      <c r="P39" s="124" t="n"/>
      <c r="Q39" s="124" t="n"/>
      <c r="R39" s="125" t="n"/>
    </row>
    <row r="40" ht="15" customHeight="1" s="81">
      <c r="A40" s="124" t="n"/>
      <c r="B40" s="124" t="n"/>
      <c r="C40" s="131">
        <f>IFERROR(VLOOKUP(B40,Watchlist!$A$5:$AB$202,2,FALSE()),"")</f>
        <v/>
      </c>
      <c r="D40" s="131">
        <f>IFERROR(VLOOKUP(B40,Watchlist!$A$5:$AB$202,4,FALSE())&amp;" — "&amp;VLOOKUP(B40,Watchlist!$A$5:$AB$202,7,FALSE()),"")</f>
        <v/>
      </c>
      <c r="E40" s="132" t="n"/>
      <c r="F40" s="124" t="n"/>
      <c r="G40" s="133" t="n"/>
      <c r="H40" s="134">
        <f>IF(AND(ISNUMBER(F40),ISNUMBER(G40)),F40*G40,0)</f>
        <v/>
      </c>
      <c r="I40" s="134">
        <f>IFERROR(VLOOKUP(B40,Watchlist!$A$5:$AB$202,8,FALSE()),0)</f>
        <v/>
      </c>
      <c r="J40" s="135">
        <f>IFERROR(VLOOKUP(B40,Watchlist!$A$5:$AB$202,9,FALSE()),"")</f>
        <v/>
      </c>
      <c r="K40" s="134">
        <f>IF(ISNUMBER(F40),F40*I40,0)</f>
        <v/>
      </c>
      <c r="L40" s="134">
        <f>IF(H40=0,0,K40-H40)</f>
        <v/>
      </c>
      <c r="M40" s="136">
        <f>IFERROR(L40/H40,0)</f>
        <v/>
      </c>
      <c r="N40" s="137">
        <f>IF(ISNUMBER(E40),TODAY()-E40,0)</f>
        <v/>
      </c>
      <c r="O40" s="131">
        <f>IF(ISNUMBER(E40),IF(N40&gt;365,"LT","ST"),"")</f>
        <v/>
      </c>
      <c r="P40" s="124" t="n"/>
      <c r="Q40" s="124" t="n"/>
      <c r="R40" s="125" t="n"/>
    </row>
    <row r="41" ht="15" customHeight="1" s="81">
      <c r="A41" s="124" t="n"/>
      <c r="B41" s="124" t="n"/>
      <c r="C41" s="131">
        <f>IFERROR(VLOOKUP(B41,Watchlist!$A$5:$AB$202,2,FALSE()),"")</f>
        <v/>
      </c>
      <c r="D41" s="131">
        <f>IFERROR(VLOOKUP(B41,Watchlist!$A$5:$AB$202,4,FALSE())&amp;" — "&amp;VLOOKUP(B41,Watchlist!$A$5:$AB$202,7,FALSE()),"")</f>
        <v/>
      </c>
      <c r="E41" s="132" t="n"/>
      <c r="F41" s="124" t="n"/>
      <c r="G41" s="133" t="n"/>
      <c r="H41" s="134">
        <f>IF(AND(ISNUMBER(F41),ISNUMBER(G41)),F41*G41,0)</f>
        <v/>
      </c>
      <c r="I41" s="134">
        <f>IFERROR(VLOOKUP(B41,Watchlist!$A$5:$AB$202,8,FALSE()),0)</f>
        <v/>
      </c>
      <c r="J41" s="135">
        <f>IFERROR(VLOOKUP(B41,Watchlist!$A$5:$AB$202,9,FALSE()),"")</f>
        <v/>
      </c>
      <c r="K41" s="134">
        <f>IF(ISNUMBER(F41),F41*I41,0)</f>
        <v/>
      </c>
      <c r="L41" s="134">
        <f>IF(H41=0,0,K41-H41)</f>
        <v/>
      </c>
      <c r="M41" s="136">
        <f>IFERROR(L41/H41,0)</f>
        <v/>
      </c>
      <c r="N41" s="137">
        <f>IF(ISNUMBER(E41),TODAY()-E41,0)</f>
        <v/>
      </c>
      <c r="O41" s="131">
        <f>IF(ISNUMBER(E41),IF(N41&gt;365,"LT","ST"),"")</f>
        <v/>
      </c>
      <c r="P41" s="124" t="n"/>
      <c r="Q41" s="124" t="n"/>
      <c r="R41" s="125" t="n"/>
    </row>
    <row r="42" ht="15" customHeight="1" s="81">
      <c r="A42" s="124" t="n"/>
      <c r="B42" s="124" t="n"/>
      <c r="C42" s="131">
        <f>IFERROR(VLOOKUP(B42,Watchlist!$A$5:$AB$202,2,FALSE()),"")</f>
        <v/>
      </c>
      <c r="D42" s="131">
        <f>IFERROR(VLOOKUP(B42,Watchlist!$A$5:$AB$202,4,FALSE())&amp;" — "&amp;VLOOKUP(B42,Watchlist!$A$5:$AB$202,7,FALSE()),"")</f>
        <v/>
      </c>
      <c r="E42" s="132" t="n"/>
      <c r="F42" s="124" t="n"/>
      <c r="G42" s="133" t="n"/>
      <c r="H42" s="134">
        <f>IF(AND(ISNUMBER(F42),ISNUMBER(G42)),F42*G42,0)</f>
        <v/>
      </c>
      <c r="I42" s="134">
        <f>IFERROR(VLOOKUP(B42,Watchlist!$A$5:$AB$202,8,FALSE()),0)</f>
        <v/>
      </c>
      <c r="J42" s="135">
        <f>IFERROR(VLOOKUP(B42,Watchlist!$A$5:$AB$202,9,FALSE()),"")</f>
        <v/>
      </c>
      <c r="K42" s="134">
        <f>IF(ISNUMBER(F42),F42*I42,0)</f>
        <v/>
      </c>
      <c r="L42" s="134">
        <f>IF(H42=0,0,K42-H42)</f>
        <v/>
      </c>
      <c r="M42" s="136">
        <f>IFERROR(L42/H42,0)</f>
        <v/>
      </c>
      <c r="N42" s="137">
        <f>IF(ISNUMBER(E42),TODAY()-E42,0)</f>
        <v/>
      </c>
      <c r="O42" s="131">
        <f>IF(ISNUMBER(E42),IF(N42&gt;365,"LT","ST"),"")</f>
        <v/>
      </c>
      <c r="P42" s="124" t="n"/>
      <c r="Q42" s="124" t="n"/>
      <c r="R42" s="125" t="n"/>
    </row>
    <row r="43" ht="15" customHeight="1" s="81">
      <c r="A43" s="124" t="n"/>
      <c r="B43" s="124" t="n"/>
      <c r="C43" s="131">
        <f>IFERROR(VLOOKUP(B43,Watchlist!$A$5:$AB$202,2,FALSE()),"")</f>
        <v/>
      </c>
      <c r="D43" s="131">
        <f>IFERROR(VLOOKUP(B43,Watchlist!$A$5:$AB$202,4,FALSE())&amp;" — "&amp;VLOOKUP(B43,Watchlist!$A$5:$AB$202,7,FALSE()),"")</f>
        <v/>
      </c>
      <c r="E43" s="132" t="n"/>
      <c r="F43" s="124" t="n"/>
      <c r="G43" s="133" t="n"/>
      <c r="H43" s="134">
        <f>IF(AND(ISNUMBER(F43),ISNUMBER(G43)),F43*G43,0)</f>
        <v/>
      </c>
      <c r="I43" s="134">
        <f>IFERROR(VLOOKUP(B43,Watchlist!$A$5:$AB$202,8,FALSE()),0)</f>
        <v/>
      </c>
      <c r="J43" s="135">
        <f>IFERROR(VLOOKUP(B43,Watchlist!$A$5:$AB$202,9,FALSE()),"")</f>
        <v/>
      </c>
      <c r="K43" s="134">
        <f>IF(ISNUMBER(F43),F43*I43,0)</f>
        <v/>
      </c>
      <c r="L43" s="134">
        <f>IF(H43=0,0,K43-H43)</f>
        <v/>
      </c>
      <c r="M43" s="136">
        <f>IFERROR(L43/H43,0)</f>
        <v/>
      </c>
      <c r="N43" s="137">
        <f>IF(ISNUMBER(E43),TODAY()-E43,0)</f>
        <v/>
      </c>
      <c r="O43" s="131">
        <f>IF(ISNUMBER(E43),IF(N43&gt;365,"LT","ST"),"")</f>
        <v/>
      </c>
      <c r="P43" s="124" t="n"/>
      <c r="Q43" s="124" t="n"/>
      <c r="R43" s="125" t="n"/>
    </row>
    <row r="44" ht="15" customHeight="1" s="81">
      <c r="A44" s="124" t="n"/>
      <c r="B44" s="124" t="n"/>
      <c r="C44" s="131">
        <f>IFERROR(VLOOKUP(B44,Watchlist!$A$5:$AB$202,2,FALSE()),"")</f>
        <v/>
      </c>
      <c r="D44" s="131">
        <f>IFERROR(VLOOKUP(B44,Watchlist!$A$5:$AB$202,4,FALSE())&amp;" — "&amp;VLOOKUP(B44,Watchlist!$A$5:$AB$202,7,FALSE()),"")</f>
        <v/>
      </c>
      <c r="E44" s="132" t="n"/>
      <c r="F44" s="124" t="n"/>
      <c r="G44" s="133" t="n"/>
      <c r="H44" s="134">
        <f>IF(AND(ISNUMBER(F44),ISNUMBER(G44)),F44*G44,0)</f>
        <v/>
      </c>
      <c r="I44" s="134">
        <f>IFERROR(VLOOKUP(B44,Watchlist!$A$5:$AB$202,8,FALSE()),0)</f>
        <v/>
      </c>
      <c r="J44" s="135">
        <f>IFERROR(VLOOKUP(B44,Watchlist!$A$5:$AB$202,9,FALSE()),"")</f>
        <v/>
      </c>
      <c r="K44" s="134">
        <f>IF(ISNUMBER(F44),F44*I44,0)</f>
        <v/>
      </c>
      <c r="L44" s="134">
        <f>IF(H44=0,0,K44-H44)</f>
        <v/>
      </c>
      <c r="M44" s="136">
        <f>IFERROR(L44/H44,0)</f>
        <v/>
      </c>
      <c r="N44" s="137">
        <f>IF(ISNUMBER(E44),TODAY()-E44,0)</f>
        <v/>
      </c>
      <c r="O44" s="131">
        <f>IF(ISNUMBER(E44),IF(N44&gt;365,"LT","ST"),"")</f>
        <v/>
      </c>
      <c r="P44" s="124" t="n"/>
      <c r="Q44" s="124" t="n"/>
      <c r="R44" s="125" t="n"/>
    </row>
    <row r="45" ht="15" customHeight="1" s="81">
      <c r="A45" s="124" t="n"/>
      <c r="B45" s="124" t="n"/>
      <c r="C45" s="131">
        <f>IFERROR(VLOOKUP(B45,Watchlist!$A$5:$AB$202,2,FALSE()),"")</f>
        <v/>
      </c>
      <c r="D45" s="131">
        <f>IFERROR(VLOOKUP(B45,Watchlist!$A$5:$AB$202,4,FALSE())&amp;" — "&amp;VLOOKUP(B45,Watchlist!$A$5:$AB$202,7,FALSE()),"")</f>
        <v/>
      </c>
      <c r="E45" s="132" t="n"/>
      <c r="F45" s="124" t="n"/>
      <c r="G45" s="133" t="n"/>
      <c r="H45" s="134">
        <f>IF(AND(ISNUMBER(F45),ISNUMBER(G45)),F45*G45,0)</f>
        <v/>
      </c>
      <c r="I45" s="134">
        <f>IFERROR(VLOOKUP(B45,Watchlist!$A$5:$AB$202,8,FALSE()),0)</f>
        <v/>
      </c>
      <c r="J45" s="135">
        <f>IFERROR(VLOOKUP(B45,Watchlist!$A$5:$AB$202,9,FALSE()),"")</f>
        <v/>
      </c>
      <c r="K45" s="134">
        <f>IF(ISNUMBER(F45),F45*I45,0)</f>
        <v/>
      </c>
      <c r="L45" s="134">
        <f>IF(H45=0,0,K45-H45)</f>
        <v/>
      </c>
      <c r="M45" s="136">
        <f>IFERROR(L45/H45,0)</f>
        <v/>
      </c>
      <c r="N45" s="137">
        <f>IF(ISNUMBER(E45),TODAY()-E45,0)</f>
        <v/>
      </c>
      <c r="O45" s="131">
        <f>IF(ISNUMBER(E45),IF(N45&gt;365,"LT","ST"),"")</f>
        <v/>
      </c>
      <c r="P45" s="124" t="n"/>
      <c r="Q45" s="124" t="n"/>
      <c r="R45" s="125" t="n"/>
    </row>
    <row r="46" ht="15" customHeight="1" s="81">
      <c r="A46" s="124" t="n"/>
      <c r="B46" s="124" t="n"/>
      <c r="C46" s="131">
        <f>IFERROR(VLOOKUP(B46,Watchlist!$A$5:$AB$202,2,FALSE()),"")</f>
        <v/>
      </c>
      <c r="D46" s="131">
        <f>IFERROR(VLOOKUP(B46,Watchlist!$A$5:$AB$202,4,FALSE())&amp;" — "&amp;VLOOKUP(B46,Watchlist!$A$5:$AB$202,7,FALSE()),"")</f>
        <v/>
      </c>
      <c r="E46" s="132" t="n"/>
      <c r="F46" s="124" t="n"/>
      <c r="G46" s="133" t="n"/>
      <c r="H46" s="134">
        <f>IF(AND(ISNUMBER(F46),ISNUMBER(G46)),F46*G46,0)</f>
        <v/>
      </c>
      <c r="I46" s="134">
        <f>IFERROR(VLOOKUP(B46,Watchlist!$A$5:$AB$202,8,FALSE()),0)</f>
        <v/>
      </c>
      <c r="J46" s="135">
        <f>IFERROR(VLOOKUP(B46,Watchlist!$A$5:$AB$202,9,FALSE()),"")</f>
        <v/>
      </c>
      <c r="K46" s="134">
        <f>IF(ISNUMBER(F46),F46*I46,0)</f>
        <v/>
      </c>
      <c r="L46" s="134">
        <f>IF(H46=0,0,K46-H46)</f>
        <v/>
      </c>
      <c r="M46" s="136">
        <f>IFERROR(L46/H46,0)</f>
        <v/>
      </c>
      <c r="N46" s="137">
        <f>IF(ISNUMBER(E46),TODAY()-E46,0)</f>
        <v/>
      </c>
      <c r="O46" s="131">
        <f>IF(ISNUMBER(E46),IF(N46&gt;365,"LT","ST"),"")</f>
        <v/>
      </c>
      <c r="P46" s="124" t="n"/>
      <c r="Q46" s="124" t="n"/>
      <c r="R46" s="125" t="n"/>
    </row>
    <row r="47" ht="15" customHeight="1" s="81">
      <c r="A47" s="124" t="n"/>
      <c r="B47" s="124" t="n"/>
      <c r="C47" s="131">
        <f>IFERROR(VLOOKUP(B47,Watchlist!$A$5:$AB$202,2,FALSE()),"")</f>
        <v/>
      </c>
      <c r="D47" s="131">
        <f>IFERROR(VLOOKUP(B47,Watchlist!$A$5:$AB$202,4,FALSE())&amp;" — "&amp;VLOOKUP(B47,Watchlist!$A$5:$AB$202,7,FALSE()),"")</f>
        <v/>
      </c>
      <c r="E47" s="132" t="n"/>
      <c r="F47" s="124" t="n"/>
      <c r="G47" s="133" t="n"/>
      <c r="H47" s="134">
        <f>IF(AND(ISNUMBER(F47),ISNUMBER(G47)),F47*G47,0)</f>
        <v/>
      </c>
      <c r="I47" s="134">
        <f>IFERROR(VLOOKUP(B47,Watchlist!$A$5:$AB$202,8,FALSE()),0)</f>
        <v/>
      </c>
      <c r="J47" s="135">
        <f>IFERROR(VLOOKUP(B47,Watchlist!$A$5:$AB$202,9,FALSE()),"")</f>
        <v/>
      </c>
      <c r="K47" s="134">
        <f>IF(ISNUMBER(F47),F47*I47,0)</f>
        <v/>
      </c>
      <c r="L47" s="134">
        <f>IF(H47=0,0,K47-H47)</f>
        <v/>
      </c>
      <c r="M47" s="136">
        <f>IFERROR(L47/H47,0)</f>
        <v/>
      </c>
      <c r="N47" s="137">
        <f>IF(ISNUMBER(E47),TODAY()-E47,0)</f>
        <v/>
      </c>
      <c r="O47" s="131">
        <f>IF(ISNUMBER(E47),IF(N47&gt;365,"LT","ST"),"")</f>
        <v/>
      </c>
      <c r="P47" s="124" t="n"/>
      <c r="Q47" s="124" t="n"/>
      <c r="R47" s="125" t="n"/>
    </row>
    <row r="48" ht="15" customHeight="1" s="81">
      <c r="A48" s="124" t="n"/>
      <c r="B48" s="124" t="n"/>
      <c r="C48" s="131">
        <f>IFERROR(VLOOKUP(B48,Watchlist!$A$5:$AB$202,2,FALSE()),"")</f>
        <v/>
      </c>
      <c r="D48" s="131">
        <f>IFERROR(VLOOKUP(B48,Watchlist!$A$5:$AB$202,4,FALSE())&amp;" — "&amp;VLOOKUP(B48,Watchlist!$A$5:$AB$202,7,FALSE()),"")</f>
        <v/>
      </c>
      <c r="E48" s="132" t="n"/>
      <c r="F48" s="124" t="n"/>
      <c r="G48" s="133" t="n"/>
      <c r="H48" s="134">
        <f>IF(AND(ISNUMBER(F48),ISNUMBER(G48)),F48*G48,0)</f>
        <v/>
      </c>
      <c r="I48" s="134">
        <f>IFERROR(VLOOKUP(B48,Watchlist!$A$5:$AB$202,8,FALSE()),0)</f>
        <v/>
      </c>
      <c r="J48" s="135">
        <f>IFERROR(VLOOKUP(B48,Watchlist!$A$5:$AB$202,9,FALSE()),"")</f>
        <v/>
      </c>
      <c r="K48" s="134">
        <f>IF(ISNUMBER(F48),F48*I48,0)</f>
        <v/>
      </c>
      <c r="L48" s="134">
        <f>IF(H48=0,0,K48-H48)</f>
        <v/>
      </c>
      <c r="M48" s="136">
        <f>IFERROR(L48/H48,0)</f>
        <v/>
      </c>
      <c r="N48" s="137">
        <f>IF(ISNUMBER(E48),TODAY()-E48,0)</f>
        <v/>
      </c>
      <c r="O48" s="131">
        <f>IF(ISNUMBER(E48),IF(N48&gt;365,"LT","ST"),"")</f>
        <v/>
      </c>
      <c r="P48" s="124" t="n"/>
      <c r="Q48" s="124" t="n"/>
      <c r="R48" s="125" t="n"/>
    </row>
    <row r="49" ht="15" customHeight="1" s="81">
      <c r="A49" s="124" t="n"/>
      <c r="B49" s="124" t="n"/>
      <c r="C49" s="131">
        <f>IFERROR(VLOOKUP(B49,Watchlist!$A$5:$AB$202,2,FALSE()),"")</f>
        <v/>
      </c>
      <c r="D49" s="131">
        <f>IFERROR(VLOOKUP(B49,Watchlist!$A$5:$AB$202,4,FALSE())&amp;" — "&amp;VLOOKUP(B49,Watchlist!$A$5:$AB$202,7,FALSE()),"")</f>
        <v/>
      </c>
      <c r="E49" s="132" t="n"/>
      <c r="F49" s="124" t="n"/>
      <c r="G49" s="133" t="n"/>
      <c r="H49" s="134">
        <f>IF(AND(ISNUMBER(F49),ISNUMBER(G49)),F49*G49,0)</f>
        <v/>
      </c>
      <c r="I49" s="134">
        <f>IFERROR(VLOOKUP(B49,Watchlist!$A$5:$AB$202,8,FALSE()),0)</f>
        <v/>
      </c>
      <c r="J49" s="135">
        <f>IFERROR(VLOOKUP(B49,Watchlist!$A$5:$AB$202,9,FALSE()),"")</f>
        <v/>
      </c>
      <c r="K49" s="134">
        <f>IF(ISNUMBER(F49),F49*I49,0)</f>
        <v/>
      </c>
      <c r="L49" s="134">
        <f>IF(H49=0,0,K49-H49)</f>
        <v/>
      </c>
      <c r="M49" s="136">
        <f>IFERROR(L49/H49,0)</f>
        <v/>
      </c>
      <c r="N49" s="137">
        <f>IF(ISNUMBER(E49),TODAY()-E49,0)</f>
        <v/>
      </c>
      <c r="O49" s="131">
        <f>IF(ISNUMBER(E49),IF(N49&gt;365,"LT","ST"),"")</f>
        <v/>
      </c>
      <c r="P49" s="124" t="n"/>
      <c r="Q49" s="124" t="n"/>
      <c r="R49" s="125" t="n"/>
    </row>
    <row r="50" ht="15" customHeight="1" s="81">
      <c r="A50" s="124" t="n"/>
      <c r="B50" s="124" t="n"/>
      <c r="C50" s="131">
        <f>IFERROR(VLOOKUP(B50,Watchlist!$A$5:$AB$202,2,FALSE()),"")</f>
        <v/>
      </c>
      <c r="D50" s="131">
        <f>IFERROR(VLOOKUP(B50,Watchlist!$A$5:$AB$202,4,FALSE())&amp;" — "&amp;VLOOKUP(B50,Watchlist!$A$5:$AB$202,7,FALSE()),"")</f>
        <v/>
      </c>
      <c r="E50" s="132" t="n"/>
      <c r="F50" s="124" t="n"/>
      <c r="G50" s="133" t="n"/>
      <c r="H50" s="134">
        <f>IF(AND(ISNUMBER(F50),ISNUMBER(G50)),F50*G50,0)</f>
        <v/>
      </c>
      <c r="I50" s="134">
        <f>IFERROR(VLOOKUP(B50,Watchlist!$A$5:$AB$202,8,FALSE()),0)</f>
        <v/>
      </c>
      <c r="J50" s="135">
        <f>IFERROR(VLOOKUP(B50,Watchlist!$A$5:$AB$202,9,FALSE()),"")</f>
        <v/>
      </c>
      <c r="K50" s="134">
        <f>IF(ISNUMBER(F50),F50*I50,0)</f>
        <v/>
      </c>
      <c r="L50" s="134">
        <f>IF(H50=0,0,K50-H50)</f>
        <v/>
      </c>
      <c r="M50" s="136">
        <f>IFERROR(L50/H50,0)</f>
        <v/>
      </c>
      <c r="N50" s="137">
        <f>IF(ISNUMBER(E50),TODAY()-E50,0)</f>
        <v/>
      </c>
      <c r="O50" s="131">
        <f>IF(ISNUMBER(E50),IF(N50&gt;365,"LT","ST"),"")</f>
        <v/>
      </c>
      <c r="P50" s="124" t="n"/>
      <c r="Q50" s="124" t="n"/>
      <c r="R50" s="125" t="n"/>
    </row>
    <row r="51" ht="15" customHeight="1" s="81">
      <c r="A51" s="124" t="n"/>
      <c r="B51" s="124" t="n"/>
      <c r="C51" s="131">
        <f>IFERROR(VLOOKUP(B51,Watchlist!$A$5:$AB$202,2,FALSE()),"")</f>
        <v/>
      </c>
      <c r="D51" s="131">
        <f>IFERROR(VLOOKUP(B51,Watchlist!$A$5:$AB$202,4,FALSE())&amp;" — "&amp;VLOOKUP(B51,Watchlist!$A$5:$AB$202,7,FALSE()),"")</f>
        <v/>
      </c>
      <c r="E51" s="132" t="n"/>
      <c r="F51" s="124" t="n"/>
      <c r="G51" s="133" t="n"/>
      <c r="H51" s="134">
        <f>IF(AND(ISNUMBER(F51),ISNUMBER(G51)),F51*G51,0)</f>
        <v/>
      </c>
      <c r="I51" s="134">
        <f>IFERROR(VLOOKUP(B51,Watchlist!$A$5:$AB$202,8,FALSE()),0)</f>
        <v/>
      </c>
      <c r="J51" s="135">
        <f>IFERROR(VLOOKUP(B51,Watchlist!$A$5:$AB$202,9,FALSE()),"")</f>
        <v/>
      </c>
      <c r="K51" s="134">
        <f>IF(ISNUMBER(F51),F51*I51,0)</f>
        <v/>
      </c>
      <c r="L51" s="134">
        <f>IF(H51=0,0,K51-H51)</f>
        <v/>
      </c>
      <c r="M51" s="136">
        <f>IFERROR(L51/H51,0)</f>
        <v/>
      </c>
      <c r="N51" s="137">
        <f>IF(ISNUMBER(E51),TODAY()-E51,0)</f>
        <v/>
      </c>
      <c r="O51" s="131">
        <f>IF(ISNUMBER(E51),IF(N51&gt;365,"LT","ST"),"")</f>
        <v/>
      </c>
      <c r="P51" s="124" t="n"/>
      <c r="Q51" s="124" t="n"/>
      <c r="R51" s="125" t="n"/>
    </row>
    <row r="52" ht="15" customHeight="1" s="81">
      <c r="A52" s="124" t="n"/>
      <c r="B52" s="124" t="n"/>
      <c r="C52" s="131">
        <f>IFERROR(VLOOKUP(B52,Watchlist!$A$5:$AB$202,2,FALSE()),"")</f>
        <v/>
      </c>
      <c r="D52" s="131">
        <f>IFERROR(VLOOKUP(B52,Watchlist!$A$5:$AB$202,4,FALSE())&amp;" — "&amp;VLOOKUP(B52,Watchlist!$A$5:$AB$202,7,FALSE()),"")</f>
        <v/>
      </c>
      <c r="E52" s="132" t="n"/>
      <c r="F52" s="124" t="n"/>
      <c r="G52" s="133" t="n"/>
      <c r="H52" s="134">
        <f>IF(AND(ISNUMBER(F52),ISNUMBER(G52)),F52*G52,0)</f>
        <v/>
      </c>
      <c r="I52" s="134">
        <f>IFERROR(VLOOKUP(B52,Watchlist!$A$5:$AB$202,8,FALSE()),0)</f>
        <v/>
      </c>
      <c r="J52" s="135">
        <f>IFERROR(VLOOKUP(B52,Watchlist!$A$5:$AB$202,9,FALSE()),"")</f>
        <v/>
      </c>
      <c r="K52" s="134">
        <f>IF(ISNUMBER(F52),F52*I52,0)</f>
        <v/>
      </c>
      <c r="L52" s="134">
        <f>IF(H52=0,0,K52-H52)</f>
        <v/>
      </c>
      <c r="M52" s="136">
        <f>IFERROR(L52/H52,0)</f>
        <v/>
      </c>
      <c r="N52" s="137">
        <f>IF(ISNUMBER(E52),TODAY()-E52,0)</f>
        <v/>
      </c>
      <c r="O52" s="131">
        <f>IF(ISNUMBER(E52),IF(N52&gt;365,"LT","ST"),"")</f>
        <v/>
      </c>
      <c r="P52" s="124" t="n"/>
      <c r="Q52" s="124" t="n"/>
      <c r="R52" s="125" t="n"/>
    </row>
    <row r="53" ht="15" customHeight="1" s="81">
      <c r="A53" s="124" t="n"/>
      <c r="B53" s="124" t="n"/>
      <c r="C53" s="131">
        <f>IFERROR(VLOOKUP(B53,Watchlist!$A$5:$AB$202,2,FALSE()),"")</f>
        <v/>
      </c>
      <c r="D53" s="131">
        <f>IFERROR(VLOOKUP(B53,Watchlist!$A$5:$AB$202,4,FALSE())&amp;" — "&amp;VLOOKUP(B53,Watchlist!$A$5:$AB$202,7,FALSE()),"")</f>
        <v/>
      </c>
      <c r="E53" s="132" t="n"/>
      <c r="F53" s="124" t="n"/>
      <c r="G53" s="133" t="n"/>
      <c r="H53" s="134">
        <f>IF(AND(ISNUMBER(F53),ISNUMBER(G53)),F53*G53,0)</f>
        <v/>
      </c>
      <c r="I53" s="134">
        <f>IFERROR(VLOOKUP(B53,Watchlist!$A$5:$AB$202,8,FALSE()),0)</f>
        <v/>
      </c>
      <c r="J53" s="135">
        <f>IFERROR(VLOOKUP(B53,Watchlist!$A$5:$AB$202,9,FALSE()),"")</f>
        <v/>
      </c>
      <c r="K53" s="134">
        <f>IF(ISNUMBER(F53),F53*I53,0)</f>
        <v/>
      </c>
      <c r="L53" s="134">
        <f>IF(H53=0,0,K53-H53)</f>
        <v/>
      </c>
      <c r="M53" s="136">
        <f>IFERROR(L53/H53,0)</f>
        <v/>
      </c>
      <c r="N53" s="137">
        <f>IF(ISNUMBER(E53),TODAY()-E53,0)</f>
        <v/>
      </c>
      <c r="O53" s="131">
        <f>IF(ISNUMBER(E53),IF(N53&gt;365,"LT","ST"),"")</f>
        <v/>
      </c>
      <c r="P53" s="124" t="n"/>
      <c r="Q53" s="124" t="n"/>
      <c r="R53" s="125" t="n"/>
    </row>
    <row r="54" ht="15" customHeight="1" s="81">
      <c r="A54" s="124" t="n"/>
      <c r="B54" s="124" t="n"/>
      <c r="C54" s="131">
        <f>IFERROR(VLOOKUP(B54,Watchlist!$A$5:$AB$202,2,FALSE()),"")</f>
        <v/>
      </c>
      <c r="D54" s="131">
        <f>IFERROR(VLOOKUP(B54,Watchlist!$A$5:$AB$202,4,FALSE())&amp;" — "&amp;VLOOKUP(B54,Watchlist!$A$5:$AB$202,7,FALSE()),"")</f>
        <v/>
      </c>
      <c r="E54" s="132" t="n"/>
      <c r="F54" s="124" t="n"/>
      <c r="G54" s="133" t="n"/>
      <c r="H54" s="134">
        <f>IF(AND(ISNUMBER(F54),ISNUMBER(G54)),F54*G54,0)</f>
        <v/>
      </c>
      <c r="I54" s="134">
        <f>IFERROR(VLOOKUP(B54,Watchlist!$A$5:$AB$202,8,FALSE()),0)</f>
        <v/>
      </c>
      <c r="J54" s="135">
        <f>IFERROR(VLOOKUP(B54,Watchlist!$A$5:$AB$202,9,FALSE()),"")</f>
        <v/>
      </c>
      <c r="K54" s="134">
        <f>IF(ISNUMBER(F54),F54*I54,0)</f>
        <v/>
      </c>
      <c r="L54" s="134">
        <f>IF(H54=0,0,K54-H54)</f>
        <v/>
      </c>
      <c r="M54" s="136">
        <f>IFERROR(L54/H54,0)</f>
        <v/>
      </c>
      <c r="N54" s="137">
        <f>IF(ISNUMBER(E54),TODAY()-E54,0)</f>
        <v/>
      </c>
      <c r="O54" s="131">
        <f>IF(ISNUMBER(E54),IF(N54&gt;365,"LT","ST"),"")</f>
        <v/>
      </c>
      <c r="P54" s="124" t="n"/>
      <c r="Q54" s="124" t="n"/>
      <c r="R54" s="125" t="n"/>
    </row>
    <row r="55" ht="15" customHeight="1" s="81">
      <c r="A55" s="124" t="n"/>
      <c r="B55" s="124" t="n"/>
      <c r="C55" s="131">
        <f>IFERROR(VLOOKUP(B55,Watchlist!$A$5:$AB$202,2,FALSE()),"")</f>
        <v/>
      </c>
      <c r="D55" s="131">
        <f>IFERROR(VLOOKUP(B55,Watchlist!$A$5:$AB$202,4,FALSE())&amp;" — "&amp;VLOOKUP(B55,Watchlist!$A$5:$AB$202,7,FALSE()),"")</f>
        <v/>
      </c>
      <c r="E55" s="132" t="n"/>
      <c r="F55" s="124" t="n"/>
      <c r="G55" s="133" t="n"/>
      <c r="H55" s="134">
        <f>IF(AND(ISNUMBER(F55),ISNUMBER(G55)),F55*G55,0)</f>
        <v/>
      </c>
      <c r="I55" s="134">
        <f>IFERROR(VLOOKUP(B55,Watchlist!$A$5:$AB$202,8,FALSE()),0)</f>
        <v/>
      </c>
      <c r="J55" s="135">
        <f>IFERROR(VLOOKUP(B55,Watchlist!$A$5:$AB$202,9,FALSE()),"")</f>
        <v/>
      </c>
      <c r="K55" s="134">
        <f>IF(ISNUMBER(F55),F55*I55,0)</f>
        <v/>
      </c>
      <c r="L55" s="134">
        <f>IF(H55=0,0,K55-H55)</f>
        <v/>
      </c>
      <c r="M55" s="136">
        <f>IFERROR(L55/H55,0)</f>
        <v/>
      </c>
      <c r="N55" s="137">
        <f>IF(ISNUMBER(E55),TODAY()-E55,0)</f>
        <v/>
      </c>
      <c r="O55" s="131">
        <f>IF(ISNUMBER(E55),IF(N55&gt;365,"LT","ST"),"")</f>
        <v/>
      </c>
      <c r="P55" s="124" t="n"/>
      <c r="Q55" s="124" t="n"/>
      <c r="R55" s="125" t="n"/>
    </row>
    <row r="56" ht="15" customHeight="1" s="81">
      <c r="A56" s="124" t="n"/>
      <c r="B56" s="124" t="n"/>
      <c r="C56" s="131">
        <f>IFERROR(VLOOKUP(B56,Watchlist!$A$5:$AB$202,2,FALSE()),"")</f>
        <v/>
      </c>
      <c r="D56" s="131">
        <f>IFERROR(VLOOKUP(B56,Watchlist!$A$5:$AB$202,4,FALSE())&amp;" — "&amp;VLOOKUP(B56,Watchlist!$A$5:$AB$202,7,FALSE()),"")</f>
        <v/>
      </c>
      <c r="E56" s="132" t="n"/>
      <c r="F56" s="124" t="n"/>
      <c r="G56" s="133" t="n"/>
      <c r="H56" s="134">
        <f>IF(AND(ISNUMBER(F56),ISNUMBER(G56)),F56*G56,0)</f>
        <v/>
      </c>
      <c r="I56" s="134">
        <f>IFERROR(VLOOKUP(B56,Watchlist!$A$5:$AB$202,8,FALSE()),0)</f>
        <v/>
      </c>
      <c r="J56" s="135">
        <f>IFERROR(VLOOKUP(B56,Watchlist!$A$5:$AB$202,9,FALSE()),"")</f>
        <v/>
      </c>
      <c r="K56" s="134">
        <f>IF(ISNUMBER(F56),F56*I56,0)</f>
        <v/>
      </c>
      <c r="L56" s="134">
        <f>IF(H56=0,0,K56-H56)</f>
        <v/>
      </c>
      <c r="M56" s="136">
        <f>IFERROR(L56/H56,0)</f>
        <v/>
      </c>
      <c r="N56" s="137">
        <f>IF(ISNUMBER(E56),TODAY()-E56,0)</f>
        <v/>
      </c>
      <c r="O56" s="131">
        <f>IF(ISNUMBER(E56),IF(N56&gt;365,"LT","ST"),"")</f>
        <v/>
      </c>
      <c r="P56" s="124" t="n"/>
      <c r="Q56" s="124" t="n"/>
      <c r="R56" s="125" t="n"/>
    </row>
    <row r="57" ht="15" customHeight="1" s="81">
      <c r="A57" s="124" t="n"/>
      <c r="B57" s="124" t="n"/>
      <c r="C57" s="131">
        <f>IFERROR(VLOOKUP(B57,Watchlist!$A$5:$AB$202,2,FALSE()),"")</f>
        <v/>
      </c>
      <c r="D57" s="131">
        <f>IFERROR(VLOOKUP(B57,Watchlist!$A$5:$AB$202,4,FALSE())&amp;" — "&amp;VLOOKUP(B57,Watchlist!$A$5:$AB$202,7,FALSE()),"")</f>
        <v/>
      </c>
      <c r="E57" s="132" t="n"/>
      <c r="F57" s="124" t="n"/>
      <c r="G57" s="133" t="n"/>
      <c r="H57" s="134">
        <f>IF(AND(ISNUMBER(F57),ISNUMBER(G57)),F57*G57,0)</f>
        <v/>
      </c>
      <c r="I57" s="134">
        <f>IFERROR(VLOOKUP(B57,Watchlist!$A$5:$AB$202,8,FALSE()),0)</f>
        <v/>
      </c>
      <c r="J57" s="135">
        <f>IFERROR(VLOOKUP(B57,Watchlist!$A$5:$AB$202,9,FALSE()),"")</f>
        <v/>
      </c>
      <c r="K57" s="134">
        <f>IF(ISNUMBER(F57),F57*I57,0)</f>
        <v/>
      </c>
      <c r="L57" s="134">
        <f>IF(H57=0,0,K57-H57)</f>
        <v/>
      </c>
      <c r="M57" s="136">
        <f>IFERROR(L57/H57,0)</f>
        <v/>
      </c>
      <c r="N57" s="137">
        <f>IF(ISNUMBER(E57),TODAY()-E57,0)</f>
        <v/>
      </c>
      <c r="O57" s="131">
        <f>IF(ISNUMBER(E57),IF(N57&gt;365,"LT","ST"),"")</f>
        <v/>
      </c>
      <c r="P57" s="124" t="n"/>
      <c r="Q57" s="124" t="n"/>
      <c r="R57" s="125" t="n"/>
    </row>
    <row r="58" ht="15" customHeight="1" s="81">
      <c r="A58" s="124" t="n"/>
      <c r="B58" s="124" t="n"/>
      <c r="C58" s="131">
        <f>IFERROR(VLOOKUP(B58,Watchlist!$A$5:$AB$202,2,FALSE()),"")</f>
        <v/>
      </c>
      <c r="D58" s="131">
        <f>IFERROR(VLOOKUP(B58,Watchlist!$A$5:$AB$202,4,FALSE())&amp;" — "&amp;VLOOKUP(B58,Watchlist!$A$5:$AB$202,7,FALSE()),"")</f>
        <v/>
      </c>
      <c r="E58" s="132" t="n"/>
      <c r="F58" s="124" t="n"/>
      <c r="G58" s="133" t="n"/>
      <c r="H58" s="134">
        <f>IF(AND(ISNUMBER(F58),ISNUMBER(G58)),F58*G58,0)</f>
        <v/>
      </c>
      <c r="I58" s="134">
        <f>IFERROR(VLOOKUP(B58,Watchlist!$A$5:$AB$202,8,FALSE()),0)</f>
        <v/>
      </c>
      <c r="J58" s="135">
        <f>IFERROR(VLOOKUP(B58,Watchlist!$A$5:$AB$202,9,FALSE()),"")</f>
        <v/>
      </c>
      <c r="K58" s="134">
        <f>IF(ISNUMBER(F58),F58*I58,0)</f>
        <v/>
      </c>
      <c r="L58" s="134">
        <f>IF(H58=0,0,K58-H58)</f>
        <v/>
      </c>
      <c r="M58" s="136">
        <f>IFERROR(L58/H58,0)</f>
        <v/>
      </c>
      <c r="N58" s="137">
        <f>IF(ISNUMBER(E58),TODAY()-E58,0)</f>
        <v/>
      </c>
      <c r="O58" s="131">
        <f>IF(ISNUMBER(E58),IF(N58&gt;365,"LT","ST"),"")</f>
        <v/>
      </c>
      <c r="P58" s="124" t="n"/>
      <c r="Q58" s="124" t="n"/>
      <c r="R58" s="125" t="n"/>
    </row>
  </sheetData>
  <mergeCells count="2">
    <mergeCell ref="A2:Q2"/>
    <mergeCell ref="A1:Q1"/>
  </mergeCells>
  <conditionalFormatting sqref="L5:L58">
    <cfRule type="expression" rank="0" priority="2" equalAverage="0" aboveAverage="0" dxfId="1" text="" percent="0" bottom="0">
      <formula>$L5&gt;0</formula>
    </cfRule>
    <cfRule type="expression" rank="0" priority="3" equalAverage="0" aboveAverage="0" dxfId="2" text="" percent="0" bottom="0">
      <formula>$L5&lt;0</formula>
    </cfRule>
  </conditionalFormatting>
  <conditionalFormatting sqref="R5:R58">
    <cfRule type="expression" rank="0" priority="4" equalAverage="0" aboveAverage="0" dxfId="13" text="" percent="0" bottom="0">
      <formula>$R5="Brandon"</formula>
    </cfRule>
    <cfRule type="expression" rank="0" priority="5" equalAverage="0" aboveAverage="0" dxfId="14" text="" percent="0" bottom="0">
      <formula>$R5="Brother"</formula>
    </cfRule>
    <cfRule type="expression" rank="0" priority="6" equalAverage="0" aboveAverage="0" dxfId="1" text="" percent="0" bottom="0">
      <formula>$R5="Joint"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3B5998"/>
    <outlinePr summaryBelow="1" summaryRight="1"/>
    <pageSetUpPr fitToPage="0"/>
  </sheetPr>
  <dimension ref="A1:Q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0" customWidth="1" style="80" min="1" max="2"/>
    <col width="36" customWidth="1" style="80" min="3" max="3"/>
    <col width="12" customWidth="1" style="80" min="4" max="5"/>
    <col width="10" customWidth="1" style="80" min="6" max="6"/>
    <col width="6" customWidth="1" style="80" min="7" max="7"/>
    <col width="12" customWidth="1" style="80" min="8" max="8"/>
    <col width="14" customWidth="1" style="80" min="9" max="10"/>
    <col width="12" customWidth="1" style="80" min="11" max="11"/>
    <col width="14" customWidth="1" style="80" min="12" max="13"/>
    <col width="12" customWidth="1" style="80" min="14" max="16"/>
    <col width="40" customWidth="1" style="80" min="17" max="17"/>
  </cols>
  <sheetData>
    <row r="1" ht="21.75" customHeight="1" s="81">
      <c r="A1" s="86" t="inlineStr">
        <is>
          <t>GRADING PIPELINE</t>
        </is>
      </c>
    </row>
    <row r="2" ht="15" customHeight="1" s="81">
      <c r="A2" s="87" t="inlineStr">
        <is>
          <t>Submit only when EV/Cost &gt; 1.5x. Math: (P10% × P10$) + (P9% × P9$) − fees</t>
        </is>
      </c>
    </row>
    <row r="4" ht="26.25" customHeight="1" s="81">
      <c r="A4" s="91" t="inlineStr">
        <is>
          <t>Sub ID</t>
        </is>
      </c>
      <c r="B4" s="91" t="inlineStr">
        <is>
          <t>CardID</t>
        </is>
      </c>
      <c r="C4" s="91" t="inlineStr">
        <is>
          <t>Description</t>
        </is>
      </c>
      <c r="D4" s="91" t="inlineStr">
        <is>
          <t>Submitted</t>
        </is>
      </c>
      <c r="E4" s="91" t="inlineStr">
        <is>
          <t>Service</t>
        </is>
      </c>
      <c r="F4" s="91" t="inlineStr">
        <is>
          <t>PSA Fee</t>
        </is>
      </c>
      <c r="G4" s="91" t="inlineStr">
        <is>
          <t>Qty</t>
        </is>
      </c>
      <c r="H4" s="91" t="inlineStr">
        <is>
          <t>Est PSA10 %</t>
        </is>
      </c>
      <c r="I4" s="91" t="inlineStr">
        <is>
          <t>Est PSA10 $</t>
        </is>
      </c>
      <c r="J4" s="91" t="inlineStr">
        <is>
          <t>Est PSA9 $</t>
        </is>
      </c>
      <c r="K4" s="91" t="inlineStr">
        <is>
          <t>Total Fees</t>
        </is>
      </c>
      <c r="L4" s="91" t="inlineStr">
        <is>
          <t>Cost Basis</t>
        </is>
      </c>
      <c r="M4" s="91" t="inlineStr">
        <is>
          <t>Expected Value</t>
        </is>
      </c>
      <c r="N4" s="91" t="inlineStr">
        <is>
          <t>Expected ROI %</t>
        </is>
      </c>
      <c r="O4" s="91" t="inlineStr">
        <is>
          <t>Status</t>
        </is>
      </c>
      <c r="P4" s="91" t="inlineStr">
        <is>
          <t>Returned</t>
        </is>
      </c>
      <c r="Q4" s="91" t="inlineStr">
        <is>
          <t>Notes</t>
        </is>
      </c>
    </row>
    <row r="5" ht="15" customHeight="1" s="81">
      <c r="A5" s="124" t="inlineStr">
        <is>
          <t>SUB-001</t>
        </is>
      </c>
      <c r="B5" s="124" t="inlineStr">
        <is>
          <t>M047</t>
        </is>
      </c>
      <c r="C5" s="92">
        <f>IFERROR(VLOOKUP(B5,Watchlist!$A$5:$AB$202,4,FALSE()),"")</f>
        <v/>
      </c>
      <c r="D5" s="132" t="n">
        <v>46140</v>
      </c>
      <c r="E5" s="124" t="inlineStr">
        <is>
          <t>Value</t>
        </is>
      </c>
      <c r="F5" s="133" t="n">
        <v>24.99</v>
      </c>
      <c r="G5" s="124" t="n">
        <v>4</v>
      </c>
      <c r="H5" s="138" t="n">
        <v>0.5</v>
      </c>
      <c r="I5" s="133" t="n">
        <v>950</v>
      </c>
      <c r="J5" s="133" t="n">
        <v>350</v>
      </c>
      <c r="K5" s="139">
        <f>F5*G5</f>
        <v/>
      </c>
      <c r="L5" s="139">
        <f>IFERROR(SUMIFS(Inventory!H:H,Inventory!B:B,B5),0)</f>
        <v/>
      </c>
      <c r="M5" s="139">
        <f>G5*(H5*I5+(1-H5)*J5)-K5</f>
        <v/>
      </c>
      <c r="N5" s="140">
        <f>IFERROR((M5-L5)/L5,0)</f>
        <v/>
      </c>
      <c r="O5" s="124" t="inlineStr">
        <is>
          <t>Pending</t>
        </is>
      </c>
      <c r="P5" s="132" t="n"/>
      <c r="Q5" s="141" t="n"/>
    </row>
    <row r="6" ht="15" customHeight="1" s="81">
      <c r="A6" s="124" t="inlineStr">
        <is>
          <t>SUB-002</t>
        </is>
      </c>
      <c r="B6" s="124" t="inlineStr">
        <is>
          <t>M002</t>
        </is>
      </c>
      <c r="C6" s="92">
        <f>IFERROR(VLOOKUP(B6,Watchlist!$A$5:$AB$202,4,FALSE()),"")</f>
        <v/>
      </c>
      <c r="D6" s="132" t="n">
        <v>46122</v>
      </c>
      <c r="E6" s="124" t="inlineStr">
        <is>
          <t>Value</t>
        </is>
      </c>
      <c r="F6" s="133" t="n">
        <v>24.99</v>
      </c>
      <c r="G6" s="124" t="n">
        <v>2</v>
      </c>
      <c r="H6" s="138" t="n">
        <v>0.42</v>
      </c>
      <c r="I6" s="133" t="n">
        <v>1500</v>
      </c>
      <c r="J6" s="133" t="n">
        <v>650</v>
      </c>
      <c r="K6" s="139">
        <f>F6*G6</f>
        <v/>
      </c>
      <c r="L6" s="139">
        <f>IFERROR(SUMIFS(Inventory!H:H,Inventory!B:B,B6),0)</f>
        <v/>
      </c>
      <c r="M6" s="139">
        <f>G6*(H6*I6+(1-H6)*J6)-K6</f>
        <v/>
      </c>
      <c r="N6" s="140">
        <f>IFERROR((M6-L6)/L6,0)</f>
        <v/>
      </c>
      <c r="O6" s="124" t="inlineStr">
        <is>
          <t>Pending</t>
        </is>
      </c>
      <c r="P6" s="132" t="n"/>
      <c r="Q6" s="141" t="n"/>
    </row>
    <row r="7" ht="15" customHeight="1" s="81">
      <c r="A7" s="124" t="inlineStr">
        <is>
          <t>SUB-003</t>
        </is>
      </c>
      <c r="B7" s="124" t="inlineStr">
        <is>
          <t>M079</t>
        </is>
      </c>
      <c r="C7" s="92">
        <f>IFERROR(VLOOKUP(B7,Watchlist!$A$5:$AB$202,4,FALSE()),"")</f>
        <v/>
      </c>
      <c r="D7" s="132" t="n">
        <v>46103</v>
      </c>
      <c r="E7" s="124" t="inlineStr">
        <is>
          <t>Value</t>
        </is>
      </c>
      <c r="F7" s="133" t="n">
        <v>24.99</v>
      </c>
      <c r="G7" s="124" t="n">
        <v>5</v>
      </c>
      <c r="H7" s="138" t="n">
        <v>0.45</v>
      </c>
      <c r="I7" s="133" t="n">
        <v>200</v>
      </c>
      <c r="J7" s="133" t="n">
        <v>90</v>
      </c>
      <c r="K7" s="139">
        <f>F7*G7</f>
        <v/>
      </c>
      <c r="L7" s="139">
        <f>IFERROR(SUMIFS(Inventory!H:H,Inventory!B:B,B7),0)</f>
        <v/>
      </c>
      <c r="M7" s="139">
        <f>G7*(H7*I7+(1-H7)*J7)-K7</f>
        <v/>
      </c>
      <c r="N7" s="140">
        <f>IFERROR((M7-L7)/L7,0)</f>
        <v/>
      </c>
      <c r="O7" s="124" t="inlineStr">
        <is>
          <t>Pending</t>
        </is>
      </c>
      <c r="P7" s="132" t="n"/>
      <c r="Q7" s="141" t="n"/>
    </row>
    <row r="8" ht="15" customHeight="1" s="81">
      <c r="A8" s="124" t="n"/>
      <c r="B8" s="124" t="n"/>
      <c r="C8" s="131">
        <f>IFERROR(VLOOKUP(B8,Watchlist!$A$5:$AB$202,4,FALSE()),"")</f>
        <v/>
      </c>
      <c r="D8" s="132" t="n"/>
      <c r="E8" s="124" t="n"/>
      <c r="F8" s="133" t="n"/>
      <c r="G8" s="124" t="n"/>
      <c r="H8" s="138" t="n"/>
      <c r="I8" s="133" t="n"/>
      <c r="J8" s="133" t="n"/>
      <c r="K8" s="134">
        <f>IF(AND(ISNUMBER(F8),ISNUMBER(G8)),F8*G8,0)</f>
        <v/>
      </c>
      <c r="L8" s="134">
        <f>IFERROR(SUMIFS(Inventory!H:H,Inventory!B:B,B8),0)</f>
        <v/>
      </c>
      <c r="M8" s="134">
        <f>IF(ISNUMBER(G8),G8*(H8*I8+(1-H8)*J8)-K8,0)</f>
        <v/>
      </c>
      <c r="N8" s="136">
        <f>IFERROR((M8-L8)/L8,0)</f>
        <v/>
      </c>
      <c r="O8" s="124" t="n"/>
      <c r="P8" s="132" t="n"/>
      <c r="Q8" s="124" t="n"/>
    </row>
    <row r="9" ht="15" customHeight="1" s="81">
      <c r="A9" s="124" t="n"/>
      <c r="B9" s="124" t="n"/>
      <c r="C9" s="131">
        <f>IFERROR(VLOOKUP(B9,Watchlist!$A$5:$AB$202,4,FALSE()),"")</f>
        <v/>
      </c>
      <c r="D9" s="132" t="n"/>
      <c r="E9" s="124" t="n"/>
      <c r="F9" s="133" t="n"/>
      <c r="G9" s="124" t="n"/>
      <c r="H9" s="138" t="n"/>
      <c r="I9" s="133" t="n"/>
      <c r="J9" s="133" t="n"/>
      <c r="K9" s="134">
        <f>IF(AND(ISNUMBER(F9),ISNUMBER(G9)),F9*G9,0)</f>
        <v/>
      </c>
      <c r="L9" s="134">
        <f>IFERROR(SUMIFS(Inventory!H:H,Inventory!B:B,B9),0)</f>
        <v/>
      </c>
      <c r="M9" s="134">
        <f>IF(ISNUMBER(G9),G9*(H9*I9+(1-H9)*J9)-K9,0)</f>
        <v/>
      </c>
      <c r="N9" s="136">
        <f>IFERROR((M9-L9)/L9,0)</f>
        <v/>
      </c>
      <c r="O9" s="124" t="n"/>
      <c r="P9" s="132" t="n"/>
      <c r="Q9" s="124" t="n"/>
    </row>
    <row r="10" ht="15" customHeight="1" s="81">
      <c r="A10" s="124" t="n"/>
      <c r="B10" s="124" t="n"/>
      <c r="C10" s="131">
        <f>IFERROR(VLOOKUP(B10,Watchlist!$A$5:$AB$202,4,FALSE()),"")</f>
        <v/>
      </c>
      <c r="D10" s="132" t="n"/>
      <c r="E10" s="124" t="n"/>
      <c r="F10" s="133" t="n"/>
      <c r="G10" s="124" t="n"/>
      <c r="H10" s="138" t="n"/>
      <c r="I10" s="133" t="n"/>
      <c r="J10" s="133" t="n"/>
      <c r="K10" s="134">
        <f>IF(AND(ISNUMBER(F10),ISNUMBER(G10)),F10*G10,0)</f>
        <v/>
      </c>
      <c r="L10" s="134">
        <f>IFERROR(SUMIFS(Inventory!H:H,Inventory!B:B,B10),0)</f>
        <v/>
      </c>
      <c r="M10" s="134">
        <f>IF(ISNUMBER(G10),G10*(H10*I10+(1-H10)*J10)-K10,0)</f>
        <v/>
      </c>
      <c r="N10" s="136">
        <f>IFERROR((M10-L10)/L10,0)</f>
        <v/>
      </c>
      <c r="O10" s="124" t="n"/>
      <c r="P10" s="132" t="n"/>
      <c r="Q10" s="124" t="n"/>
    </row>
    <row r="11" ht="15" customHeight="1" s="81">
      <c r="A11" s="124" t="n"/>
      <c r="B11" s="124" t="n"/>
      <c r="C11" s="131">
        <f>IFERROR(VLOOKUP(B11,Watchlist!$A$5:$AB$202,4,FALSE()),"")</f>
        <v/>
      </c>
      <c r="D11" s="132" t="n"/>
      <c r="E11" s="124" t="n"/>
      <c r="F11" s="133" t="n"/>
      <c r="G11" s="124" t="n"/>
      <c r="H11" s="138" t="n"/>
      <c r="I11" s="133" t="n"/>
      <c r="J11" s="133" t="n"/>
      <c r="K11" s="134">
        <f>IF(AND(ISNUMBER(F11),ISNUMBER(G11)),F11*G11,0)</f>
        <v/>
      </c>
      <c r="L11" s="134">
        <f>IFERROR(SUMIFS(Inventory!H:H,Inventory!B:B,B11),0)</f>
        <v/>
      </c>
      <c r="M11" s="134">
        <f>IF(ISNUMBER(G11),G11*(H11*I11+(1-H11)*J11)-K11,0)</f>
        <v/>
      </c>
      <c r="N11" s="136">
        <f>IFERROR((M11-L11)/L11,0)</f>
        <v/>
      </c>
      <c r="O11" s="124" t="n"/>
      <c r="P11" s="132" t="n"/>
      <c r="Q11" s="124" t="n"/>
    </row>
    <row r="12" ht="15" customHeight="1" s="81">
      <c r="A12" s="124" t="n"/>
      <c r="B12" s="124" t="n"/>
      <c r="C12" s="131">
        <f>IFERROR(VLOOKUP(B12,Watchlist!$A$5:$AB$202,4,FALSE()),"")</f>
        <v/>
      </c>
      <c r="D12" s="132" t="n"/>
      <c r="E12" s="124" t="n"/>
      <c r="F12" s="133" t="n"/>
      <c r="G12" s="124" t="n"/>
      <c r="H12" s="138" t="n"/>
      <c r="I12" s="133" t="n"/>
      <c r="J12" s="133" t="n"/>
      <c r="K12" s="134">
        <f>IF(AND(ISNUMBER(F12),ISNUMBER(G12)),F12*G12,0)</f>
        <v/>
      </c>
      <c r="L12" s="134">
        <f>IFERROR(SUMIFS(Inventory!H:H,Inventory!B:B,B12),0)</f>
        <v/>
      </c>
      <c r="M12" s="134">
        <f>IF(ISNUMBER(G12),G12*(H12*I12+(1-H12)*J12)-K12,0)</f>
        <v/>
      </c>
      <c r="N12" s="136">
        <f>IFERROR((M12-L12)/L12,0)</f>
        <v/>
      </c>
      <c r="O12" s="124" t="n"/>
      <c r="P12" s="132" t="n"/>
      <c r="Q12" s="124" t="n"/>
    </row>
    <row r="13" ht="15" customHeight="1" s="81">
      <c r="A13" s="124" t="n"/>
      <c r="B13" s="124" t="n"/>
      <c r="C13" s="131">
        <f>IFERROR(VLOOKUP(B13,Watchlist!$A$5:$AB$202,4,FALSE()),"")</f>
        <v/>
      </c>
      <c r="D13" s="132" t="n"/>
      <c r="E13" s="124" t="n"/>
      <c r="F13" s="133" t="n"/>
      <c r="G13" s="124" t="n"/>
      <c r="H13" s="138" t="n"/>
      <c r="I13" s="133" t="n"/>
      <c r="J13" s="133" t="n"/>
      <c r="K13" s="134">
        <f>IF(AND(ISNUMBER(F13),ISNUMBER(G13)),F13*G13,0)</f>
        <v/>
      </c>
      <c r="L13" s="134">
        <f>IFERROR(SUMIFS(Inventory!H:H,Inventory!B:B,B13),0)</f>
        <v/>
      </c>
      <c r="M13" s="134">
        <f>IF(ISNUMBER(G13),G13*(H13*I13+(1-H13)*J13)-K13,0)</f>
        <v/>
      </c>
      <c r="N13" s="136">
        <f>IFERROR((M13-L13)/L13,0)</f>
        <v/>
      </c>
      <c r="O13" s="124" t="n"/>
      <c r="P13" s="132" t="n"/>
      <c r="Q13" s="124" t="n"/>
    </row>
    <row r="14" ht="15" customHeight="1" s="81">
      <c r="A14" s="124" t="n"/>
      <c r="B14" s="124" t="n"/>
      <c r="C14" s="131">
        <f>IFERROR(VLOOKUP(B14,Watchlist!$A$5:$AB$202,4,FALSE()),"")</f>
        <v/>
      </c>
      <c r="D14" s="132" t="n"/>
      <c r="E14" s="124" t="n"/>
      <c r="F14" s="133" t="n"/>
      <c r="G14" s="124" t="n"/>
      <c r="H14" s="138" t="n"/>
      <c r="I14" s="133" t="n"/>
      <c r="J14" s="133" t="n"/>
      <c r="K14" s="134">
        <f>IF(AND(ISNUMBER(F14),ISNUMBER(G14)),F14*G14,0)</f>
        <v/>
      </c>
      <c r="L14" s="134">
        <f>IFERROR(SUMIFS(Inventory!H:H,Inventory!B:B,B14),0)</f>
        <v/>
      </c>
      <c r="M14" s="134">
        <f>IF(ISNUMBER(G14),G14*(H14*I14+(1-H14)*J14)-K14,0)</f>
        <v/>
      </c>
      <c r="N14" s="136">
        <f>IFERROR((M14-L14)/L14,0)</f>
        <v/>
      </c>
      <c r="O14" s="124" t="n"/>
      <c r="P14" s="132" t="n"/>
      <c r="Q14" s="124" t="n"/>
    </row>
    <row r="15" ht="15" customHeight="1" s="81">
      <c r="A15" s="124" t="n"/>
      <c r="B15" s="124" t="n"/>
      <c r="C15" s="131">
        <f>IFERROR(VLOOKUP(B15,Watchlist!$A$5:$AB$202,4,FALSE()),"")</f>
        <v/>
      </c>
      <c r="D15" s="132" t="n"/>
      <c r="E15" s="124" t="n"/>
      <c r="F15" s="133" t="n"/>
      <c r="G15" s="124" t="n"/>
      <c r="H15" s="138" t="n"/>
      <c r="I15" s="133" t="n"/>
      <c r="J15" s="133" t="n"/>
      <c r="K15" s="134">
        <f>IF(AND(ISNUMBER(F15),ISNUMBER(G15)),F15*G15,0)</f>
        <v/>
      </c>
      <c r="L15" s="134">
        <f>IFERROR(SUMIFS(Inventory!H:H,Inventory!B:B,B15),0)</f>
        <v/>
      </c>
      <c r="M15" s="134">
        <f>IF(ISNUMBER(G15),G15*(H15*I15+(1-H15)*J15)-K15,0)</f>
        <v/>
      </c>
      <c r="N15" s="136">
        <f>IFERROR((M15-L15)/L15,0)</f>
        <v/>
      </c>
      <c r="O15" s="124" t="n"/>
      <c r="P15" s="132" t="n"/>
      <c r="Q15" s="124" t="n"/>
    </row>
    <row r="16" ht="15" customHeight="1" s="81">
      <c r="A16" s="124" t="n"/>
      <c r="B16" s="124" t="n"/>
      <c r="C16" s="131">
        <f>IFERROR(VLOOKUP(B16,Watchlist!$A$5:$AB$202,4,FALSE()),"")</f>
        <v/>
      </c>
      <c r="D16" s="132" t="n"/>
      <c r="E16" s="124" t="n"/>
      <c r="F16" s="133" t="n"/>
      <c r="G16" s="124" t="n"/>
      <c r="H16" s="138" t="n"/>
      <c r="I16" s="133" t="n"/>
      <c r="J16" s="133" t="n"/>
      <c r="K16" s="134">
        <f>IF(AND(ISNUMBER(F16),ISNUMBER(G16)),F16*G16,0)</f>
        <v/>
      </c>
      <c r="L16" s="134">
        <f>IFERROR(SUMIFS(Inventory!H:H,Inventory!B:B,B16),0)</f>
        <v/>
      </c>
      <c r="M16" s="134">
        <f>IF(ISNUMBER(G16),G16*(H16*I16+(1-H16)*J16)-K16,0)</f>
        <v/>
      </c>
      <c r="N16" s="136">
        <f>IFERROR((M16-L16)/L16,0)</f>
        <v/>
      </c>
      <c r="O16" s="124" t="n"/>
      <c r="P16" s="132" t="n"/>
      <c r="Q16" s="124" t="n"/>
    </row>
    <row r="17" ht="15" customHeight="1" s="81">
      <c r="A17" s="124" t="n"/>
      <c r="B17" s="124" t="n"/>
      <c r="C17" s="131">
        <f>IFERROR(VLOOKUP(B17,Watchlist!$A$5:$AB$202,4,FALSE()),"")</f>
        <v/>
      </c>
      <c r="D17" s="132" t="n"/>
      <c r="E17" s="124" t="n"/>
      <c r="F17" s="133" t="n"/>
      <c r="G17" s="124" t="n"/>
      <c r="H17" s="138" t="n"/>
      <c r="I17" s="133" t="n"/>
      <c r="J17" s="133" t="n"/>
      <c r="K17" s="134">
        <f>IF(AND(ISNUMBER(F17),ISNUMBER(G17)),F17*G17,0)</f>
        <v/>
      </c>
      <c r="L17" s="134">
        <f>IFERROR(SUMIFS(Inventory!H:H,Inventory!B:B,B17),0)</f>
        <v/>
      </c>
      <c r="M17" s="134">
        <f>IF(ISNUMBER(G17),G17*(H17*I17+(1-H17)*J17)-K17,0)</f>
        <v/>
      </c>
      <c r="N17" s="136">
        <f>IFERROR((M17-L17)/L17,0)</f>
        <v/>
      </c>
      <c r="O17" s="124" t="n"/>
      <c r="P17" s="132" t="n"/>
      <c r="Q17" s="124" t="n"/>
    </row>
    <row r="18" ht="15" customHeight="1" s="81">
      <c r="A18" s="124" t="n"/>
      <c r="B18" s="124" t="n"/>
      <c r="C18" s="131">
        <f>IFERROR(VLOOKUP(B18,Watchlist!$A$5:$AB$202,4,FALSE()),"")</f>
        <v/>
      </c>
      <c r="D18" s="132" t="n"/>
      <c r="E18" s="124" t="n"/>
      <c r="F18" s="133" t="n"/>
      <c r="G18" s="124" t="n"/>
      <c r="H18" s="138" t="n"/>
      <c r="I18" s="133" t="n"/>
      <c r="J18" s="133" t="n"/>
      <c r="K18" s="134">
        <f>IF(AND(ISNUMBER(F18),ISNUMBER(G18)),F18*G18,0)</f>
        <v/>
      </c>
      <c r="L18" s="134">
        <f>IFERROR(SUMIFS(Inventory!H:H,Inventory!B:B,B18),0)</f>
        <v/>
      </c>
      <c r="M18" s="134">
        <f>IF(ISNUMBER(G18),G18*(H18*I18+(1-H18)*J18)-K18,0)</f>
        <v/>
      </c>
      <c r="N18" s="136">
        <f>IFERROR((M18-L18)/L18,0)</f>
        <v/>
      </c>
      <c r="O18" s="124" t="n"/>
      <c r="P18" s="132" t="n"/>
      <c r="Q18" s="124" t="n"/>
    </row>
    <row r="19" ht="15" customHeight="1" s="81">
      <c r="A19" s="124" t="n"/>
      <c r="B19" s="124" t="n"/>
      <c r="C19" s="131">
        <f>IFERROR(VLOOKUP(B19,Watchlist!$A$5:$AB$202,4,FALSE()),"")</f>
        <v/>
      </c>
      <c r="D19" s="132" t="n"/>
      <c r="E19" s="124" t="n"/>
      <c r="F19" s="133" t="n"/>
      <c r="G19" s="124" t="n"/>
      <c r="H19" s="138" t="n"/>
      <c r="I19" s="133" t="n"/>
      <c r="J19" s="133" t="n"/>
      <c r="K19" s="134">
        <f>IF(AND(ISNUMBER(F19),ISNUMBER(G19)),F19*G19,0)</f>
        <v/>
      </c>
      <c r="L19" s="134">
        <f>IFERROR(SUMIFS(Inventory!H:H,Inventory!B:B,B19),0)</f>
        <v/>
      </c>
      <c r="M19" s="134">
        <f>IF(ISNUMBER(G19),G19*(H19*I19+(1-H19)*J19)-K19,0)</f>
        <v/>
      </c>
      <c r="N19" s="136">
        <f>IFERROR((M19-L19)/L19,0)</f>
        <v/>
      </c>
      <c r="O19" s="124" t="n"/>
      <c r="P19" s="132" t="n"/>
      <c r="Q19" s="124" t="n"/>
    </row>
    <row r="20" ht="15" customHeight="1" s="81">
      <c r="A20" s="124" t="n"/>
      <c r="B20" s="124" t="n"/>
      <c r="C20" s="131">
        <f>IFERROR(VLOOKUP(B20,Watchlist!$A$5:$AB$202,4,FALSE()),"")</f>
        <v/>
      </c>
      <c r="D20" s="132" t="n"/>
      <c r="E20" s="124" t="n"/>
      <c r="F20" s="133" t="n"/>
      <c r="G20" s="124" t="n"/>
      <c r="H20" s="138" t="n"/>
      <c r="I20" s="133" t="n"/>
      <c r="J20" s="133" t="n"/>
      <c r="K20" s="134">
        <f>IF(AND(ISNUMBER(F20),ISNUMBER(G20)),F20*G20,0)</f>
        <v/>
      </c>
      <c r="L20" s="134">
        <f>IFERROR(SUMIFS(Inventory!H:H,Inventory!B:B,B20),0)</f>
        <v/>
      </c>
      <c r="M20" s="134">
        <f>IF(ISNUMBER(G20),G20*(H20*I20+(1-H20)*J20)-K20,0)</f>
        <v/>
      </c>
      <c r="N20" s="136">
        <f>IFERROR((M20-L20)/L20,0)</f>
        <v/>
      </c>
      <c r="O20" s="124" t="n"/>
      <c r="P20" s="132" t="n"/>
      <c r="Q20" s="124" t="n"/>
    </row>
    <row r="21" ht="15" customHeight="1" s="81">
      <c r="A21" s="124" t="n"/>
      <c r="B21" s="124" t="n"/>
      <c r="C21" s="131">
        <f>IFERROR(VLOOKUP(B21,Watchlist!$A$5:$AB$202,4,FALSE()),"")</f>
        <v/>
      </c>
      <c r="D21" s="132" t="n"/>
      <c r="E21" s="124" t="n"/>
      <c r="F21" s="133" t="n"/>
      <c r="G21" s="124" t="n"/>
      <c r="H21" s="138" t="n"/>
      <c r="I21" s="133" t="n"/>
      <c r="J21" s="133" t="n"/>
      <c r="K21" s="134">
        <f>IF(AND(ISNUMBER(F21),ISNUMBER(G21)),F21*G21,0)</f>
        <v/>
      </c>
      <c r="L21" s="134">
        <f>IFERROR(SUMIFS(Inventory!H:H,Inventory!B:B,B21),0)</f>
        <v/>
      </c>
      <c r="M21" s="134">
        <f>IF(ISNUMBER(G21),G21*(H21*I21+(1-H21)*J21)-K21,0)</f>
        <v/>
      </c>
      <c r="N21" s="136">
        <f>IFERROR((M21-L21)/L21,0)</f>
        <v/>
      </c>
      <c r="O21" s="124" t="n"/>
      <c r="P21" s="132" t="n"/>
      <c r="Q21" s="124" t="n"/>
    </row>
    <row r="22" ht="15" customHeight="1" s="81">
      <c r="A22" s="124" t="n"/>
      <c r="B22" s="124" t="n"/>
      <c r="C22" s="131">
        <f>IFERROR(VLOOKUP(B22,Watchlist!$A$5:$AB$202,4,FALSE()),"")</f>
        <v/>
      </c>
      <c r="D22" s="132" t="n"/>
      <c r="E22" s="124" t="n"/>
      <c r="F22" s="133" t="n"/>
      <c r="G22" s="124" t="n"/>
      <c r="H22" s="138" t="n"/>
      <c r="I22" s="133" t="n"/>
      <c r="J22" s="133" t="n"/>
      <c r="K22" s="134">
        <f>IF(AND(ISNUMBER(F22),ISNUMBER(G22)),F22*G22,0)</f>
        <v/>
      </c>
      <c r="L22" s="134">
        <f>IFERROR(SUMIFS(Inventory!H:H,Inventory!B:B,B22),0)</f>
        <v/>
      </c>
      <c r="M22" s="134">
        <f>IF(ISNUMBER(G22),G22*(H22*I22+(1-H22)*J22)-K22,0)</f>
        <v/>
      </c>
      <c r="N22" s="136">
        <f>IFERROR((M22-L22)/L22,0)</f>
        <v/>
      </c>
      <c r="O22" s="124" t="n"/>
      <c r="P22" s="132" t="n"/>
      <c r="Q22" s="124" t="n"/>
    </row>
    <row r="23" ht="15" customHeight="1" s="81">
      <c r="A23" s="124" t="n"/>
      <c r="B23" s="124" t="n"/>
      <c r="C23" s="131">
        <f>IFERROR(VLOOKUP(B23,Watchlist!$A$5:$AB$202,4,FALSE()),"")</f>
        <v/>
      </c>
      <c r="D23" s="132" t="n"/>
      <c r="E23" s="124" t="n"/>
      <c r="F23" s="133" t="n"/>
      <c r="G23" s="124" t="n"/>
      <c r="H23" s="138" t="n"/>
      <c r="I23" s="133" t="n"/>
      <c r="J23" s="133" t="n"/>
      <c r="K23" s="134">
        <f>IF(AND(ISNUMBER(F23),ISNUMBER(G23)),F23*G23,0)</f>
        <v/>
      </c>
      <c r="L23" s="134">
        <f>IFERROR(SUMIFS(Inventory!H:H,Inventory!B:B,B23),0)</f>
        <v/>
      </c>
      <c r="M23" s="134">
        <f>IF(ISNUMBER(G23),G23*(H23*I23+(1-H23)*J23)-K23,0)</f>
        <v/>
      </c>
      <c r="N23" s="136">
        <f>IFERROR((M23-L23)/L23,0)</f>
        <v/>
      </c>
      <c r="O23" s="124" t="n"/>
      <c r="P23" s="132" t="n"/>
      <c r="Q23" s="124" t="n"/>
    </row>
    <row r="24" ht="15" customHeight="1" s="81">
      <c r="A24" s="124" t="n"/>
      <c r="B24" s="124" t="n"/>
      <c r="C24" s="131">
        <f>IFERROR(VLOOKUP(B24,Watchlist!$A$5:$AB$202,4,FALSE()),"")</f>
        <v/>
      </c>
      <c r="D24" s="132" t="n"/>
      <c r="E24" s="124" t="n"/>
      <c r="F24" s="133" t="n"/>
      <c r="G24" s="124" t="n"/>
      <c r="H24" s="138" t="n"/>
      <c r="I24" s="133" t="n"/>
      <c r="J24" s="133" t="n"/>
      <c r="K24" s="134">
        <f>IF(AND(ISNUMBER(F24),ISNUMBER(G24)),F24*G24,0)</f>
        <v/>
      </c>
      <c r="L24" s="134">
        <f>IFERROR(SUMIFS(Inventory!H:H,Inventory!B:B,B24),0)</f>
        <v/>
      </c>
      <c r="M24" s="134">
        <f>IF(ISNUMBER(G24),G24*(H24*I24+(1-H24)*J24)-K24,0)</f>
        <v/>
      </c>
      <c r="N24" s="136">
        <f>IFERROR((M24-L24)/L24,0)</f>
        <v/>
      </c>
      <c r="O24" s="124" t="n"/>
      <c r="P24" s="132" t="n"/>
      <c r="Q24" s="124" t="n"/>
    </row>
    <row r="25" ht="15" customHeight="1" s="81">
      <c r="A25" s="124" t="n"/>
      <c r="B25" s="124" t="n"/>
      <c r="C25" s="131">
        <f>IFERROR(VLOOKUP(B25,Watchlist!$A$5:$AB$202,4,FALSE()),"")</f>
        <v/>
      </c>
      <c r="D25" s="132" t="n"/>
      <c r="E25" s="124" t="n"/>
      <c r="F25" s="133" t="n"/>
      <c r="G25" s="124" t="n"/>
      <c r="H25" s="138" t="n"/>
      <c r="I25" s="133" t="n"/>
      <c r="J25" s="133" t="n"/>
      <c r="K25" s="134">
        <f>IF(AND(ISNUMBER(F25),ISNUMBER(G25)),F25*G25,0)</f>
        <v/>
      </c>
      <c r="L25" s="134">
        <f>IFERROR(SUMIFS(Inventory!H:H,Inventory!B:B,B25),0)</f>
        <v/>
      </c>
      <c r="M25" s="134">
        <f>IF(ISNUMBER(G25),G25*(H25*I25+(1-H25)*J25)-K25,0)</f>
        <v/>
      </c>
      <c r="N25" s="136">
        <f>IFERROR((M25-L25)/L25,0)</f>
        <v/>
      </c>
      <c r="O25" s="124" t="n"/>
      <c r="P25" s="132" t="n"/>
      <c r="Q25" s="124" t="n"/>
    </row>
    <row r="26" ht="15" customHeight="1" s="81">
      <c r="A26" s="124" t="n"/>
      <c r="B26" s="124" t="n"/>
      <c r="C26" s="131">
        <f>IFERROR(VLOOKUP(B26,Watchlist!$A$5:$AB$202,4,FALSE()),"")</f>
        <v/>
      </c>
      <c r="D26" s="132" t="n"/>
      <c r="E26" s="124" t="n"/>
      <c r="F26" s="133" t="n"/>
      <c r="G26" s="124" t="n"/>
      <c r="H26" s="138" t="n"/>
      <c r="I26" s="133" t="n"/>
      <c r="J26" s="133" t="n"/>
      <c r="K26" s="134">
        <f>IF(AND(ISNUMBER(F26),ISNUMBER(G26)),F26*G26,0)</f>
        <v/>
      </c>
      <c r="L26" s="134">
        <f>IFERROR(SUMIFS(Inventory!H:H,Inventory!B:B,B26),0)</f>
        <v/>
      </c>
      <c r="M26" s="134">
        <f>IF(ISNUMBER(G26),G26*(H26*I26+(1-H26)*J26)-K26,0)</f>
        <v/>
      </c>
      <c r="N26" s="136">
        <f>IFERROR((M26-L26)/L26,0)</f>
        <v/>
      </c>
      <c r="O26" s="124" t="n"/>
      <c r="P26" s="132" t="n"/>
      <c r="Q26" s="124" t="n"/>
    </row>
    <row r="27" ht="15" customHeight="1" s="81">
      <c r="A27" s="124" t="n"/>
      <c r="B27" s="124" t="n"/>
      <c r="C27" s="131">
        <f>IFERROR(VLOOKUP(B27,Watchlist!$A$5:$AB$202,4,FALSE()),"")</f>
        <v/>
      </c>
      <c r="D27" s="132" t="n"/>
      <c r="E27" s="124" t="n"/>
      <c r="F27" s="133" t="n"/>
      <c r="G27" s="124" t="n"/>
      <c r="H27" s="138" t="n"/>
      <c r="I27" s="133" t="n"/>
      <c r="J27" s="133" t="n"/>
      <c r="K27" s="134">
        <f>IF(AND(ISNUMBER(F27),ISNUMBER(G27)),F27*G27,0)</f>
        <v/>
      </c>
      <c r="L27" s="134">
        <f>IFERROR(SUMIFS(Inventory!H:H,Inventory!B:B,B27),0)</f>
        <v/>
      </c>
      <c r="M27" s="134">
        <f>IF(ISNUMBER(G27),G27*(H27*I27+(1-H27)*J27)-K27,0)</f>
        <v/>
      </c>
      <c r="N27" s="136">
        <f>IFERROR((M27-L27)/L27,0)</f>
        <v/>
      </c>
      <c r="O27" s="124" t="n"/>
      <c r="P27" s="132" t="n"/>
      <c r="Q27" s="124" t="n"/>
    </row>
    <row r="28" ht="15" customHeight="1" s="81">
      <c r="A28" s="124" t="n"/>
      <c r="B28" s="124" t="n"/>
      <c r="C28" s="131">
        <f>IFERROR(VLOOKUP(B28,Watchlist!$A$5:$AB$202,4,FALSE()),"")</f>
        <v/>
      </c>
      <c r="D28" s="132" t="n"/>
      <c r="E28" s="124" t="n"/>
      <c r="F28" s="133" t="n"/>
      <c r="G28" s="124" t="n"/>
      <c r="H28" s="138" t="n"/>
      <c r="I28" s="133" t="n"/>
      <c r="J28" s="133" t="n"/>
      <c r="K28" s="134">
        <f>IF(AND(ISNUMBER(F28),ISNUMBER(G28)),F28*G28,0)</f>
        <v/>
      </c>
      <c r="L28" s="134">
        <f>IFERROR(SUMIFS(Inventory!H:H,Inventory!B:B,B28),0)</f>
        <v/>
      </c>
      <c r="M28" s="134">
        <f>IF(ISNUMBER(G28),G28*(H28*I28+(1-H28)*J28)-K28,0)</f>
        <v/>
      </c>
      <c r="N28" s="136">
        <f>IFERROR((M28-L28)/L28,0)</f>
        <v/>
      </c>
      <c r="O28" s="124" t="n"/>
      <c r="P28" s="132" t="n"/>
      <c r="Q28" s="124" t="n"/>
    </row>
    <row r="29" ht="15" customHeight="1" s="81">
      <c r="A29" s="124" t="n"/>
      <c r="B29" s="124" t="n"/>
      <c r="C29" s="131">
        <f>IFERROR(VLOOKUP(B29,Watchlist!$A$5:$AB$202,4,FALSE()),"")</f>
        <v/>
      </c>
      <c r="D29" s="132" t="n"/>
      <c r="E29" s="124" t="n"/>
      <c r="F29" s="133" t="n"/>
      <c r="G29" s="124" t="n"/>
      <c r="H29" s="138" t="n"/>
      <c r="I29" s="133" t="n"/>
      <c r="J29" s="133" t="n"/>
      <c r="K29" s="134">
        <f>IF(AND(ISNUMBER(F29),ISNUMBER(G29)),F29*G29,0)</f>
        <v/>
      </c>
      <c r="L29" s="134">
        <f>IFERROR(SUMIFS(Inventory!H:H,Inventory!B:B,B29),0)</f>
        <v/>
      </c>
      <c r="M29" s="134">
        <f>IF(ISNUMBER(G29),G29*(H29*I29+(1-H29)*J29)-K29,0)</f>
        <v/>
      </c>
      <c r="N29" s="136">
        <f>IFERROR((M29-L29)/L29,0)</f>
        <v/>
      </c>
      <c r="O29" s="124" t="n"/>
      <c r="P29" s="132" t="n"/>
      <c r="Q29" s="124" t="n"/>
    </row>
    <row r="30" ht="15" customHeight="1" s="81">
      <c r="A30" s="124" t="n"/>
      <c r="B30" s="124" t="n"/>
      <c r="C30" s="131">
        <f>IFERROR(VLOOKUP(B30,Watchlist!$A$5:$AB$202,4,FALSE()),"")</f>
        <v/>
      </c>
      <c r="D30" s="132" t="n"/>
      <c r="E30" s="124" t="n"/>
      <c r="F30" s="133" t="n"/>
      <c r="G30" s="124" t="n"/>
      <c r="H30" s="138" t="n"/>
      <c r="I30" s="133" t="n"/>
      <c r="J30" s="133" t="n"/>
      <c r="K30" s="134">
        <f>IF(AND(ISNUMBER(F30),ISNUMBER(G30)),F30*G30,0)</f>
        <v/>
      </c>
      <c r="L30" s="134">
        <f>IFERROR(SUMIFS(Inventory!H:H,Inventory!B:B,B30),0)</f>
        <v/>
      </c>
      <c r="M30" s="134">
        <f>IF(ISNUMBER(G30),G30*(H30*I30+(1-H30)*J30)-K30,0)</f>
        <v/>
      </c>
      <c r="N30" s="136">
        <f>IFERROR((M30-L30)/L30,0)</f>
        <v/>
      </c>
      <c r="O30" s="124" t="n"/>
      <c r="P30" s="132" t="n"/>
      <c r="Q30" s="124" t="n"/>
    </row>
    <row r="31" ht="15" customHeight="1" s="81">
      <c r="A31" s="124" t="n"/>
      <c r="B31" s="124" t="n"/>
      <c r="C31" s="131">
        <f>IFERROR(VLOOKUP(B31,Watchlist!$A$5:$AB$202,4,FALSE()),"")</f>
        <v/>
      </c>
      <c r="D31" s="132" t="n"/>
      <c r="E31" s="124" t="n"/>
      <c r="F31" s="133" t="n"/>
      <c r="G31" s="124" t="n"/>
      <c r="H31" s="138" t="n"/>
      <c r="I31" s="133" t="n"/>
      <c r="J31" s="133" t="n"/>
      <c r="K31" s="134">
        <f>IF(AND(ISNUMBER(F31),ISNUMBER(G31)),F31*G31,0)</f>
        <v/>
      </c>
      <c r="L31" s="134">
        <f>IFERROR(SUMIFS(Inventory!H:H,Inventory!B:B,B31),0)</f>
        <v/>
      </c>
      <c r="M31" s="134">
        <f>IF(ISNUMBER(G31),G31*(H31*I31+(1-H31)*J31)-K31,0)</f>
        <v/>
      </c>
      <c r="N31" s="136">
        <f>IFERROR((M31-L31)/L31,0)</f>
        <v/>
      </c>
      <c r="O31" s="124" t="n"/>
      <c r="P31" s="132" t="n"/>
      <c r="Q31" s="124" t="n"/>
    </row>
    <row r="32" ht="15" customHeight="1" s="81">
      <c r="A32" s="124" t="n"/>
      <c r="B32" s="124" t="n"/>
      <c r="C32" s="131">
        <f>IFERROR(VLOOKUP(B32,Watchlist!$A$5:$AB$202,4,FALSE()),"")</f>
        <v/>
      </c>
      <c r="D32" s="132" t="n"/>
      <c r="E32" s="124" t="n"/>
      <c r="F32" s="133" t="n"/>
      <c r="G32" s="124" t="n"/>
      <c r="H32" s="138" t="n"/>
      <c r="I32" s="133" t="n"/>
      <c r="J32" s="133" t="n"/>
      <c r="K32" s="134">
        <f>IF(AND(ISNUMBER(F32),ISNUMBER(G32)),F32*G32,0)</f>
        <v/>
      </c>
      <c r="L32" s="134">
        <f>IFERROR(SUMIFS(Inventory!H:H,Inventory!B:B,B32),0)</f>
        <v/>
      </c>
      <c r="M32" s="134">
        <f>IF(ISNUMBER(G32),G32*(H32*I32+(1-H32)*J32)-K32,0)</f>
        <v/>
      </c>
      <c r="N32" s="136">
        <f>IFERROR((M32-L32)/L32,0)</f>
        <v/>
      </c>
      <c r="O32" s="124" t="n"/>
      <c r="P32" s="132" t="n"/>
      <c r="Q32" s="124" t="n"/>
    </row>
  </sheetData>
  <mergeCells count="2">
    <mergeCell ref="A2:Q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3B5998"/>
    <outlinePr summaryBelow="1" summaryRight="1"/>
    <pageSetUpPr fitToPage="0"/>
  </sheetPr>
  <dimension ref="A1:O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0" customWidth="1" style="80" min="1" max="2"/>
    <col width="36" customWidth="1" style="80" min="3" max="3"/>
    <col width="12" customWidth="1" style="80" min="4" max="5"/>
    <col width="6" customWidth="1" style="80" min="6" max="6"/>
    <col width="14" customWidth="1" style="80" min="7" max="8"/>
    <col width="10" customWidth="1" style="80" min="9" max="9"/>
    <col width="14" customWidth="1" style="80" min="10" max="11"/>
    <col width="12" customWidth="1" style="80" min="12" max="12"/>
    <col width="8" customWidth="1" style="80" min="13" max="13"/>
    <col width="14" customWidth="1" style="80" min="14" max="14"/>
    <col width="40" customWidth="1" style="80" min="15" max="15"/>
  </cols>
  <sheetData>
    <row r="1" ht="21.75" customHeight="1" s="81">
      <c r="A1" s="86" t="inlineStr">
        <is>
          <t>REALIZED P&amp;L</t>
        </is>
      </c>
    </row>
    <row r="2" ht="15" customHeight="1" s="81">
      <c r="A2" s="87" t="inlineStr">
        <is>
          <t>Sales log. Auto-flags LT (&gt;365 days) vs ST tax status.</t>
        </is>
      </c>
    </row>
    <row r="4" ht="26.25" customHeight="1" s="81">
      <c r="A4" s="91" t="inlineStr">
        <is>
          <t>Sale ID</t>
        </is>
      </c>
      <c r="B4" s="91" t="inlineStr">
        <is>
          <t>CardID</t>
        </is>
      </c>
      <c r="C4" s="91" t="inlineStr">
        <is>
          <t>Description</t>
        </is>
      </c>
      <c r="D4" s="91" t="inlineStr">
        <is>
          <t>Buy Date</t>
        </is>
      </c>
      <c r="E4" s="91" t="inlineStr">
        <is>
          <t>Sell Date</t>
        </is>
      </c>
      <c r="F4" s="91" t="inlineStr">
        <is>
          <t>Qty</t>
        </is>
      </c>
      <c r="G4" s="91" t="inlineStr">
        <is>
          <t>Total Cost</t>
        </is>
      </c>
      <c r="H4" s="91" t="inlineStr">
        <is>
          <t>Gross Sale</t>
        </is>
      </c>
      <c r="I4" s="91" t="inlineStr">
        <is>
          <t>Fees %</t>
        </is>
      </c>
      <c r="J4" s="91" t="inlineStr">
        <is>
          <t>Net Proceeds</t>
        </is>
      </c>
      <c r="K4" s="91" t="inlineStr">
        <is>
          <t>Net P&amp;L</t>
        </is>
      </c>
      <c r="L4" s="91" t="inlineStr">
        <is>
          <t>Holding Days</t>
        </is>
      </c>
      <c r="M4" s="91" t="inlineStr">
        <is>
          <t>Tax</t>
        </is>
      </c>
      <c r="N4" s="91" t="inlineStr">
        <is>
          <t>Channel</t>
        </is>
      </c>
      <c r="O4" s="91" t="inlineStr">
        <is>
          <t>Notes</t>
        </is>
      </c>
    </row>
    <row r="5" ht="15" customHeight="1" s="81">
      <c r="A5" s="124" t="inlineStr">
        <is>
          <t>SALE-001</t>
        </is>
      </c>
      <c r="B5" s="124" t="inlineStr">
        <is>
          <t>S028</t>
        </is>
      </c>
      <c r="C5" s="92">
        <f>IFERROR(VLOOKUP(B5,Watchlist!$A$5:$AB$202,4,FALSE()),"")</f>
        <v/>
      </c>
      <c r="D5" s="132" t="n">
        <v>46065</v>
      </c>
      <c r="E5" s="132" t="n">
        <v>46086</v>
      </c>
      <c r="F5" s="124" t="n">
        <v>5</v>
      </c>
      <c r="G5" s="133" t="n">
        <v>80</v>
      </c>
      <c r="H5" s="133" t="n">
        <v>175</v>
      </c>
      <c r="I5" s="138" t="n">
        <v>0.13</v>
      </c>
      <c r="J5" s="139">
        <f>H5*F5*(1-I5)</f>
        <v/>
      </c>
      <c r="K5" s="139">
        <f>J5-G5</f>
        <v/>
      </c>
      <c r="L5" s="142">
        <f>E5-D5</f>
        <v/>
      </c>
      <c r="M5" s="92">
        <f>IF(L5&gt;365,"LT","ST")</f>
        <v/>
      </c>
      <c r="N5" s="124" t="inlineStr">
        <is>
          <t>eBay</t>
        </is>
      </c>
      <c r="O5" s="124" t="inlineStr">
        <is>
          <t>Pokemon Day flipped at peak hype</t>
        </is>
      </c>
    </row>
    <row r="6" ht="15" customHeight="1" s="81">
      <c r="A6" s="124" t="n"/>
      <c r="B6" s="124" t="n"/>
      <c r="C6" s="131">
        <f>IFERROR(VLOOKUP(B6,Watchlist!$A$5:$AB$202,4,FALSE()),"")</f>
        <v/>
      </c>
      <c r="D6" s="132" t="n"/>
      <c r="E6" s="132" t="n"/>
      <c r="F6" s="124" t="n"/>
      <c r="G6" s="133" t="n"/>
      <c r="H6" s="133" t="n"/>
      <c r="I6" s="138" t="n"/>
      <c r="J6" s="134">
        <f>IF(AND(ISNUMBER(H6),ISNUMBER(F6),ISNUMBER(I6)),H6*F6*(1-I6),0)</f>
        <v/>
      </c>
      <c r="K6" s="134">
        <f>IF(ISNUMBER(G6),J6-G6,0)</f>
        <v/>
      </c>
      <c r="L6" s="137">
        <f>IF(AND(ISNUMBER(E6),ISNUMBER(D6)),E6-D6,0)</f>
        <v/>
      </c>
      <c r="M6" s="131">
        <f>IF(ISNUMBER(L6),IF(L6&gt;365,"LT","ST"),"")</f>
        <v/>
      </c>
      <c r="N6" s="124" t="n"/>
      <c r="O6" s="124" t="n"/>
    </row>
    <row r="7" ht="15" customHeight="1" s="81">
      <c r="A7" s="124" t="n"/>
      <c r="B7" s="124" t="n"/>
      <c r="C7" s="131">
        <f>IFERROR(VLOOKUP(B7,Watchlist!$A$5:$AB$202,4,FALSE()),"")</f>
        <v/>
      </c>
      <c r="D7" s="132" t="n"/>
      <c r="E7" s="132" t="n"/>
      <c r="F7" s="124" t="n"/>
      <c r="G7" s="133" t="n"/>
      <c r="H7" s="133" t="n"/>
      <c r="I7" s="138" t="n"/>
      <c r="J7" s="134">
        <f>IF(AND(ISNUMBER(H7),ISNUMBER(F7),ISNUMBER(I7)),H7*F7*(1-I7),0)</f>
        <v/>
      </c>
      <c r="K7" s="134">
        <f>IF(ISNUMBER(G7),J7-G7,0)</f>
        <v/>
      </c>
      <c r="L7" s="137">
        <f>IF(AND(ISNUMBER(E7),ISNUMBER(D7)),E7-D7,0)</f>
        <v/>
      </c>
      <c r="M7" s="131">
        <f>IF(ISNUMBER(L7),IF(L7&gt;365,"LT","ST"),"")</f>
        <v/>
      </c>
      <c r="N7" s="124" t="n"/>
      <c r="O7" s="124" t="n"/>
    </row>
    <row r="8" ht="15" customHeight="1" s="81">
      <c r="A8" s="124" t="n"/>
      <c r="B8" s="124" t="n"/>
      <c r="C8" s="131">
        <f>IFERROR(VLOOKUP(B8,Watchlist!$A$5:$AB$202,4,FALSE()),"")</f>
        <v/>
      </c>
      <c r="D8" s="132" t="n"/>
      <c r="E8" s="132" t="n"/>
      <c r="F8" s="124" t="n"/>
      <c r="G8" s="133" t="n"/>
      <c r="H8" s="133" t="n"/>
      <c r="I8" s="138" t="n"/>
      <c r="J8" s="134">
        <f>IF(AND(ISNUMBER(H8),ISNUMBER(F8),ISNUMBER(I8)),H8*F8*(1-I8),0)</f>
        <v/>
      </c>
      <c r="K8" s="134">
        <f>IF(ISNUMBER(G8),J8-G8,0)</f>
        <v/>
      </c>
      <c r="L8" s="137">
        <f>IF(AND(ISNUMBER(E8),ISNUMBER(D8)),E8-D8,0)</f>
        <v/>
      </c>
      <c r="M8" s="131">
        <f>IF(ISNUMBER(L8),IF(L8&gt;365,"LT","ST"),"")</f>
        <v/>
      </c>
      <c r="N8" s="124" t="n"/>
      <c r="O8" s="124" t="n"/>
    </row>
    <row r="9" ht="15" customHeight="1" s="81">
      <c r="A9" s="124" t="n"/>
      <c r="B9" s="124" t="n"/>
      <c r="C9" s="131">
        <f>IFERROR(VLOOKUP(B9,Watchlist!$A$5:$AB$202,4,FALSE()),"")</f>
        <v/>
      </c>
      <c r="D9" s="132" t="n"/>
      <c r="E9" s="132" t="n"/>
      <c r="F9" s="124" t="n"/>
      <c r="G9" s="133" t="n"/>
      <c r="H9" s="133" t="n"/>
      <c r="I9" s="138" t="n"/>
      <c r="J9" s="134">
        <f>IF(AND(ISNUMBER(H9),ISNUMBER(F9),ISNUMBER(I9)),H9*F9*(1-I9),0)</f>
        <v/>
      </c>
      <c r="K9" s="134">
        <f>IF(ISNUMBER(G9),J9-G9,0)</f>
        <v/>
      </c>
      <c r="L9" s="137">
        <f>IF(AND(ISNUMBER(E9),ISNUMBER(D9)),E9-D9,0)</f>
        <v/>
      </c>
      <c r="M9" s="131">
        <f>IF(ISNUMBER(L9),IF(L9&gt;365,"LT","ST"),"")</f>
        <v/>
      </c>
      <c r="N9" s="124" t="n"/>
      <c r="O9" s="124" t="n"/>
    </row>
    <row r="10" ht="15" customHeight="1" s="81">
      <c r="A10" s="124" t="n"/>
      <c r="B10" s="124" t="n"/>
      <c r="C10" s="131">
        <f>IFERROR(VLOOKUP(B10,Watchlist!$A$5:$AB$202,4,FALSE()),"")</f>
        <v/>
      </c>
      <c r="D10" s="132" t="n"/>
      <c r="E10" s="132" t="n"/>
      <c r="F10" s="124" t="n"/>
      <c r="G10" s="133" t="n"/>
      <c r="H10" s="133" t="n"/>
      <c r="I10" s="138" t="n"/>
      <c r="J10" s="134">
        <f>IF(AND(ISNUMBER(H10),ISNUMBER(F10),ISNUMBER(I10)),H10*F10*(1-I10),0)</f>
        <v/>
      </c>
      <c r="K10" s="134">
        <f>IF(ISNUMBER(G10),J10-G10,0)</f>
        <v/>
      </c>
      <c r="L10" s="137">
        <f>IF(AND(ISNUMBER(E10),ISNUMBER(D10)),E10-D10,0)</f>
        <v/>
      </c>
      <c r="M10" s="131">
        <f>IF(ISNUMBER(L10),IF(L10&gt;365,"LT","ST"),"")</f>
        <v/>
      </c>
      <c r="N10" s="124" t="n"/>
      <c r="O10" s="124" t="n"/>
    </row>
    <row r="11" ht="15" customHeight="1" s="81">
      <c r="A11" s="124" t="n"/>
      <c r="B11" s="124" t="n"/>
      <c r="C11" s="131">
        <f>IFERROR(VLOOKUP(B11,Watchlist!$A$5:$AB$202,4,FALSE()),"")</f>
        <v/>
      </c>
      <c r="D11" s="132" t="n"/>
      <c r="E11" s="132" t="n"/>
      <c r="F11" s="124" t="n"/>
      <c r="G11" s="133" t="n"/>
      <c r="H11" s="133" t="n"/>
      <c r="I11" s="138" t="n"/>
      <c r="J11" s="134">
        <f>IF(AND(ISNUMBER(H11),ISNUMBER(F11),ISNUMBER(I11)),H11*F11*(1-I11),0)</f>
        <v/>
      </c>
      <c r="K11" s="134">
        <f>IF(ISNUMBER(G11),J11-G11,0)</f>
        <v/>
      </c>
      <c r="L11" s="137">
        <f>IF(AND(ISNUMBER(E11),ISNUMBER(D11)),E11-D11,0)</f>
        <v/>
      </c>
      <c r="M11" s="131">
        <f>IF(ISNUMBER(L11),IF(L11&gt;365,"LT","ST"),"")</f>
        <v/>
      </c>
      <c r="N11" s="124" t="n"/>
      <c r="O11" s="124" t="n"/>
    </row>
    <row r="12" ht="15" customHeight="1" s="81">
      <c r="A12" s="124" t="n"/>
      <c r="B12" s="124" t="n"/>
      <c r="C12" s="131">
        <f>IFERROR(VLOOKUP(B12,Watchlist!$A$5:$AB$202,4,FALSE()),"")</f>
        <v/>
      </c>
      <c r="D12" s="132" t="n"/>
      <c r="E12" s="132" t="n"/>
      <c r="F12" s="124" t="n"/>
      <c r="G12" s="133" t="n"/>
      <c r="H12" s="133" t="n"/>
      <c r="I12" s="138" t="n"/>
      <c r="J12" s="134">
        <f>IF(AND(ISNUMBER(H12),ISNUMBER(F12),ISNUMBER(I12)),H12*F12*(1-I12),0)</f>
        <v/>
      </c>
      <c r="K12" s="134">
        <f>IF(ISNUMBER(G12),J12-G12,0)</f>
        <v/>
      </c>
      <c r="L12" s="137">
        <f>IF(AND(ISNUMBER(E12),ISNUMBER(D12)),E12-D12,0)</f>
        <v/>
      </c>
      <c r="M12" s="131">
        <f>IF(ISNUMBER(L12),IF(L12&gt;365,"LT","ST"),"")</f>
        <v/>
      </c>
      <c r="N12" s="124" t="n"/>
      <c r="O12" s="124" t="n"/>
    </row>
    <row r="13" ht="15" customHeight="1" s="81">
      <c r="A13" s="124" t="n"/>
      <c r="B13" s="124" t="n"/>
      <c r="C13" s="131">
        <f>IFERROR(VLOOKUP(B13,Watchlist!$A$5:$AB$202,4,FALSE()),"")</f>
        <v/>
      </c>
      <c r="D13" s="132" t="n"/>
      <c r="E13" s="132" t="n"/>
      <c r="F13" s="124" t="n"/>
      <c r="G13" s="133" t="n"/>
      <c r="H13" s="133" t="n"/>
      <c r="I13" s="138" t="n"/>
      <c r="J13" s="134">
        <f>IF(AND(ISNUMBER(H13),ISNUMBER(F13),ISNUMBER(I13)),H13*F13*(1-I13),0)</f>
        <v/>
      </c>
      <c r="K13" s="134">
        <f>IF(ISNUMBER(G13),J13-G13,0)</f>
        <v/>
      </c>
      <c r="L13" s="137">
        <f>IF(AND(ISNUMBER(E13),ISNUMBER(D13)),E13-D13,0)</f>
        <v/>
      </c>
      <c r="M13" s="131">
        <f>IF(ISNUMBER(L13),IF(L13&gt;365,"LT","ST"),"")</f>
        <v/>
      </c>
      <c r="N13" s="124" t="n"/>
      <c r="O13" s="124" t="n"/>
    </row>
    <row r="14" ht="15" customHeight="1" s="81">
      <c r="A14" s="124" t="n"/>
      <c r="B14" s="124" t="n"/>
      <c r="C14" s="131">
        <f>IFERROR(VLOOKUP(B14,Watchlist!$A$5:$AB$202,4,FALSE()),"")</f>
        <v/>
      </c>
      <c r="D14" s="132" t="n"/>
      <c r="E14" s="132" t="n"/>
      <c r="F14" s="124" t="n"/>
      <c r="G14" s="133" t="n"/>
      <c r="H14" s="133" t="n"/>
      <c r="I14" s="138" t="n"/>
      <c r="J14" s="134">
        <f>IF(AND(ISNUMBER(H14),ISNUMBER(F14),ISNUMBER(I14)),H14*F14*(1-I14),0)</f>
        <v/>
      </c>
      <c r="K14" s="134">
        <f>IF(ISNUMBER(G14),J14-G14,0)</f>
        <v/>
      </c>
      <c r="L14" s="137">
        <f>IF(AND(ISNUMBER(E14),ISNUMBER(D14)),E14-D14,0)</f>
        <v/>
      </c>
      <c r="M14" s="131">
        <f>IF(ISNUMBER(L14),IF(L14&gt;365,"LT","ST"),"")</f>
        <v/>
      </c>
      <c r="N14" s="124" t="n"/>
      <c r="O14" s="124" t="n"/>
    </row>
    <row r="15" ht="15" customHeight="1" s="81">
      <c r="A15" s="124" t="n"/>
      <c r="B15" s="124" t="n"/>
      <c r="C15" s="131">
        <f>IFERROR(VLOOKUP(B15,Watchlist!$A$5:$AB$202,4,FALSE()),"")</f>
        <v/>
      </c>
      <c r="D15" s="132" t="n"/>
      <c r="E15" s="132" t="n"/>
      <c r="F15" s="124" t="n"/>
      <c r="G15" s="133" t="n"/>
      <c r="H15" s="133" t="n"/>
      <c r="I15" s="138" t="n"/>
      <c r="J15" s="134">
        <f>IF(AND(ISNUMBER(H15),ISNUMBER(F15),ISNUMBER(I15)),H15*F15*(1-I15),0)</f>
        <v/>
      </c>
      <c r="K15" s="134">
        <f>IF(ISNUMBER(G15),J15-G15,0)</f>
        <v/>
      </c>
      <c r="L15" s="137">
        <f>IF(AND(ISNUMBER(E15),ISNUMBER(D15)),E15-D15,0)</f>
        <v/>
      </c>
      <c r="M15" s="131">
        <f>IF(ISNUMBER(L15),IF(L15&gt;365,"LT","ST"),"")</f>
        <v/>
      </c>
      <c r="N15" s="124" t="n"/>
      <c r="O15" s="124" t="n"/>
    </row>
    <row r="16" ht="15" customHeight="1" s="81">
      <c r="A16" s="124" t="n"/>
      <c r="B16" s="124" t="n"/>
      <c r="C16" s="131">
        <f>IFERROR(VLOOKUP(B16,Watchlist!$A$5:$AB$202,4,FALSE()),"")</f>
        <v/>
      </c>
      <c r="D16" s="132" t="n"/>
      <c r="E16" s="132" t="n"/>
      <c r="F16" s="124" t="n"/>
      <c r="G16" s="133" t="n"/>
      <c r="H16" s="133" t="n"/>
      <c r="I16" s="138" t="n"/>
      <c r="J16" s="134">
        <f>IF(AND(ISNUMBER(H16),ISNUMBER(F16),ISNUMBER(I16)),H16*F16*(1-I16),0)</f>
        <v/>
      </c>
      <c r="K16" s="134">
        <f>IF(ISNUMBER(G16),J16-G16,0)</f>
        <v/>
      </c>
      <c r="L16" s="137">
        <f>IF(AND(ISNUMBER(E16),ISNUMBER(D16)),E16-D16,0)</f>
        <v/>
      </c>
      <c r="M16" s="131">
        <f>IF(ISNUMBER(L16),IF(L16&gt;365,"LT","ST"),"")</f>
        <v/>
      </c>
      <c r="N16" s="124" t="n"/>
      <c r="O16" s="124" t="n"/>
    </row>
    <row r="17" ht="15" customHeight="1" s="81">
      <c r="A17" s="124" t="n"/>
      <c r="B17" s="124" t="n"/>
      <c r="C17" s="131">
        <f>IFERROR(VLOOKUP(B17,Watchlist!$A$5:$AB$202,4,FALSE()),"")</f>
        <v/>
      </c>
      <c r="D17" s="132" t="n"/>
      <c r="E17" s="132" t="n"/>
      <c r="F17" s="124" t="n"/>
      <c r="G17" s="133" t="n"/>
      <c r="H17" s="133" t="n"/>
      <c r="I17" s="138" t="n"/>
      <c r="J17" s="134">
        <f>IF(AND(ISNUMBER(H17),ISNUMBER(F17),ISNUMBER(I17)),H17*F17*(1-I17),0)</f>
        <v/>
      </c>
      <c r="K17" s="134">
        <f>IF(ISNUMBER(G17),J17-G17,0)</f>
        <v/>
      </c>
      <c r="L17" s="137">
        <f>IF(AND(ISNUMBER(E17),ISNUMBER(D17)),E17-D17,0)</f>
        <v/>
      </c>
      <c r="M17" s="131">
        <f>IF(ISNUMBER(L17),IF(L17&gt;365,"LT","ST"),"")</f>
        <v/>
      </c>
      <c r="N17" s="124" t="n"/>
      <c r="O17" s="124" t="n"/>
    </row>
    <row r="18" ht="15" customHeight="1" s="81">
      <c r="A18" s="124" t="n"/>
      <c r="B18" s="124" t="n"/>
      <c r="C18" s="131">
        <f>IFERROR(VLOOKUP(B18,Watchlist!$A$5:$AB$202,4,FALSE()),"")</f>
        <v/>
      </c>
      <c r="D18" s="132" t="n"/>
      <c r="E18" s="132" t="n"/>
      <c r="F18" s="124" t="n"/>
      <c r="G18" s="133" t="n"/>
      <c r="H18" s="133" t="n"/>
      <c r="I18" s="138" t="n"/>
      <c r="J18" s="134">
        <f>IF(AND(ISNUMBER(H18),ISNUMBER(F18),ISNUMBER(I18)),H18*F18*(1-I18),0)</f>
        <v/>
      </c>
      <c r="K18" s="134">
        <f>IF(ISNUMBER(G18),J18-G18,0)</f>
        <v/>
      </c>
      <c r="L18" s="137">
        <f>IF(AND(ISNUMBER(E18),ISNUMBER(D18)),E18-D18,0)</f>
        <v/>
      </c>
      <c r="M18" s="131">
        <f>IF(ISNUMBER(L18),IF(L18&gt;365,"LT","ST"),"")</f>
        <v/>
      </c>
      <c r="N18" s="124" t="n"/>
      <c r="O18" s="124" t="n"/>
    </row>
    <row r="19" ht="15" customHeight="1" s="81">
      <c r="A19" s="124" t="n"/>
      <c r="B19" s="124" t="n"/>
      <c r="C19" s="131">
        <f>IFERROR(VLOOKUP(B19,Watchlist!$A$5:$AB$202,4,FALSE()),"")</f>
        <v/>
      </c>
      <c r="D19" s="132" t="n"/>
      <c r="E19" s="132" t="n"/>
      <c r="F19" s="124" t="n"/>
      <c r="G19" s="133" t="n"/>
      <c r="H19" s="133" t="n"/>
      <c r="I19" s="138" t="n"/>
      <c r="J19" s="134">
        <f>IF(AND(ISNUMBER(H19),ISNUMBER(F19),ISNUMBER(I19)),H19*F19*(1-I19),0)</f>
        <v/>
      </c>
      <c r="K19" s="134">
        <f>IF(ISNUMBER(G19),J19-G19,0)</f>
        <v/>
      </c>
      <c r="L19" s="137">
        <f>IF(AND(ISNUMBER(E19),ISNUMBER(D19)),E19-D19,0)</f>
        <v/>
      </c>
      <c r="M19" s="131">
        <f>IF(ISNUMBER(L19),IF(L19&gt;365,"LT","ST"),"")</f>
        <v/>
      </c>
      <c r="N19" s="124" t="n"/>
      <c r="O19" s="124" t="n"/>
    </row>
    <row r="20" ht="15" customHeight="1" s="81">
      <c r="A20" s="124" t="n"/>
      <c r="B20" s="124" t="n"/>
      <c r="C20" s="131">
        <f>IFERROR(VLOOKUP(B20,Watchlist!$A$5:$AB$202,4,FALSE()),"")</f>
        <v/>
      </c>
      <c r="D20" s="132" t="n"/>
      <c r="E20" s="132" t="n"/>
      <c r="F20" s="124" t="n"/>
      <c r="G20" s="133" t="n"/>
      <c r="H20" s="133" t="n"/>
      <c r="I20" s="138" t="n"/>
      <c r="J20" s="134">
        <f>IF(AND(ISNUMBER(H20),ISNUMBER(F20),ISNUMBER(I20)),H20*F20*(1-I20),0)</f>
        <v/>
      </c>
      <c r="K20" s="134">
        <f>IF(ISNUMBER(G20),J20-G20,0)</f>
        <v/>
      </c>
      <c r="L20" s="137">
        <f>IF(AND(ISNUMBER(E20),ISNUMBER(D20)),E20-D20,0)</f>
        <v/>
      </c>
      <c r="M20" s="131">
        <f>IF(ISNUMBER(L20),IF(L20&gt;365,"LT","ST"),"")</f>
        <v/>
      </c>
      <c r="N20" s="124" t="n"/>
      <c r="O20" s="124" t="n"/>
    </row>
    <row r="21" ht="15" customHeight="1" s="81">
      <c r="A21" s="124" t="n"/>
      <c r="B21" s="124" t="n"/>
      <c r="C21" s="131">
        <f>IFERROR(VLOOKUP(B21,Watchlist!$A$5:$AB$202,4,FALSE()),"")</f>
        <v/>
      </c>
      <c r="D21" s="132" t="n"/>
      <c r="E21" s="132" t="n"/>
      <c r="F21" s="124" t="n"/>
      <c r="G21" s="133" t="n"/>
      <c r="H21" s="133" t="n"/>
      <c r="I21" s="138" t="n"/>
      <c r="J21" s="134">
        <f>IF(AND(ISNUMBER(H21),ISNUMBER(F21),ISNUMBER(I21)),H21*F21*(1-I21),0)</f>
        <v/>
      </c>
      <c r="K21" s="134">
        <f>IF(ISNUMBER(G21),J21-G21,0)</f>
        <v/>
      </c>
      <c r="L21" s="137">
        <f>IF(AND(ISNUMBER(E21),ISNUMBER(D21)),E21-D21,0)</f>
        <v/>
      </c>
      <c r="M21" s="131">
        <f>IF(ISNUMBER(L21),IF(L21&gt;365,"LT","ST"),"")</f>
        <v/>
      </c>
      <c r="N21" s="124" t="n"/>
      <c r="O21" s="124" t="n"/>
    </row>
    <row r="22" ht="15" customHeight="1" s="81">
      <c r="A22" s="124" t="n"/>
      <c r="B22" s="124" t="n"/>
      <c r="C22" s="131">
        <f>IFERROR(VLOOKUP(B22,Watchlist!$A$5:$AB$202,4,FALSE()),"")</f>
        <v/>
      </c>
      <c r="D22" s="132" t="n"/>
      <c r="E22" s="132" t="n"/>
      <c r="F22" s="124" t="n"/>
      <c r="G22" s="133" t="n"/>
      <c r="H22" s="133" t="n"/>
      <c r="I22" s="138" t="n"/>
      <c r="J22" s="134">
        <f>IF(AND(ISNUMBER(H22),ISNUMBER(F22),ISNUMBER(I22)),H22*F22*(1-I22),0)</f>
        <v/>
      </c>
      <c r="K22" s="134">
        <f>IF(ISNUMBER(G22),J22-G22,0)</f>
        <v/>
      </c>
      <c r="L22" s="137">
        <f>IF(AND(ISNUMBER(E22),ISNUMBER(D22)),E22-D22,0)</f>
        <v/>
      </c>
      <c r="M22" s="131">
        <f>IF(ISNUMBER(L22),IF(L22&gt;365,"LT","ST"),"")</f>
        <v/>
      </c>
      <c r="N22" s="124" t="n"/>
      <c r="O22" s="124" t="n"/>
    </row>
    <row r="23" ht="15" customHeight="1" s="81">
      <c r="A23" s="124" t="n"/>
      <c r="B23" s="124" t="n"/>
      <c r="C23" s="131">
        <f>IFERROR(VLOOKUP(B23,Watchlist!$A$5:$AB$202,4,FALSE()),"")</f>
        <v/>
      </c>
      <c r="D23" s="132" t="n"/>
      <c r="E23" s="132" t="n"/>
      <c r="F23" s="124" t="n"/>
      <c r="G23" s="133" t="n"/>
      <c r="H23" s="133" t="n"/>
      <c r="I23" s="138" t="n"/>
      <c r="J23" s="134">
        <f>IF(AND(ISNUMBER(H23),ISNUMBER(F23),ISNUMBER(I23)),H23*F23*(1-I23),0)</f>
        <v/>
      </c>
      <c r="K23" s="134">
        <f>IF(ISNUMBER(G23),J23-G23,0)</f>
        <v/>
      </c>
      <c r="L23" s="137">
        <f>IF(AND(ISNUMBER(E23),ISNUMBER(D23)),E23-D23,0)</f>
        <v/>
      </c>
      <c r="M23" s="131">
        <f>IF(ISNUMBER(L23),IF(L23&gt;365,"LT","ST"),"")</f>
        <v/>
      </c>
      <c r="N23" s="124" t="n"/>
      <c r="O23" s="124" t="n"/>
    </row>
    <row r="24" ht="15" customHeight="1" s="81">
      <c r="A24" s="124" t="n"/>
      <c r="B24" s="124" t="n"/>
      <c r="C24" s="131">
        <f>IFERROR(VLOOKUP(B24,Watchlist!$A$5:$AB$202,4,FALSE()),"")</f>
        <v/>
      </c>
      <c r="D24" s="132" t="n"/>
      <c r="E24" s="132" t="n"/>
      <c r="F24" s="124" t="n"/>
      <c r="G24" s="133" t="n"/>
      <c r="H24" s="133" t="n"/>
      <c r="I24" s="138" t="n"/>
      <c r="J24" s="134">
        <f>IF(AND(ISNUMBER(H24),ISNUMBER(F24),ISNUMBER(I24)),H24*F24*(1-I24),0)</f>
        <v/>
      </c>
      <c r="K24" s="134">
        <f>IF(ISNUMBER(G24),J24-G24,0)</f>
        <v/>
      </c>
      <c r="L24" s="137">
        <f>IF(AND(ISNUMBER(E24),ISNUMBER(D24)),E24-D24,0)</f>
        <v/>
      </c>
      <c r="M24" s="131">
        <f>IF(ISNUMBER(L24),IF(L24&gt;365,"LT","ST"),"")</f>
        <v/>
      </c>
      <c r="N24" s="124" t="n"/>
      <c r="O24" s="124" t="n"/>
    </row>
    <row r="25" ht="15" customHeight="1" s="81">
      <c r="A25" s="124" t="n"/>
      <c r="B25" s="124" t="n"/>
      <c r="C25" s="131">
        <f>IFERROR(VLOOKUP(B25,Watchlist!$A$5:$AB$202,4,FALSE()),"")</f>
        <v/>
      </c>
      <c r="D25" s="132" t="n"/>
      <c r="E25" s="132" t="n"/>
      <c r="F25" s="124" t="n"/>
      <c r="G25" s="133" t="n"/>
      <c r="H25" s="133" t="n"/>
      <c r="I25" s="138" t="n"/>
      <c r="J25" s="134">
        <f>IF(AND(ISNUMBER(H25),ISNUMBER(F25),ISNUMBER(I25)),H25*F25*(1-I25),0)</f>
        <v/>
      </c>
      <c r="K25" s="134">
        <f>IF(ISNUMBER(G25),J25-G25,0)</f>
        <v/>
      </c>
      <c r="L25" s="137">
        <f>IF(AND(ISNUMBER(E25),ISNUMBER(D25)),E25-D25,0)</f>
        <v/>
      </c>
      <c r="M25" s="131">
        <f>IF(ISNUMBER(L25),IF(L25&gt;365,"LT","ST"),"")</f>
        <v/>
      </c>
      <c r="N25" s="124" t="n"/>
      <c r="O25" s="124" t="n"/>
    </row>
    <row r="26" ht="15" customHeight="1" s="81">
      <c r="A26" s="124" t="n"/>
      <c r="B26" s="124" t="n"/>
      <c r="C26" s="131">
        <f>IFERROR(VLOOKUP(B26,Watchlist!$A$5:$AB$202,4,FALSE()),"")</f>
        <v/>
      </c>
      <c r="D26" s="132" t="n"/>
      <c r="E26" s="132" t="n"/>
      <c r="F26" s="124" t="n"/>
      <c r="G26" s="133" t="n"/>
      <c r="H26" s="133" t="n"/>
      <c r="I26" s="138" t="n"/>
      <c r="J26" s="134">
        <f>IF(AND(ISNUMBER(H26),ISNUMBER(F26),ISNUMBER(I26)),H26*F26*(1-I26),0)</f>
        <v/>
      </c>
      <c r="K26" s="134">
        <f>IF(ISNUMBER(G26),J26-G26,0)</f>
        <v/>
      </c>
      <c r="L26" s="137">
        <f>IF(AND(ISNUMBER(E26),ISNUMBER(D26)),E26-D26,0)</f>
        <v/>
      </c>
      <c r="M26" s="131">
        <f>IF(ISNUMBER(L26),IF(L26&gt;365,"LT","ST"),"")</f>
        <v/>
      </c>
      <c r="N26" s="124" t="n"/>
      <c r="O26" s="124" t="n"/>
    </row>
    <row r="27" ht="15" customHeight="1" s="81">
      <c r="A27" s="124" t="n"/>
      <c r="B27" s="124" t="n"/>
      <c r="C27" s="131">
        <f>IFERROR(VLOOKUP(B27,Watchlist!$A$5:$AB$202,4,FALSE()),"")</f>
        <v/>
      </c>
      <c r="D27" s="132" t="n"/>
      <c r="E27" s="132" t="n"/>
      <c r="F27" s="124" t="n"/>
      <c r="G27" s="133" t="n"/>
      <c r="H27" s="133" t="n"/>
      <c r="I27" s="138" t="n"/>
      <c r="J27" s="134">
        <f>IF(AND(ISNUMBER(H27),ISNUMBER(F27),ISNUMBER(I27)),H27*F27*(1-I27),0)</f>
        <v/>
      </c>
      <c r="K27" s="134">
        <f>IF(ISNUMBER(G27),J27-G27,0)</f>
        <v/>
      </c>
      <c r="L27" s="137">
        <f>IF(AND(ISNUMBER(E27),ISNUMBER(D27)),E27-D27,0)</f>
        <v/>
      </c>
      <c r="M27" s="131">
        <f>IF(ISNUMBER(L27),IF(L27&gt;365,"LT","ST"),"")</f>
        <v/>
      </c>
      <c r="N27" s="124" t="n"/>
      <c r="O27" s="124" t="n"/>
    </row>
    <row r="28" ht="15" customHeight="1" s="81">
      <c r="A28" s="124" t="n"/>
      <c r="B28" s="124" t="n"/>
      <c r="C28" s="131">
        <f>IFERROR(VLOOKUP(B28,Watchlist!$A$5:$AB$202,4,FALSE()),"")</f>
        <v/>
      </c>
      <c r="D28" s="132" t="n"/>
      <c r="E28" s="132" t="n"/>
      <c r="F28" s="124" t="n"/>
      <c r="G28" s="133" t="n"/>
      <c r="H28" s="133" t="n"/>
      <c r="I28" s="138" t="n"/>
      <c r="J28" s="134">
        <f>IF(AND(ISNUMBER(H28),ISNUMBER(F28),ISNUMBER(I28)),H28*F28*(1-I28),0)</f>
        <v/>
      </c>
      <c r="K28" s="134">
        <f>IF(ISNUMBER(G28),J28-G28,0)</f>
        <v/>
      </c>
      <c r="L28" s="137">
        <f>IF(AND(ISNUMBER(E28),ISNUMBER(D28)),E28-D28,0)</f>
        <v/>
      </c>
      <c r="M28" s="131">
        <f>IF(ISNUMBER(L28),IF(L28&gt;365,"LT","ST"),"")</f>
        <v/>
      </c>
      <c r="N28" s="124" t="n"/>
      <c r="O28" s="124" t="n"/>
    </row>
    <row r="29" ht="15" customHeight="1" s="81">
      <c r="A29" s="124" t="n"/>
      <c r="B29" s="124" t="n"/>
      <c r="C29" s="131">
        <f>IFERROR(VLOOKUP(B29,Watchlist!$A$5:$AB$202,4,FALSE()),"")</f>
        <v/>
      </c>
      <c r="D29" s="132" t="n"/>
      <c r="E29" s="132" t="n"/>
      <c r="F29" s="124" t="n"/>
      <c r="G29" s="133" t="n"/>
      <c r="H29" s="133" t="n"/>
      <c r="I29" s="138" t="n"/>
      <c r="J29" s="134">
        <f>IF(AND(ISNUMBER(H29),ISNUMBER(F29),ISNUMBER(I29)),H29*F29*(1-I29),0)</f>
        <v/>
      </c>
      <c r="K29" s="134">
        <f>IF(ISNUMBER(G29),J29-G29,0)</f>
        <v/>
      </c>
      <c r="L29" s="137">
        <f>IF(AND(ISNUMBER(E29),ISNUMBER(D29)),E29-D29,0)</f>
        <v/>
      </c>
      <c r="M29" s="131">
        <f>IF(ISNUMBER(L29),IF(L29&gt;365,"LT","ST"),"")</f>
        <v/>
      </c>
      <c r="N29" s="124" t="n"/>
      <c r="O29" s="124" t="n"/>
    </row>
    <row r="30" ht="15" customHeight="1" s="81">
      <c r="A30" s="124" t="n"/>
      <c r="B30" s="124" t="n"/>
      <c r="C30" s="131">
        <f>IFERROR(VLOOKUP(B30,Watchlist!$A$5:$AB$202,4,FALSE()),"")</f>
        <v/>
      </c>
      <c r="D30" s="132" t="n"/>
      <c r="E30" s="132" t="n"/>
      <c r="F30" s="124" t="n"/>
      <c r="G30" s="133" t="n"/>
      <c r="H30" s="133" t="n"/>
      <c r="I30" s="138" t="n"/>
      <c r="J30" s="134">
        <f>IF(AND(ISNUMBER(H30),ISNUMBER(F30),ISNUMBER(I30)),H30*F30*(1-I30),0)</f>
        <v/>
      </c>
      <c r="K30" s="134">
        <f>IF(ISNUMBER(G30),J30-G30,0)</f>
        <v/>
      </c>
      <c r="L30" s="137">
        <f>IF(AND(ISNUMBER(E30),ISNUMBER(D30)),E30-D30,0)</f>
        <v/>
      </c>
      <c r="M30" s="131">
        <f>IF(ISNUMBER(L30),IF(L30&gt;365,"LT","ST"),"")</f>
        <v/>
      </c>
      <c r="N30" s="124" t="n"/>
      <c r="O30" s="124" t="n"/>
    </row>
    <row r="31" ht="15" customHeight="1" s="81">
      <c r="A31" s="124" t="n"/>
      <c r="B31" s="124" t="n"/>
      <c r="C31" s="131">
        <f>IFERROR(VLOOKUP(B31,Watchlist!$A$5:$AB$202,4,FALSE()),"")</f>
        <v/>
      </c>
      <c r="D31" s="132" t="n"/>
      <c r="E31" s="132" t="n"/>
      <c r="F31" s="124" t="n"/>
      <c r="G31" s="133" t="n"/>
      <c r="H31" s="133" t="n"/>
      <c r="I31" s="138" t="n"/>
      <c r="J31" s="134">
        <f>IF(AND(ISNUMBER(H31),ISNUMBER(F31),ISNUMBER(I31)),H31*F31*(1-I31),0)</f>
        <v/>
      </c>
      <c r="K31" s="134">
        <f>IF(ISNUMBER(G31),J31-G31,0)</f>
        <v/>
      </c>
      <c r="L31" s="137">
        <f>IF(AND(ISNUMBER(E31),ISNUMBER(D31)),E31-D31,0)</f>
        <v/>
      </c>
      <c r="M31" s="131">
        <f>IF(ISNUMBER(L31),IF(L31&gt;365,"LT","ST"),"")</f>
        <v/>
      </c>
      <c r="N31" s="124" t="n"/>
      <c r="O31" s="124" t="n"/>
    </row>
    <row r="32" ht="15" customHeight="1" s="81">
      <c r="A32" s="124" t="n"/>
      <c r="B32" s="124" t="n"/>
      <c r="C32" s="131">
        <f>IFERROR(VLOOKUP(B32,Watchlist!$A$5:$AB$202,4,FALSE()),"")</f>
        <v/>
      </c>
      <c r="D32" s="132" t="n"/>
      <c r="E32" s="132" t="n"/>
      <c r="F32" s="124" t="n"/>
      <c r="G32" s="133" t="n"/>
      <c r="H32" s="133" t="n"/>
      <c r="I32" s="138" t="n"/>
      <c r="J32" s="134">
        <f>IF(AND(ISNUMBER(H32),ISNUMBER(F32),ISNUMBER(I32)),H32*F32*(1-I32),0)</f>
        <v/>
      </c>
      <c r="K32" s="134">
        <f>IF(ISNUMBER(G32),J32-G32,0)</f>
        <v/>
      </c>
      <c r="L32" s="137">
        <f>IF(AND(ISNUMBER(E32),ISNUMBER(D32)),E32-D32,0)</f>
        <v/>
      </c>
      <c r="M32" s="131">
        <f>IF(ISNUMBER(L32),IF(L32&gt;365,"LT","ST"),"")</f>
        <v/>
      </c>
      <c r="N32" s="124" t="n"/>
      <c r="O32" s="124" t="n"/>
    </row>
    <row r="33" ht="15" customHeight="1" s="81">
      <c r="A33" s="124" t="n"/>
      <c r="B33" s="124" t="n"/>
      <c r="C33" s="131">
        <f>IFERROR(VLOOKUP(B33,Watchlist!$A$5:$AB$202,4,FALSE()),"")</f>
        <v/>
      </c>
      <c r="D33" s="132" t="n"/>
      <c r="E33" s="132" t="n"/>
      <c r="F33" s="124" t="n"/>
      <c r="G33" s="133" t="n"/>
      <c r="H33" s="133" t="n"/>
      <c r="I33" s="138" t="n"/>
      <c r="J33" s="134">
        <f>IF(AND(ISNUMBER(H33),ISNUMBER(F33),ISNUMBER(I33)),H33*F33*(1-I33),0)</f>
        <v/>
      </c>
      <c r="K33" s="134">
        <f>IF(ISNUMBER(G33),J33-G33,0)</f>
        <v/>
      </c>
      <c r="L33" s="137">
        <f>IF(AND(ISNUMBER(E33),ISNUMBER(D33)),E33-D33,0)</f>
        <v/>
      </c>
      <c r="M33" s="131">
        <f>IF(ISNUMBER(L33),IF(L33&gt;365,"LT","ST"),"")</f>
        <v/>
      </c>
      <c r="N33" s="124" t="n"/>
      <c r="O33" s="124" t="n"/>
    </row>
    <row r="34" ht="15" customHeight="1" s="81">
      <c r="A34" s="124" t="n"/>
      <c r="B34" s="124" t="n"/>
      <c r="C34" s="131">
        <f>IFERROR(VLOOKUP(B34,Watchlist!$A$5:$AB$202,4,FALSE()),"")</f>
        <v/>
      </c>
      <c r="D34" s="132" t="n"/>
      <c r="E34" s="132" t="n"/>
      <c r="F34" s="124" t="n"/>
      <c r="G34" s="133" t="n"/>
      <c r="H34" s="133" t="n"/>
      <c r="I34" s="138" t="n"/>
      <c r="J34" s="134">
        <f>IF(AND(ISNUMBER(H34),ISNUMBER(F34),ISNUMBER(I34)),H34*F34*(1-I34),0)</f>
        <v/>
      </c>
      <c r="K34" s="134">
        <f>IF(ISNUMBER(G34),J34-G34,0)</f>
        <v/>
      </c>
      <c r="L34" s="137">
        <f>IF(AND(ISNUMBER(E34),ISNUMBER(D34)),E34-D34,0)</f>
        <v/>
      </c>
      <c r="M34" s="131">
        <f>IF(ISNUMBER(L34),IF(L34&gt;365,"LT","ST"),"")</f>
        <v/>
      </c>
      <c r="N34" s="124" t="n"/>
      <c r="O34" s="124" t="n"/>
    </row>
    <row r="35" ht="15" customHeight="1" s="81">
      <c r="A35" s="124" t="n"/>
      <c r="B35" s="124" t="n"/>
      <c r="C35" s="131">
        <f>IFERROR(VLOOKUP(B35,Watchlist!$A$5:$AB$202,4,FALSE()),"")</f>
        <v/>
      </c>
      <c r="D35" s="132" t="n"/>
      <c r="E35" s="132" t="n"/>
      <c r="F35" s="124" t="n"/>
      <c r="G35" s="133" t="n"/>
      <c r="H35" s="133" t="n"/>
      <c r="I35" s="138" t="n"/>
      <c r="J35" s="134">
        <f>IF(AND(ISNUMBER(H35),ISNUMBER(F35),ISNUMBER(I35)),H35*F35*(1-I35),0)</f>
        <v/>
      </c>
      <c r="K35" s="134">
        <f>IF(ISNUMBER(G35),J35-G35,0)</f>
        <v/>
      </c>
      <c r="L35" s="137">
        <f>IF(AND(ISNUMBER(E35),ISNUMBER(D35)),E35-D35,0)</f>
        <v/>
      </c>
      <c r="M35" s="131">
        <f>IF(ISNUMBER(L35),IF(L35&gt;365,"LT","ST"),"")</f>
        <v/>
      </c>
      <c r="N35" s="124" t="n"/>
      <c r="O35" s="124" t="n"/>
    </row>
    <row r="36" ht="15" customHeight="1" s="81">
      <c r="A36" s="124" t="n"/>
      <c r="B36" s="124" t="n"/>
      <c r="C36" s="131">
        <f>IFERROR(VLOOKUP(B36,Watchlist!$A$5:$AB$202,4,FALSE()),"")</f>
        <v/>
      </c>
      <c r="D36" s="132" t="n"/>
      <c r="E36" s="132" t="n"/>
      <c r="F36" s="124" t="n"/>
      <c r="G36" s="133" t="n"/>
      <c r="H36" s="133" t="n"/>
      <c r="I36" s="138" t="n"/>
      <c r="J36" s="134">
        <f>IF(AND(ISNUMBER(H36),ISNUMBER(F36),ISNUMBER(I36)),H36*F36*(1-I36),0)</f>
        <v/>
      </c>
      <c r="K36" s="134">
        <f>IF(ISNUMBER(G36),J36-G36,0)</f>
        <v/>
      </c>
      <c r="L36" s="137">
        <f>IF(AND(ISNUMBER(E36),ISNUMBER(D36)),E36-D36,0)</f>
        <v/>
      </c>
      <c r="M36" s="131">
        <f>IF(ISNUMBER(L36),IF(L36&gt;365,"LT","ST"),"")</f>
        <v/>
      </c>
      <c r="N36" s="124" t="n"/>
      <c r="O36" s="124" t="n"/>
    </row>
    <row r="37" ht="15" customHeight="1" s="81">
      <c r="A37" s="124" t="n"/>
      <c r="B37" s="124" t="n"/>
      <c r="C37" s="131">
        <f>IFERROR(VLOOKUP(B37,Watchlist!$A$5:$AB$202,4,FALSE()),"")</f>
        <v/>
      </c>
      <c r="D37" s="132" t="n"/>
      <c r="E37" s="132" t="n"/>
      <c r="F37" s="124" t="n"/>
      <c r="G37" s="133" t="n"/>
      <c r="H37" s="133" t="n"/>
      <c r="I37" s="138" t="n"/>
      <c r="J37" s="134">
        <f>IF(AND(ISNUMBER(H37),ISNUMBER(F37),ISNUMBER(I37)),H37*F37*(1-I37),0)</f>
        <v/>
      </c>
      <c r="K37" s="134">
        <f>IF(ISNUMBER(G37),J37-G37,0)</f>
        <v/>
      </c>
      <c r="L37" s="137">
        <f>IF(AND(ISNUMBER(E37),ISNUMBER(D37)),E37-D37,0)</f>
        <v/>
      </c>
      <c r="M37" s="131">
        <f>IF(ISNUMBER(L37),IF(L37&gt;365,"LT","ST"),"")</f>
        <v/>
      </c>
      <c r="N37" s="124" t="n"/>
      <c r="O37" s="124" t="n"/>
    </row>
    <row r="38" ht="15" customHeight="1" s="81">
      <c r="A38" s="124" t="n"/>
      <c r="B38" s="124" t="n"/>
      <c r="C38" s="131">
        <f>IFERROR(VLOOKUP(B38,Watchlist!$A$5:$AB$202,4,FALSE()),"")</f>
        <v/>
      </c>
      <c r="D38" s="132" t="n"/>
      <c r="E38" s="132" t="n"/>
      <c r="F38" s="124" t="n"/>
      <c r="G38" s="133" t="n"/>
      <c r="H38" s="133" t="n"/>
      <c r="I38" s="138" t="n"/>
      <c r="J38" s="134">
        <f>IF(AND(ISNUMBER(H38),ISNUMBER(F38),ISNUMBER(I38)),H38*F38*(1-I38),0)</f>
        <v/>
      </c>
      <c r="K38" s="134">
        <f>IF(ISNUMBER(G38),J38-G38,0)</f>
        <v/>
      </c>
      <c r="L38" s="137">
        <f>IF(AND(ISNUMBER(E38),ISNUMBER(D38)),E38-D38,0)</f>
        <v/>
      </c>
      <c r="M38" s="131">
        <f>IF(ISNUMBER(L38),IF(L38&gt;365,"LT","ST"),"")</f>
        <v/>
      </c>
      <c r="N38" s="124" t="n"/>
      <c r="O38" s="124" t="n"/>
    </row>
    <row r="39" ht="15" customHeight="1" s="81">
      <c r="A39" s="124" t="n"/>
      <c r="B39" s="124" t="n"/>
      <c r="C39" s="131">
        <f>IFERROR(VLOOKUP(B39,Watchlist!$A$5:$AB$202,4,FALSE()),"")</f>
        <v/>
      </c>
      <c r="D39" s="132" t="n"/>
      <c r="E39" s="132" t="n"/>
      <c r="F39" s="124" t="n"/>
      <c r="G39" s="133" t="n"/>
      <c r="H39" s="133" t="n"/>
      <c r="I39" s="138" t="n"/>
      <c r="J39" s="134">
        <f>IF(AND(ISNUMBER(H39),ISNUMBER(F39),ISNUMBER(I39)),H39*F39*(1-I39),0)</f>
        <v/>
      </c>
      <c r="K39" s="134">
        <f>IF(ISNUMBER(G39),J39-G39,0)</f>
        <v/>
      </c>
      <c r="L39" s="137">
        <f>IF(AND(ISNUMBER(E39),ISNUMBER(D39)),E39-D39,0)</f>
        <v/>
      </c>
      <c r="M39" s="131">
        <f>IF(ISNUMBER(L39),IF(L39&gt;365,"LT","ST"),"")</f>
        <v/>
      </c>
      <c r="N39" s="124" t="n"/>
      <c r="O39" s="124" t="n"/>
    </row>
    <row r="40" ht="15" customHeight="1" s="81">
      <c r="A40" s="124" t="n"/>
      <c r="B40" s="124" t="n"/>
      <c r="C40" s="131">
        <f>IFERROR(VLOOKUP(B40,Watchlist!$A$5:$AB$202,4,FALSE()),"")</f>
        <v/>
      </c>
      <c r="D40" s="132" t="n"/>
      <c r="E40" s="132" t="n"/>
      <c r="F40" s="124" t="n"/>
      <c r="G40" s="133" t="n"/>
      <c r="H40" s="133" t="n"/>
      <c r="I40" s="138" t="n"/>
      <c r="J40" s="134">
        <f>IF(AND(ISNUMBER(H40),ISNUMBER(F40),ISNUMBER(I40)),H40*F40*(1-I40),0)</f>
        <v/>
      </c>
      <c r="K40" s="134">
        <f>IF(ISNUMBER(G40),J40-G40,0)</f>
        <v/>
      </c>
      <c r="L40" s="137">
        <f>IF(AND(ISNUMBER(E40),ISNUMBER(D40)),E40-D40,0)</f>
        <v/>
      </c>
      <c r="M40" s="131">
        <f>IF(ISNUMBER(L40),IF(L40&gt;365,"LT","ST"),"")</f>
        <v/>
      </c>
      <c r="N40" s="124" t="n"/>
      <c r="O40" s="124" t="n"/>
    </row>
    <row r="41" ht="15" customHeight="1" s="81">
      <c r="A41" s="124" t="n"/>
      <c r="B41" s="124" t="n"/>
      <c r="C41" s="131">
        <f>IFERROR(VLOOKUP(B41,Watchlist!$A$5:$AB$202,4,FALSE()),"")</f>
        <v/>
      </c>
      <c r="D41" s="132" t="n"/>
      <c r="E41" s="132" t="n"/>
      <c r="F41" s="124" t="n"/>
      <c r="G41" s="133" t="n"/>
      <c r="H41" s="133" t="n"/>
      <c r="I41" s="138" t="n"/>
      <c r="J41" s="134">
        <f>IF(AND(ISNUMBER(H41),ISNUMBER(F41),ISNUMBER(I41)),H41*F41*(1-I41),0)</f>
        <v/>
      </c>
      <c r="K41" s="134">
        <f>IF(ISNUMBER(G41),J41-G41,0)</f>
        <v/>
      </c>
      <c r="L41" s="137">
        <f>IF(AND(ISNUMBER(E41),ISNUMBER(D41)),E41-D41,0)</f>
        <v/>
      </c>
      <c r="M41" s="131">
        <f>IF(ISNUMBER(L41),IF(L41&gt;365,"LT","ST"),"")</f>
        <v/>
      </c>
      <c r="N41" s="124" t="n"/>
      <c r="O41" s="124" t="n"/>
    </row>
    <row r="42" ht="15" customHeight="1" s="81">
      <c r="A42" s="124" t="n"/>
      <c r="B42" s="124" t="n"/>
      <c r="C42" s="131">
        <f>IFERROR(VLOOKUP(B42,Watchlist!$A$5:$AB$202,4,FALSE()),"")</f>
        <v/>
      </c>
      <c r="D42" s="132" t="n"/>
      <c r="E42" s="132" t="n"/>
      <c r="F42" s="124" t="n"/>
      <c r="G42" s="133" t="n"/>
      <c r="H42" s="133" t="n"/>
      <c r="I42" s="138" t="n"/>
      <c r="J42" s="134">
        <f>IF(AND(ISNUMBER(H42),ISNUMBER(F42),ISNUMBER(I42)),H42*F42*(1-I42),0)</f>
        <v/>
      </c>
      <c r="K42" s="134">
        <f>IF(ISNUMBER(G42),J42-G42,0)</f>
        <v/>
      </c>
      <c r="L42" s="137">
        <f>IF(AND(ISNUMBER(E42),ISNUMBER(D42)),E42-D42,0)</f>
        <v/>
      </c>
      <c r="M42" s="131">
        <f>IF(ISNUMBER(L42),IF(L42&gt;365,"LT","ST"),"")</f>
        <v/>
      </c>
      <c r="N42" s="124" t="n"/>
      <c r="O42" s="124" t="n"/>
    </row>
    <row r="43" ht="15" customHeight="1" s="81">
      <c r="A43" s="124" t="n"/>
      <c r="B43" s="124" t="n"/>
      <c r="C43" s="131">
        <f>IFERROR(VLOOKUP(B43,Watchlist!$A$5:$AB$202,4,FALSE()),"")</f>
        <v/>
      </c>
      <c r="D43" s="132" t="n"/>
      <c r="E43" s="132" t="n"/>
      <c r="F43" s="124" t="n"/>
      <c r="G43" s="133" t="n"/>
      <c r="H43" s="133" t="n"/>
      <c r="I43" s="138" t="n"/>
      <c r="J43" s="134">
        <f>IF(AND(ISNUMBER(H43),ISNUMBER(F43),ISNUMBER(I43)),H43*F43*(1-I43),0)</f>
        <v/>
      </c>
      <c r="K43" s="134">
        <f>IF(ISNUMBER(G43),J43-G43,0)</f>
        <v/>
      </c>
      <c r="L43" s="137">
        <f>IF(AND(ISNUMBER(E43),ISNUMBER(D43)),E43-D43,0)</f>
        <v/>
      </c>
      <c r="M43" s="131">
        <f>IF(ISNUMBER(L43),IF(L43&gt;365,"LT","ST"),"")</f>
        <v/>
      </c>
      <c r="N43" s="124" t="n"/>
      <c r="O43" s="124" t="n"/>
    </row>
    <row r="44" ht="15" customHeight="1" s="81">
      <c r="A44" s="124" t="n"/>
      <c r="B44" s="124" t="n"/>
      <c r="C44" s="131">
        <f>IFERROR(VLOOKUP(B44,Watchlist!$A$5:$AB$202,4,FALSE()),"")</f>
        <v/>
      </c>
      <c r="D44" s="132" t="n"/>
      <c r="E44" s="132" t="n"/>
      <c r="F44" s="124" t="n"/>
      <c r="G44" s="133" t="n"/>
      <c r="H44" s="133" t="n"/>
      <c r="I44" s="138" t="n"/>
      <c r="J44" s="134">
        <f>IF(AND(ISNUMBER(H44),ISNUMBER(F44),ISNUMBER(I44)),H44*F44*(1-I44),0)</f>
        <v/>
      </c>
      <c r="K44" s="134">
        <f>IF(ISNUMBER(G44),J44-G44,0)</f>
        <v/>
      </c>
      <c r="L44" s="137">
        <f>IF(AND(ISNUMBER(E44),ISNUMBER(D44)),E44-D44,0)</f>
        <v/>
      </c>
      <c r="M44" s="131">
        <f>IF(ISNUMBER(L44),IF(L44&gt;365,"LT","ST"),"")</f>
        <v/>
      </c>
      <c r="N44" s="124" t="n"/>
      <c r="O44" s="124" t="n"/>
    </row>
    <row r="45" ht="15" customHeight="1" s="81">
      <c r="A45" s="124" t="n"/>
      <c r="B45" s="124" t="n"/>
      <c r="C45" s="131">
        <f>IFERROR(VLOOKUP(B45,Watchlist!$A$5:$AB$202,4,FALSE()),"")</f>
        <v/>
      </c>
      <c r="D45" s="132" t="n"/>
      <c r="E45" s="132" t="n"/>
      <c r="F45" s="124" t="n"/>
      <c r="G45" s="133" t="n"/>
      <c r="H45" s="133" t="n"/>
      <c r="I45" s="138" t="n"/>
      <c r="J45" s="134">
        <f>IF(AND(ISNUMBER(H45),ISNUMBER(F45),ISNUMBER(I45)),H45*F45*(1-I45),0)</f>
        <v/>
      </c>
      <c r="K45" s="134">
        <f>IF(ISNUMBER(G45),J45-G45,0)</f>
        <v/>
      </c>
      <c r="L45" s="137">
        <f>IF(AND(ISNUMBER(E45),ISNUMBER(D45)),E45-D45,0)</f>
        <v/>
      </c>
      <c r="M45" s="131">
        <f>IF(ISNUMBER(L45),IF(L45&gt;365,"LT","ST"),"")</f>
        <v/>
      </c>
      <c r="N45" s="124" t="n"/>
      <c r="O45" s="124" t="n"/>
    </row>
  </sheetData>
  <mergeCells count="2">
    <mergeCell ref="A1:O1"/>
    <mergeCell ref="A2:O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1F2A44"/>
    <outlinePr summaryBelow="1" summaryRight="1"/>
    <pageSetUpPr fitToPage="0"/>
  </sheetPr>
  <dimension ref="B2:I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80" min="1" max="1"/>
    <col width="28" customWidth="1" style="80" min="2" max="2"/>
    <col width="14" customWidth="1" style="80" min="3" max="7"/>
    <col width="30" customWidth="1" style="80" min="8" max="8"/>
  </cols>
  <sheetData>
    <row r="2" ht="21.75" customHeight="1" s="81">
      <c r="B2" s="86" t="inlineStr">
        <is>
          <t>ALLOCATION &amp; REBALANCING</t>
        </is>
      </c>
    </row>
    <row r="3" ht="15" customHeight="1" s="81">
      <c r="B3" s="87" t="inlineStr">
        <is>
          <t>Yellow cells are inputs. ADD/TRIM/HOLD signals fire on 5% target deviation.</t>
        </is>
      </c>
    </row>
    <row r="5" ht="15" customHeight="1" s="81">
      <c r="B5" s="88" t="inlineStr">
        <is>
          <t>STARTING CAPITAL</t>
        </is>
      </c>
    </row>
    <row r="6" ht="15" customHeight="1" s="81">
      <c r="B6" s="104" t="inlineStr">
        <is>
          <t>Initial Capital</t>
        </is>
      </c>
      <c r="C6" s="105" t="n">
        <v>5000</v>
      </c>
    </row>
    <row r="7" ht="15" customHeight="1" s="81">
      <c r="B7" s="104" t="inlineStr">
        <is>
          <t>Monthly Contribution</t>
        </is>
      </c>
      <c r="C7" s="105" t="n">
        <v>1500</v>
      </c>
    </row>
    <row r="8" ht="15" customHeight="1" s="81">
      <c r="B8" s="104" t="inlineStr">
        <is>
          <t>Months Active</t>
        </is>
      </c>
      <c r="C8" s="107">
        <f>MAX(0,DATEDIF(DATE(2026,5,1),TODAY(),"m"))</f>
        <v/>
      </c>
    </row>
    <row r="9" ht="15" customHeight="1" s="81">
      <c r="B9" s="104" t="inlineStr">
        <is>
          <t>Total Deployed Target</t>
        </is>
      </c>
      <c r="C9" s="143">
        <f>C6+C7*C8</f>
        <v/>
      </c>
    </row>
    <row r="11" ht="15" customHeight="1" s="81">
      <c r="B11" s="88" t="inlineStr">
        <is>
          <t>TARGET ALLOCATION (Momentum-Lean Strategy)</t>
        </is>
      </c>
    </row>
    <row r="12" ht="26.25" customHeight="1" s="81">
      <c r="B12" s="91" t="inlineStr">
        <is>
          <t>Category</t>
        </is>
      </c>
      <c r="C12" s="91" t="inlineStr">
        <is>
          <t>Target %</t>
        </is>
      </c>
      <c r="D12" s="91" t="inlineStr">
        <is>
          <t>Target $</t>
        </is>
      </c>
      <c r="E12" s="91" t="inlineStr">
        <is>
          <t>Current $</t>
        </is>
      </c>
      <c r="F12" s="91" t="inlineStr">
        <is>
          <t>Current %</t>
        </is>
      </c>
      <c r="G12" s="91" t="inlineStr">
        <is>
          <t>Variance</t>
        </is>
      </c>
      <c r="H12" s="91" t="inlineStr">
        <is>
          <t>Action</t>
        </is>
      </c>
      <c r="I12" s="91" t="inlineStr">
        <is>
          <t>Strategy</t>
        </is>
      </c>
    </row>
    <row r="13" ht="124.5" customHeight="1" s="81">
      <c r="B13" s="89" t="inlineStr">
        <is>
          <t>Modern Chase PSA 10</t>
        </is>
      </c>
      <c r="C13" s="144" t="n">
        <v>0.4</v>
      </c>
      <c r="D13" s="93">
        <f>$C$9*C13</f>
        <v/>
      </c>
      <c r="E13" s="93">
        <f>SUMIFS(Inventory!K:K,Inventory!C:C,B13)</f>
        <v/>
      </c>
      <c r="F13" s="94">
        <f>IFERROR(E13/SUM($E$13:$E$17),0)</f>
        <v/>
      </c>
      <c r="G13" s="94">
        <f>F13-C13</f>
        <v/>
      </c>
      <c r="H13" s="110">
        <f>IF(G13&gt;0.05,"TRIM",IF(G13&lt;-0.05,"ADD","HOLD"))</f>
        <v/>
      </c>
      <c r="I13" s="102" t="inlineStr">
        <is>
          <t>Hot singles, raw-to-grade flips. Highest turnover. Where signals concentrate.</t>
        </is>
      </c>
    </row>
    <row r="14" ht="102" customHeight="1" s="81">
      <c r="B14" s="89" t="inlineStr">
        <is>
          <t>Sealed Modern</t>
        </is>
      </c>
      <c r="C14" s="144" t="n">
        <v>0.3</v>
      </c>
      <c r="D14" s="93">
        <f>$C$9*C14</f>
        <v/>
      </c>
      <c r="E14" s="93">
        <f>SUMIFS(Inventory!K:K,Inventory!C:C,B14)</f>
        <v/>
      </c>
      <c r="F14" s="94">
        <f>IFERROR(E14/SUM($E$13:$E$17),0)</f>
        <v/>
      </c>
      <c r="G14" s="94">
        <f>F14-C14</f>
        <v/>
      </c>
      <c r="H14" s="110">
        <f>IF(G14&gt;0.05,"TRIM",IF(G14&lt;-0.05,"ADD","HOLD"))</f>
        <v/>
      </c>
      <c r="I14" s="102" t="inlineStr">
        <is>
          <t>OOP sealed appreciation. Anchor positions for compounding.</t>
        </is>
      </c>
    </row>
    <row r="15" ht="68.25" customHeight="1" s="81">
      <c r="B15" s="89" t="inlineStr">
        <is>
          <t>Vintage Graded Singles</t>
        </is>
      </c>
      <c r="C15" s="144" t="n">
        <v>0.15</v>
      </c>
      <c r="D15" s="93">
        <f>$C$9*C15</f>
        <v/>
      </c>
      <c r="E15" s="93">
        <f>SUMIFS(Inventory!K:K,Inventory!C:C,B15)</f>
        <v/>
      </c>
      <c r="F15" s="94">
        <f>IFERROR(E15/SUM($E$13:$E$17),0)</f>
        <v/>
      </c>
      <c r="G15" s="94">
        <f>F15-C15</f>
        <v/>
      </c>
      <c r="H15" s="110">
        <f>IF(G15&gt;0.05,"TRIM",IF(G15&lt;-0.05,"ADD","HOLD"))</f>
        <v/>
      </c>
      <c r="I15" s="102" t="inlineStr">
        <is>
          <t>Blue chip exposure. PSA 9 WOTC + Gold Stars.</t>
        </is>
      </c>
    </row>
    <row r="16" ht="68.25" customHeight="1" s="81">
      <c r="B16" s="89" t="inlineStr">
        <is>
          <t>Grading Pipeline</t>
        </is>
      </c>
      <c r="C16" s="144" t="n">
        <v>0.1</v>
      </c>
      <c r="D16" s="93">
        <f>$C$9*C16</f>
        <v/>
      </c>
      <c r="E16" s="93">
        <f>SUMIFS(Inventory!K:K,Inventory!C:C,B16)</f>
        <v/>
      </c>
      <c r="F16" s="94">
        <f>IFERROR(E16/SUM($E$13:$E$17),0)</f>
        <v/>
      </c>
      <c r="G16" s="94">
        <f>F16-C16</f>
        <v/>
      </c>
      <c r="H16" s="110">
        <f>IF(G16&gt;0.05,"TRIM",IF(G16&lt;-0.05,"ADD","HOLD"))</f>
        <v/>
      </c>
      <c r="I16" s="102" t="inlineStr">
        <is>
          <t>Working capital. Raw cards in transit for grading.</t>
        </is>
      </c>
    </row>
    <row r="17" ht="57" customHeight="1" s="81">
      <c r="B17" s="89" t="inlineStr">
        <is>
          <t>Cash / Working Capital</t>
        </is>
      </c>
      <c r="C17" s="144" t="n">
        <v>0.05</v>
      </c>
      <c r="D17" s="93">
        <f>$C$9*C17</f>
        <v/>
      </c>
      <c r="E17" s="93">
        <f>SUMIFS(Inventory!K:K,Inventory!C:C,B17)</f>
        <v/>
      </c>
      <c r="F17" s="94">
        <f>IFERROR(E17/SUM($E$13:$E$17),0)</f>
        <v/>
      </c>
      <c r="G17" s="94">
        <f>F17-C17</f>
        <v/>
      </c>
      <c r="H17" s="110">
        <f>IF(G17&gt;0.05,"TRIM",IF(G17&lt;-0.05,"ADD","HOLD"))</f>
        <v/>
      </c>
      <c r="I17" s="102" t="inlineStr">
        <is>
          <t>Dry powder for dislocations.</t>
        </is>
      </c>
    </row>
  </sheetData>
  <mergeCells count="2">
    <mergeCell ref="B5:H5"/>
    <mergeCell ref="B11:H11"/>
  </mergeCells>
  <conditionalFormatting sqref="I13:I17">
    <cfRule type="expression" rank="0" priority="2" equalAverage="0" aboveAverage="0" dxfId="1" text="" percent="0" bottom="0">
      <formula>$I13="ADD"</formula>
    </cfRule>
    <cfRule type="expression" rank="0" priority="3" equalAverage="0" aboveAverage="0" dxfId="2" text="" percent="0" bottom="0">
      <formula>$I13="TRIM"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FF6B6B"/>
    <outlinePr summaryBelow="1" summaryRight="1"/>
    <pageSetUpPr fitToPage="0"/>
  </sheetPr>
  <dimension ref="B2:J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80" min="1" max="1"/>
    <col width="14" customWidth="1" style="80" min="2" max="2"/>
    <col width="28" customWidth="1" style="80" min="3" max="3"/>
    <col width="14" customWidth="1" style="80" min="4" max="9"/>
    <col width="40" customWidth="1" style="80" min="10" max="10"/>
  </cols>
  <sheetData>
    <row r="2" ht="21.75" customHeight="1" s="81">
      <c r="B2" s="86" t="inlineStr">
        <is>
          <t>COORDINATION — Two-Person Operation</t>
        </is>
      </c>
    </row>
    <row r="3" ht="15" customHeight="1" s="81">
      <c r="B3" s="87" t="inlineStr">
        <is>
          <t>Brandon + Brother shared workflow. Dibs system prevents bidding wars. Owner-level P&amp;L splits.</t>
        </is>
      </c>
    </row>
    <row r="5" ht="15" customHeight="1" s="81">
      <c r="B5" s="88" t="inlineStr">
        <is>
          <t>P&amp;L SPLIT BY OWNER</t>
        </is>
      </c>
    </row>
    <row r="6" ht="30" customHeight="1" s="81">
      <c r="B6" s="91" t="inlineStr">
        <is>
          <t>Owner</t>
        </is>
      </c>
      <c r="C6" s="91" t="inlineStr">
        <is>
          <t># Positions</t>
        </is>
      </c>
      <c r="D6" s="91" t="inlineStr">
        <is>
          <t>Total Cost</t>
        </is>
      </c>
      <c r="E6" s="91" t="inlineStr">
        <is>
          <t>Current Value</t>
        </is>
      </c>
      <c r="F6" s="91" t="inlineStr">
        <is>
          <t>Unrealized P&amp;L $</t>
        </is>
      </c>
      <c r="G6" s="91" t="inlineStr">
        <is>
          <t>Unrealized P&amp;L %</t>
        </is>
      </c>
      <c r="H6" s="91" t="inlineStr">
        <is>
          <t>Realized P&amp;L</t>
        </is>
      </c>
      <c r="I6" s="91" t="inlineStr">
        <is>
          <t>Combined P&amp;L</t>
        </is>
      </c>
    </row>
    <row r="7" ht="15" customHeight="1" s="81">
      <c r="B7" s="101" t="inlineStr">
        <is>
          <t>Brandon</t>
        </is>
      </c>
      <c r="C7" s="129">
        <f>COUNTIF(Inventory!R5:R58,B7)</f>
        <v/>
      </c>
      <c r="D7" s="93">
        <f>SUMIFS(Inventory!H5:H58,Inventory!R5:R58,B7)</f>
        <v/>
      </c>
      <c r="E7" s="93">
        <f>SUMIFS(Inventory!K5:K58,Inventory!R5:R58,B7)</f>
        <v/>
      </c>
      <c r="F7" s="93">
        <f>E7-D7</f>
        <v/>
      </c>
      <c r="G7" s="94">
        <f>IFERROR(F7/D7,0)</f>
        <v/>
      </c>
      <c r="H7" s="113" t="n">
        <v>0</v>
      </c>
      <c r="I7" s="93">
        <f>F7+H7</f>
        <v/>
      </c>
    </row>
    <row r="8" ht="15" customHeight="1" s="81">
      <c r="B8" s="101" t="inlineStr">
        <is>
          <t>Brother</t>
        </is>
      </c>
      <c r="C8" s="129">
        <f>COUNTIF(Inventory!R5:R58,B8)</f>
        <v/>
      </c>
      <c r="D8" s="93">
        <f>SUMIFS(Inventory!H5:H58,Inventory!R5:R58,B8)</f>
        <v/>
      </c>
      <c r="E8" s="93">
        <f>SUMIFS(Inventory!K5:K58,Inventory!R5:R58,B8)</f>
        <v/>
      </c>
      <c r="F8" s="93">
        <f>E8-D8</f>
        <v/>
      </c>
      <c r="G8" s="94">
        <f>IFERROR(F8/D8,0)</f>
        <v/>
      </c>
      <c r="H8" s="113" t="n">
        <v>0</v>
      </c>
      <c r="I8" s="93">
        <f>F8+H8</f>
        <v/>
      </c>
    </row>
    <row r="9" ht="15" customHeight="1" s="81">
      <c r="B9" s="101" t="inlineStr">
        <is>
          <t>Joint</t>
        </is>
      </c>
      <c r="C9" s="129">
        <f>COUNTIF(Inventory!R5:R58,B9)</f>
        <v/>
      </c>
      <c r="D9" s="93">
        <f>SUMIFS(Inventory!H5:H58,Inventory!R5:R58,B9)</f>
        <v/>
      </c>
      <c r="E9" s="93">
        <f>SUMIFS(Inventory!K5:K58,Inventory!R5:R58,B9)</f>
        <v/>
      </c>
      <c r="F9" s="93">
        <f>E9-D9</f>
        <v/>
      </c>
      <c r="G9" s="94">
        <f>IFERROR(F9/D9,0)</f>
        <v/>
      </c>
      <c r="H9" s="113" t="n">
        <v>0</v>
      </c>
      <c r="I9" s="93">
        <f>F9+H9</f>
        <v/>
      </c>
    </row>
    <row r="10" ht="15" customHeight="1" s="81">
      <c r="B10" s="145" t="inlineStr">
        <is>
          <t>TOTAL</t>
        </is>
      </c>
      <c r="C10" s="146">
        <f>SUM(C7:C9)</f>
        <v/>
      </c>
      <c r="D10" s="147">
        <f>SUM(D7:D9)</f>
        <v/>
      </c>
      <c r="E10" s="147">
        <f>SUM(E7:E9)</f>
        <v/>
      </c>
      <c r="F10" s="147">
        <f>SUM(F7:F9)</f>
        <v/>
      </c>
      <c r="G10" s="148">
        <f>SUM(G7:G9)</f>
        <v/>
      </c>
      <c r="H10" s="147">
        <f>SUM(H7:H9)</f>
        <v/>
      </c>
      <c r="I10" s="147">
        <f>SUM(I7:I9)</f>
        <v/>
      </c>
    </row>
    <row r="13" ht="15" customHeight="1" s="81">
      <c r="B13" s="88" t="inlineStr">
        <is>
          <t>DIBS — Active Pursuits (claim before bidding to prevent overlap)</t>
        </is>
      </c>
    </row>
    <row r="14" ht="30" customHeight="1" s="81">
      <c r="B14" s="91" t="inlineStr">
        <is>
          <t>CardID</t>
        </is>
      </c>
      <c r="C14" s="91" t="inlineStr">
        <is>
          <t>Card Name</t>
        </is>
      </c>
      <c r="D14" s="91" t="inlineStr">
        <is>
          <t>Claimed By</t>
        </is>
      </c>
      <c r="E14" s="91" t="inlineStr">
        <is>
          <t>Max Bid</t>
        </is>
      </c>
      <c r="F14" s="91" t="inlineStr">
        <is>
          <t>Source</t>
        </is>
      </c>
      <c r="G14" s="91" t="inlineStr">
        <is>
          <t>Auction Ends</t>
        </is>
      </c>
      <c r="H14" s="91" t="inlineStr">
        <is>
          <t>Status</t>
        </is>
      </c>
      <c r="I14" s="91" t="inlineStr">
        <is>
          <t>Notes</t>
        </is>
      </c>
    </row>
    <row r="15" ht="23.25" customHeight="1" s="81">
      <c r="B15" s="125" t="inlineStr">
        <is>
          <t>M001</t>
        </is>
      </c>
      <c r="C15" s="92">
        <f>IFERROR(VLOOKUP(B15,Watchlist!$A$5:$D$202,4,FALSE()),"")</f>
        <v/>
      </c>
      <c r="D15" s="125" t="inlineStr">
        <is>
          <t>Brandon</t>
        </is>
      </c>
      <c r="E15" s="113" t="n">
        <v>1200</v>
      </c>
      <c r="F15" s="125" t="inlineStr">
        <is>
          <t>eBay</t>
        </is>
      </c>
      <c r="G15" s="114" t="n">
        <v>46156</v>
      </c>
      <c r="H15" s="125" t="inlineStr">
        <is>
          <t>ACTIVE</t>
        </is>
      </c>
      <c r="I15" s="130" t="inlineStr">
        <is>
          <t>Watching 3 PSA 10 listings</t>
        </is>
      </c>
    </row>
    <row r="16" ht="34.5" customHeight="1" s="81">
      <c r="B16" s="125" t="inlineStr">
        <is>
          <t>S027</t>
        </is>
      </c>
      <c r="C16" s="92">
        <f>IFERROR(VLOOKUP(B16,Watchlist!$A$5:$D$202,4,FALSE()),"")</f>
        <v/>
      </c>
      <c r="D16" s="125" t="inlineStr">
        <is>
          <t>Brother</t>
        </is>
      </c>
      <c r="E16" s="113" t="n">
        <v>195</v>
      </c>
      <c r="F16" s="125" t="inlineStr">
        <is>
          <t>Whatnot</t>
        </is>
      </c>
      <c r="G16" s="114" t="n">
        <v>46155</v>
      </c>
      <c r="H16" s="125" t="inlineStr">
        <is>
          <t>ACTIVE</t>
        </is>
      </c>
      <c r="I16" s="130" t="inlineStr">
        <is>
          <t>Ascended Heroes BB live show 7PM</t>
        </is>
      </c>
    </row>
    <row r="17" ht="23.25" customHeight="1" s="81">
      <c r="B17" s="125" t="inlineStr">
        <is>
          <t>M078</t>
        </is>
      </c>
      <c r="C17" s="92">
        <f>IFERROR(VLOOKUP(B17,Watchlist!$A$5:$D$202,4,FALSE()),"")</f>
        <v/>
      </c>
      <c r="D17" s="125" t="inlineStr">
        <is>
          <t>Brandon</t>
        </is>
      </c>
      <c r="E17" s="113" t="n">
        <v>180</v>
      </c>
      <c r="F17" s="125" t="inlineStr">
        <is>
          <t>TCGPlayer</t>
        </is>
      </c>
      <c r="G17" s="114" t="n">
        <v>46157</v>
      </c>
      <c r="H17" s="125" t="inlineStr">
        <is>
          <t>WATCHLIST</t>
        </is>
      </c>
      <c r="I17" s="130" t="inlineStr">
        <is>
          <t>Waiting for Lillie SIR PSA 10 dip</t>
        </is>
      </c>
    </row>
    <row r="18" ht="15" customHeight="1" s="81">
      <c r="B18" s="125" t="n"/>
      <c r="C18" s="92">
        <f>IFERROR(VLOOKUP(B18,Watchlist!$A$5:$D$202,4,FALSE()),"")</f>
        <v/>
      </c>
      <c r="D18" s="125" t="n"/>
      <c r="E18" s="113" t="n"/>
      <c r="F18" s="125" t="n"/>
      <c r="G18" s="114" t="n"/>
      <c r="H18" s="125" t="n"/>
      <c r="I18" s="130" t="n"/>
    </row>
    <row r="19" ht="15" customHeight="1" s="81">
      <c r="B19" s="125" t="n"/>
      <c r="C19" s="92">
        <f>IFERROR(VLOOKUP(B19,Watchlist!$A$5:$D$202,4,FALSE()),"")</f>
        <v/>
      </c>
      <c r="D19" s="125" t="n"/>
      <c r="E19" s="113" t="n"/>
      <c r="F19" s="125" t="n"/>
      <c r="G19" s="114" t="n"/>
      <c r="H19" s="125" t="n"/>
      <c r="I19" s="130" t="n"/>
    </row>
    <row r="20" ht="15" customHeight="1" s="81">
      <c r="B20" s="125" t="n"/>
      <c r="C20" s="92">
        <f>IFERROR(VLOOKUP(B20,Watchlist!$A$5:$D$202,4,FALSE()),"")</f>
        <v/>
      </c>
      <c r="D20" s="125" t="n"/>
      <c r="E20" s="113" t="n"/>
      <c r="F20" s="125" t="n"/>
      <c r="G20" s="114" t="n"/>
      <c r="H20" s="125" t="n"/>
      <c r="I20" s="130" t="n"/>
    </row>
    <row r="21" ht="15" customHeight="1" s="81">
      <c r="B21" s="125" t="n"/>
      <c r="C21" s="92">
        <f>IFERROR(VLOOKUP(B21,Watchlist!$A$5:$D$202,4,FALSE()),"")</f>
        <v/>
      </c>
      <c r="D21" s="125" t="n"/>
      <c r="E21" s="113" t="n"/>
      <c r="F21" s="125" t="n"/>
      <c r="G21" s="114" t="n"/>
      <c r="H21" s="125" t="n"/>
      <c r="I21" s="130" t="n"/>
    </row>
    <row r="22" ht="15" customHeight="1" s="81">
      <c r="B22" s="125" t="n"/>
      <c r="C22" s="92">
        <f>IFERROR(VLOOKUP(B22,Watchlist!$A$5:$D$202,4,FALSE()),"")</f>
        <v/>
      </c>
      <c r="D22" s="125" t="n"/>
      <c r="E22" s="113" t="n"/>
      <c r="F22" s="125" t="n"/>
      <c r="G22" s="114" t="n"/>
      <c r="H22" s="125" t="n"/>
      <c r="I22" s="130" t="n"/>
    </row>
    <row r="23" ht="15" customHeight="1" s="81">
      <c r="B23" s="125" t="n"/>
      <c r="C23" s="92">
        <f>IFERROR(VLOOKUP(B23,Watchlist!$A$5:$D$202,4,FALSE()),"")</f>
        <v/>
      </c>
      <c r="D23" s="125" t="n"/>
      <c r="E23" s="113" t="n"/>
      <c r="F23" s="125" t="n"/>
      <c r="G23" s="114" t="n"/>
      <c r="H23" s="125" t="n"/>
      <c r="I23" s="130" t="n"/>
    </row>
    <row r="24" ht="15" customHeight="1" s="81">
      <c r="B24" s="125" t="n"/>
      <c r="C24" s="92">
        <f>IFERROR(VLOOKUP(B24,Watchlist!$A$5:$D$202,4,FALSE()),"")</f>
        <v/>
      </c>
      <c r="D24" s="125" t="n"/>
      <c r="E24" s="113" t="n"/>
      <c r="F24" s="125" t="n"/>
      <c r="G24" s="114" t="n"/>
      <c r="H24" s="125" t="n"/>
      <c r="I24" s="130" t="n"/>
    </row>
    <row r="25" ht="15" customHeight="1" s="81">
      <c r="B25" s="125" t="n"/>
      <c r="C25" s="92">
        <f>IFERROR(VLOOKUP(B25,Watchlist!$A$5:$D$202,4,FALSE()),"")</f>
        <v/>
      </c>
      <c r="D25" s="125" t="n"/>
      <c r="E25" s="113" t="n"/>
      <c r="F25" s="125" t="n"/>
      <c r="G25" s="114" t="n"/>
      <c r="H25" s="125" t="n"/>
      <c r="I25" s="130" t="n"/>
    </row>
    <row r="26" ht="15" customHeight="1" s="81">
      <c r="B26" s="125" t="n"/>
      <c r="C26" s="92">
        <f>IFERROR(VLOOKUP(B26,Watchlist!$A$5:$D$202,4,FALSE()),"")</f>
        <v/>
      </c>
      <c r="D26" s="125" t="n"/>
      <c r="E26" s="113" t="n"/>
      <c r="F26" s="125" t="n"/>
      <c r="G26" s="114" t="n"/>
      <c r="H26" s="125" t="n"/>
      <c r="I26" s="130" t="n"/>
    </row>
    <row r="27" ht="15" customHeight="1" s="81">
      <c r="B27" s="125" t="n"/>
      <c r="C27" s="92">
        <f>IFERROR(VLOOKUP(B27,Watchlist!$A$5:$D$202,4,FALSE()),"")</f>
        <v/>
      </c>
      <c r="D27" s="125" t="n"/>
      <c r="E27" s="113" t="n"/>
      <c r="F27" s="125" t="n"/>
      <c r="G27" s="114" t="n"/>
      <c r="H27" s="125" t="n"/>
      <c r="I27" s="130" t="n"/>
    </row>
    <row r="28" ht="15" customHeight="1" s="81">
      <c r="B28" s="125" t="n"/>
      <c r="C28" s="92">
        <f>IFERROR(VLOOKUP(B28,Watchlist!$A$5:$D$202,4,FALSE()),"")</f>
        <v/>
      </c>
      <c r="D28" s="125" t="n"/>
      <c r="E28" s="113" t="n"/>
      <c r="F28" s="125" t="n"/>
      <c r="G28" s="114" t="n"/>
      <c r="H28" s="125" t="n"/>
      <c r="I28" s="130" t="n"/>
    </row>
    <row r="29" ht="15" customHeight="1" s="81">
      <c r="B29" s="125" t="n"/>
      <c r="C29" s="92">
        <f>IFERROR(VLOOKUP(B29,Watchlist!$A$5:$D$202,4,FALSE()),"")</f>
        <v/>
      </c>
      <c r="D29" s="125" t="n"/>
      <c r="E29" s="113" t="n"/>
      <c r="F29" s="125" t="n"/>
      <c r="G29" s="114" t="n"/>
      <c r="H29" s="125" t="n"/>
      <c r="I29" s="130" t="n"/>
    </row>
    <row r="30" ht="15" customHeight="1" s="81">
      <c r="B30" s="125" t="n"/>
      <c r="C30" s="92">
        <f>IFERROR(VLOOKUP(B30,Watchlist!$A$5:$D$202,4,FALSE()),"")</f>
        <v/>
      </c>
      <c r="D30" s="125" t="n"/>
      <c r="E30" s="113" t="n"/>
      <c r="F30" s="125" t="n"/>
      <c r="G30" s="114" t="n"/>
      <c r="H30" s="125" t="n"/>
      <c r="I30" s="130" t="n"/>
    </row>
    <row r="31" ht="15" customHeight="1" s="81">
      <c r="B31" s="125" t="n"/>
      <c r="C31" s="92">
        <f>IFERROR(VLOOKUP(B31,Watchlist!$A$5:$D$202,4,FALSE()),"")</f>
        <v/>
      </c>
      <c r="D31" s="125" t="n"/>
      <c r="E31" s="113" t="n"/>
      <c r="F31" s="125" t="n"/>
      <c r="G31" s="114" t="n"/>
      <c r="H31" s="125" t="n"/>
      <c r="I31" s="130" t="n"/>
    </row>
    <row r="32" ht="15" customHeight="1" s="81">
      <c r="B32" s="125" t="n"/>
      <c r="C32" s="92">
        <f>IFERROR(VLOOKUP(B32,Watchlist!$A$5:$D$202,4,FALSE()),"")</f>
        <v/>
      </c>
      <c r="D32" s="125" t="n"/>
      <c r="E32" s="113" t="n"/>
      <c r="F32" s="125" t="n"/>
      <c r="G32" s="114" t="n"/>
      <c r="H32" s="125" t="n"/>
      <c r="I32" s="130" t="n"/>
    </row>
    <row r="33" ht="15" customHeight="1" s="81">
      <c r="B33" s="125" t="n"/>
      <c r="C33" s="92">
        <f>IFERROR(VLOOKUP(B33,Watchlist!$A$5:$D$202,4,FALSE()),"")</f>
        <v/>
      </c>
      <c r="D33" s="125" t="n"/>
      <c r="E33" s="113" t="n"/>
      <c r="F33" s="125" t="n"/>
      <c r="G33" s="114" t="n"/>
      <c r="H33" s="125" t="n"/>
      <c r="I33" s="130" t="n"/>
    </row>
    <row r="34" ht="15" customHeight="1" s="81">
      <c r="B34" s="125" t="n"/>
      <c r="C34" s="92">
        <f>IFERROR(VLOOKUP(B34,Watchlist!$A$5:$D$202,4,FALSE()),"")</f>
        <v/>
      </c>
      <c r="D34" s="125" t="n"/>
      <c r="E34" s="113" t="n"/>
      <c r="F34" s="125" t="n"/>
      <c r="G34" s="114" t="n"/>
      <c r="H34" s="125" t="n"/>
      <c r="I34" s="130" t="n"/>
    </row>
    <row r="37" ht="15" customHeight="1" s="81">
      <c r="B37" s="88" t="inlineStr">
        <is>
          <t>SOURCING LEADS — Card shops, meets, eBay sellers worth tracking</t>
        </is>
      </c>
    </row>
    <row r="38" ht="27.75" customHeight="1" s="81">
      <c r="B38" s="91" t="inlineStr">
        <is>
          <t>Source Name</t>
        </is>
      </c>
      <c r="C38" s="91" t="inlineStr">
        <is>
          <t>Type</t>
        </is>
      </c>
      <c r="D38" s="91" t="inlineStr">
        <is>
          <t>Location</t>
        </is>
      </c>
      <c r="E38" s="91" t="inlineStr">
        <is>
          <t>Specialty</t>
        </is>
      </c>
      <c r="F38" s="91" t="inlineStr">
        <is>
          <t>Last Visit</t>
        </is>
      </c>
      <c r="G38" s="91" t="inlineStr">
        <is>
          <t>Best Deal Found</t>
        </is>
      </c>
      <c r="H38" s="91" t="inlineStr">
        <is>
          <t>Rating (1-5)</t>
        </is>
      </c>
      <c r="I38" s="91" t="inlineStr">
        <is>
          <t>Notes</t>
        </is>
      </c>
    </row>
    <row r="39" ht="45.75" customHeight="1" s="81">
      <c r="B39" s="149" t="inlineStr">
        <is>
          <t>Frank &amp; Son Collectibles</t>
        </is>
      </c>
      <c r="C39" s="149" t="inlineStr">
        <is>
          <t>Card Show</t>
        </is>
      </c>
      <c r="D39" s="149" t="inlineStr">
        <is>
          <t>City of Industry CA</t>
        </is>
      </c>
      <c r="E39" s="149" t="inlineStr">
        <is>
          <t>Vintage WOTC</t>
        </is>
      </c>
      <c r="F39" s="114" t="n">
        <v>46139</v>
      </c>
      <c r="G39" s="149" t="inlineStr">
        <is>
          <t>ES BB $260</t>
        </is>
      </c>
      <c r="H39" s="125" t="n">
        <v>5</v>
      </c>
      <c r="I39" s="130" t="inlineStr">
        <is>
          <t>Sun 9AM-3PM. Best So Cal show. Cash deals.</t>
        </is>
      </c>
    </row>
    <row r="40" ht="34.5" customHeight="1" s="81">
      <c r="B40" s="149" t="inlineStr">
        <is>
          <t>Trade-N-Games</t>
        </is>
      </c>
      <c r="C40" s="149" t="inlineStr">
        <is>
          <t>LCS</t>
        </is>
      </c>
      <c r="D40" s="149" t="inlineStr">
        <is>
          <t>Anaheim CA</t>
        </is>
      </c>
      <c r="E40" s="149" t="inlineStr">
        <is>
          <t>Modern sealed</t>
        </is>
      </c>
      <c r="F40" s="114" t="n">
        <v>46132</v>
      </c>
      <c r="G40" s="149" t="inlineStr">
        <is>
          <t>PE ETB $155</t>
        </is>
      </c>
      <c r="H40" s="125" t="n">
        <v>4</v>
      </c>
      <c r="I40" s="130" t="inlineStr">
        <is>
          <t>Owner Jim runs Whatnot Wed. Pre-text first.</t>
        </is>
      </c>
    </row>
    <row r="41" ht="45.75" customHeight="1" s="81">
      <c r="B41" s="149" t="inlineStr">
        <is>
          <t>Pokemon Card Hunters LA</t>
        </is>
      </c>
      <c r="C41" s="149" t="inlineStr">
        <is>
          <t>Meet</t>
        </is>
      </c>
      <c r="D41" s="149" t="inlineStr">
        <is>
          <t>Pasadena CA</t>
        </is>
      </c>
      <c r="E41" s="149" t="inlineStr">
        <is>
          <t>Singles/trades</t>
        </is>
      </c>
      <c r="F41" s="114" t="n"/>
      <c r="G41" s="149" t="n"/>
      <c r="H41" s="125" t="n">
        <v>4</v>
      </c>
      <c r="I41" s="130" t="inlineStr">
        <is>
          <t>Sat morning Pasadena Convention Center.</t>
        </is>
      </c>
    </row>
    <row r="42" ht="34.5" customHeight="1" s="81">
      <c r="B42" s="149" t="inlineStr">
        <is>
          <t>PWCC Weekly Auctions</t>
        </is>
      </c>
      <c r="C42" s="149" t="inlineStr">
        <is>
          <t>Online</t>
        </is>
      </c>
      <c r="D42" s="149" t="inlineStr">
        <is>
          <t>—</t>
        </is>
      </c>
      <c r="E42" s="149" t="inlineStr">
        <is>
          <t>All tiers</t>
        </is>
      </c>
      <c r="F42" s="114" t="n"/>
      <c r="G42" s="149" t="n"/>
      <c r="H42" s="125" t="n">
        <v>5</v>
      </c>
      <c r="I42" s="130" t="inlineStr">
        <is>
          <t>Wed evening closes. Stack of vintage PSA 9s.</t>
        </is>
      </c>
    </row>
    <row r="43" ht="34.5" customHeight="1" s="81">
      <c r="B43" s="149" t="inlineStr">
        <is>
          <t>Whatnot - PokeRippa</t>
        </is>
      </c>
      <c r="C43" s="149" t="inlineStr">
        <is>
          <t>Live stream</t>
        </is>
      </c>
      <c r="D43" s="149" t="inlineStr">
        <is>
          <t>Online</t>
        </is>
      </c>
      <c r="E43" s="149" t="inlineStr">
        <is>
          <t>PSA modern</t>
        </is>
      </c>
      <c r="F43" s="114" t="n"/>
      <c r="G43" s="149" t="n"/>
      <c r="H43" s="125" t="n">
        <v>4</v>
      </c>
      <c r="I43" s="130" t="inlineStr">
        <is>
          <t>Tue/Thu 8PM PT. Aggressive bid pacing.</t>
        </is>
      </c>
    </row>
    <row r="44" ht="15" customHeight="1" s="81">
      <c r="B44" s="124" t="n"/>
      <c r="C44" s="124" t="n"/>
      <c r="D44" s="124" t="n"/>
      <c r="E44" s="124" t="n"/>
      <c r="F44" s="124" t="n"/>
      <c r="G44" s="124" t="n"/>
      <c r="H44" s="124" t="n"/>
      <c r="I44" s="124" t="n"/>
    </row>
    <row r="45" ht="15" customHeight="1" s="81">
      <c r="B45" s="124" t="n"/>
      <c r="C45" s="124" t="n"/>
      <c r="D45" s="124" t="n"/>
      <c r="E45" s="124" t="n"/>
      <c r="F45" s="124" t="n"/>
      <c r="G45" s="124" t="n"/>
      <c r="H45" s="124" t="n"/>
      <c r="I45" s="124" t="n"/>
    </row>
    <row r="46" ht="15" customHeight="1" s="81">
      <c r="B46" s="124" t="n"/>
      <c r="C46" s="124" t="n"/>
      <c r="D46" s="124" t="n"/>
      <c r="E46" s="124" t="n"/>
      <c r="F46" s="124" t="n"/>
      <c r="G46" s="124" t="n"/>
      <c r="H46" s="124" t="n"/>
      <c r="I46" s="124" t="n"/>
    </row>
    <row r="47" ht="15" customHeight="1" s="81">
      <c r="B47" s="124" t="n"/>
      <c r="C47" s="124" t="n"/>
      <c r="D47" s="124" t="n"/>
      <c r="E47" s="124" t="n"/>
      <c r="F47" s="124" t="n"/>
      <c r="G47" s="124" t="n"/>
      <c r="H47" s="124" t="n"/>
      <c r="I47" s="124" t="n"/>
    </row>
    <row r="48" ht="15" customHeight="1" s="81">
      <c r="B48" s="124" t="n"/>
      <c r="C48" s="124" t="n"/>
      <c r="D48" s="124" t="n"/>
      <c r="E48" s="124" t="n"/>
      <c r="F48" s="124" t="n"/>
      <c r="G48" s="124" t="n"/>
      <c r="H48" s="124" t="n"/>
      <c r="I48" s="124" t="n"/>
    </row>
    <row r="49" ht="15" customHeight="1" s="81">
      <c r="B49" s="124" t="n"/>
      <c r="C49" s="124" t="n"/>
      <c r="D49" s="124" t="n"/>
      <c r="E49" s="124" t="n"/>
      <c r="F49" s="124" t="n"/>
      <c r="G49" s="124" t="n"/>
      <c r="H49" s="124" t="n"/>
      <c r="I49" s="124" t="n"/>
    </row>
    <row r="50" ht="15" customHeight="1" s="81">
      <c r="B50" s="124" t="n"/>
      <c r="C50" s="124" t="n"/>
      <c r="D50" s="124" t="n"/>
      <c r="E50" s="124" t="n"/>
      <c r="F50" s="124" t="n"/>
      <c r="G50" s="124" t="n"/>
      <c r="H50" s="124" t="n"/>
      <c r="I50" s="124" t="n"/>
    </row>
    <row r="53" ht="15" customHeight="1" s="81">
      <c r="B53" s="88" t="inlineStr">
        <is>
          <t>WEEKLY OPS MEETING TEMPLATE (15 min Sun evening)</t>
        </is>
      </c>
    </row>
    <row r="54" ht="15" customHeight="1" s="81">
      <c r="B54" s="150" t="inlineStr">
        <is>
          <t>1. Review Weekly Buy List — agree on top 3 deploys this week (split by buyer)</t>
        </is>
      </c>
    </row>
    <row r="55" ht="15" customHeight="1" s="81">
      <c r="B55" s="150" t="inlineStr">
        <is>
          <t>2. Check Dibs — confirm no overlap; reassign if conflict</t>
        </is>
      </c>
    </row>
    <row r="56" ht="15" customHeight="1" s="81">
      <c r="B56" s="150" t="inlineStr">
        <is>
          <t>3. Inventory check — any positions to TRIM or take profits this week?</t>
        </is>
      </c>
    </row>
    <row r="57" ht="15" customHeight="1" s="81">
      <c r="B57" s="150" t="inlineStr">
        <is>
          <t>4. Grading Pipeline — anything submitted? Anything coming back?</t>
        </is>
      </c>
    </row>
    <row r="58" ht="15" customHeight="1" s="81">
      <c r="B58" s="150" t="inlineStr">
        <is>
          <t>5. Card shops calendar — who's hitting Frank &amp; Son / LCS Saturday?</t>
        </is>
      </c>
    </row>
    <row r="59" ht="15" customHeight="1" s="81">
      <c r="B59" s="150" t="inlineStr">
        <is>
          <t>6. Cash position — both contributed weekly $? Bank reconciliation?</t>
        </is>
      </c>
    </row>
    <row r="60" ht="15" customHeight="1" s="81">
      <c r="B60" s="150" t="inlineStr">
        <is>
          <t>7. Wins/losses last week — debrief any sales over $200 P&amp;L</t>
        </is>
      </c>
    </row>
    <row r="61" ht="15" customHeight="1" s="81">
      <c r="B61" s="150" t="inlineStr">
        <is>
          <t>8. Next 7 days schedule — auctions, meets, shipments</t>
        </is>
      </c>
    </row>
  </sheetData>
  <mergeCells count="12">
    <mergeCell ref="B59:J59"/>
    <mergeCell ref="B5:J5"/>
    <mergeCell ref="B37:J37"/>
    <mergeCell ref="B61:J61"/>
    <mergeCell ref="B60:J60"/>
    <mergeCell ref="B56:J56"/>
    <mergeCell ref="B57:J57"/>
    <mergeCell ref="B53:J53"/>
    <mergeCell ref="B58:J58"/>
    <mergeCell ref="B13:J13"/>
    <mergeCell ref="B55:J55"/>
    <mergeCell ref="B54:J54"/>
  </mergeCells>
  <conditionalFormatting sqref="I15:I34">
    <cfRule type="expression" rank="0" priority="2" equalAverage="0" aboveAverage="0" dxfId="1" text="" percent="0" bottom="0">
      <formula>$I15="ACTIVE"</formula>
    </cfRule>
    <cfRule type="expression" rank="0" priority="3" equalAverage="0" aboveAverage="0" dxfId="3" text="" percent="0" bottom="0">
      <formula>$I15="WATCHLIST"</formula>
    </cfRule>
    <cfRule type="expression" rank="0" priority="4" equalAverage="0" aboveAverage="0" dxfId="1" text="" percent="0" bottom="0">
      <formula>$I15="WON"</formula>
    </cfRule>
    <cfRule type="expression" rank="0" priority="5" equalAverage="0" aboveAverage="0" dxfId="2" text="" percent="0" bottom="0">
      <formula>$I15="LOST"</formula>
    </cfRule>
    <cfRule type="expression" rank="0" priority="6" equalAverage="0" aboveAverage="0" dxfId="15" text="" percent="0" bottom="0">
      <formula>$I15="DROPPED"</formula>
    </cfRule>
  </conditionalFormatting>
  <conditionalFormatting sqref="D15:D34">
    <cfRule type="expression" rank="0" priority="7" equalAverage="0" aboveAverage="0" dxfId="13" text="" percent="0" bottom="0">
      <formula>$D15="Brandon"</formula>
    </cfRule>
    <cfRule type="expression" rank="0" priority="8" equalAverage="0" aboveAverage="0" dxfId="14" text="" percent="0" bottom="0">
      <formula>$D15="Brother"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9C7B5B"/>
    <outlinePr summaryBelow="1" summaryRight="1"/>
    <pageSetUpPr fitToPage="0"/>
  </sheetPr>
  <dimension ref="A1:MB3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80" min="1" max="1"/>
    <col width="10" customWidth="1" style="80" min="2" max="199"/>
    <col width="10" customWidth="1" style="80" min="200" max="340"/>
  </cols>
  <sheetData>
    <row r="1" ht="21.75" customHeight="1" s="81">
      <c r="A1" s="86" t="inlineStr">
        <is>
          <t>PRICE HISTORY — 90 Day Baseline + Refresh Append</t>
        </is>
      </c>
    </row>
    <row r="2" ht="15" customHeight="1" s="81">
      <c r="A2" s="87" t="inlineStr">
        <is>
          <t>Each refresh appends a new row. Used by Watchlist trend formulas (7D / 30D / 90D % change).</t>
        </is>
      </c>
    </row>
    <row r="4" ht="15" customHeight="1" s="81">
      <c r="A4" s="91" t="inlineStr">
        <is>
          <t>Date</t>
        </is>
      </c>
      <c r="B4" s="91" t="inlineStr">
        <is>
          <t>V001</t>
        </is>
      </c>
      <c r="C4" s="91" t="inlineStr">
        <is>
          <t>V002</t>
        </is>
      </c>
      <c r="D4" s="91" t="inlineStr">
        <is>
          <t>V003</t>
        </is>
      </c>
      <c r="E4" s="91" t="inlineStr">
        <is>
          <t>V004</t>
        </is>
      </c>
      <c r="F4" s="91" t="inlineStr">
        <is>
          <t>V005</t>
        </is>
      </c>
      <c r="G4" s="91" t="inlineStr">
        <is>
          <t>V006</t>
        </is>
      </c>
      <c r="H4" s="91" t="inlineStr">
        <is>
          <t>V007</t>
        </is>
      </c>
      <c r="I4" s="91" t="inlineStr">
        <is>
          <t>V008</t>
        </is>
      </c>
      <c r="J4" s="91" t="inlineStr">
        <is>
          <t>V009</t>
        </is>
      </c>
      <c r="K4" s="91" t="inlineStr">
        <is>
          <t>V010</t>
        </is>
      </c>
      <c r="L4" s="91" t="inlineStr">
        <is>
          <t>V011</t>
        </is>
      </c>
      <c r="M4" s="91" t="inlineStr">
        <is>
          <t>V012</t>
        </is>
      </c>
      <c r="N4" s="91" t="inlineStr">
        <is>
          <t>V013</t>
        </is>
      </c>
      <c r="O4" s="91" t="inlineStr">
        <is>
          <t>V014</t>
        </is>
      </c>
      <c r="P4" s="91" t="inlineStr">
        <is>
          <t>V015</t>
        </is>
      </c>
      <c r="Q4" s="91" t="inlineStr">
        <is>
          <t>V016</t>
        </is>
      </c>
      <c r="R4" s="91" t="inlineStr">
        <is>
          <t>V017</t>
        </is>
      </c>
      <c r="S4" s="91" t="inlineStr">
        <is>
          <t>V018</t>
        </is>
      </c>
      <c r="T4" s="91" t="inlineStr">
        <is>
          <t>V019</t>
        </is>
      </c>
      <c r="U4" s="91" t="inlineStr">
        <is>
          <t>V020</t>
        </is>
      </c>
      <c r="V4" s="91" t="inlineStr">
        <is>
          <t>V021</t>
        </is>
      </c>
      <c r="W4" s="91" t="inlineStr">
        <is>
          <t>V022</t>
        </is>
      </c>
      <c r="X4" s="91" t="inlineStr">
        <is>
          <t>V023</t>
        </is>
      </c>
      <c r="Y4" s="91" t="inlineStr">
        <is>
          <t>V024</t>
        </is>
      </c>
      <c r="Z4" s="91" t="inlineStr">
        <is>
          <t>V025</t>
        </is>
      </c>
      <c r="AA4" s="91" t="inlineStr">
        <is>
          <t>V026</t>
        </is>
      </c>
      <c r="AB4" s="91" t="inlineStr">
        <is>
          <t>V027</t>
        </is>
      </c>
      <c r="AC4" s="91" t="inlineStr">
        <is>
          <t>V028</t>
        </is>
      </c>
      <c r="AD4" s="91" t="inlineStr">
        <is>
          <t>V029</t>
        </is>
      </c>
      <c r="AE4" s="91" t="inlineStr">
        <is>
          <t>V030</t>
        </is>
      </c>
      <c r="AF4" s="91" t="inlineStr">
        <is>
          <t>V031</t>
        </is>
      </c>
      <c r="AG4" s="91" t="inlineStr">
        <is>
          <t>V032</t>
        </is>
      </c>
      <c r="AH4" s="91" t="inlineStr">
        <is>
          <t>V033</t>
        </is>
      </c>
      <c r="AI4" s="91" t="inlineStr">
        <is>
          <t>V034</t>
        </is>
      </c>
      <c r="AJ4" s="91" t="inlineStr">
        <is>
          <t>V035</t>
        </is>
      </c>
      <c r="AK4" s="91" t="inlineStr">
        <is>
          <t>M001</t>
        </is>
      </c>
      <c r="AL4" s="91" t="inlineStr">
        <is>
          <t>M002</t>
        </is>
      </c>
      <c r="AM4" s="91" t="inlineStr">
        <is>
          <t>M003</t>
        </is>
      </c>
      <c r="AN4" s="91" t="inlineStr">
        <is>
          <t>M004</t>
        </is>
      </c>
      <c r="AO4" s="91" t="inlineStr">
        <is>
          <t>M005</t>
        </is>
      </c>
      <c r="AP4" s="91" t="inlineStr">
        <is>
          <t>M006</t>
        </is>
      </c>
      <c r="AQ4" s="91" t="inlineStr">
        <is>
          <t>M007</t>
        </is>
      </c>
      <c r="AR4" s="91" t="inlineStr">
        <is>
          <t>M008</t>
        </is>
      </c>
      <c r="AS4" s="91" t="inlineStr">
        <is>
          <t>M009</t>
        </is>
      </c>
      <c r="AT4" s="91" t="inlineStr">
        <is>
          <t>M010</t>
        </is>
      </c>
      <c r="AU4" s="91" t="inlineStr">
        <is>
          <t>M011</t>
        </is>
      </c>
      <c r="AV4" s="91" t="inlineStr">
        <is>
          <t>M012</t>
        </is>
      </c>
      <c r="AW4" s="91" t="inlineStr">
        <is>
          <t>M013</t>
        </is>
      </c>
      <c r="AX4" s="91" t="inlineStr">
        <is>
          <t>M014</t>
        </is>
      </c>
      <c r="AY4" s="91" t="inlineStr">
        <is>
          <t>M015</t>
        </is>
      </c>
      <c r="AZ4" s="91" t="inlineStr">
        <is>
          <t>M016</t>
        </is>
      </c>
      <c r="BA4" s="91" t="inlineStr">
        <is>
          <t>M017</t>
        </is>
      </c>
      <c r="BB4" s="91" t="inlineStr">
        <is>
          <t>M018</t>
        </is>
      </c>
      <c r="BC4" s="91" t="inlineStr">
        <is>
          <t>M019</t>
        </is>
      </c>
      <c r="BD4" s="91" t="inlineStr">
        <is>
          <t>M020</t>
        </is>
      </c>
      <c r="BE4" s="91" t="inlineStr">
        <is>
          <t>M021</t>
        </is>
      </c>
      <c r="BF4" s="91" t="inlineStr">
        <is>
          <t>M022</t>
        </is>
      </c>
      <c r="BG4" s="91" t="inlineStr">
        <is>
          <t>M023</t>
        </is>
      </c>
      <c r="BH4" s="91" t="inlineStr">
        <is>
          <t>M024</t>
        </is>
      </c>
      <c r="BI4" s="91" t="inlineStr">
        <is>
          <t>M025</t>
        </is>
      </c>
      <c r="BJ4" s="91" t="inlineStr">
        <is>
          <t>M026</t>
        </is>
      </c>
      <c r="BK4" s="91" t="inlineStr">
        <is>
          <t>M027</t>
        </is>
      </c>
      <c r="BL4" s="91" t="inlineStr">
        <is>
          <t>M028</t>
        </is>
      </c>
      <c r="BM4" s="91" t="inlineStr">
        <is>
          <t>M029</t>
        </is>
      </c>
      <c r="BN4" s="91" t="inlineStr">
        <is>
          <t>M030</t>
        </is>
      </c>
      <c r="BO4" s="91" t="inlineStr">
        <is>
          <t>M031</t>
        </is>
      </c>
      <c r="BP4" s="91" t="inlineStr">
        <is>
          <t>M032</t>
        </is>
      </c>
      <c r="BQ4" s="91" t="inlineStr">
        <is>
          <t>M033</t>
        </is>
      </c>
      <c r="BR4" s="91" t="inlineStr">
        <is>
          <t>M034</t>
        </is>
      </c>
      <c r="BS4" s="91" t="inlineStr">
        <is>
          <t>M035</t>
        </is>
      </c>
      <c r="BT4" s="91" t="inlineStr">
        <is>
          <t>M036</t>
        </is>
      </c>
      <c r="BU4" s="91" t="inlineStr">
        <is>
          <t>M037</t>
        </is>
      </c>
      <c r="BV4" s="91" t="inlineStr">
        <is>
          <t>M038</t>
        </is>
      </c>
      <c r="BW4" s="91" t="inlineStr">
        <is>
          <t>M039</t>
        </is>
      </c>
      <c r="BX4" s="91" t="inlineStr">
        <is>
          <t>M040</t>
        </is>
      </c>
      <c r="BY4" s="91" t="inlineStr">
        <is>
          <t>M041</t>
        </is>
      </c>
      <c r="BZ4" s="91" t="inlineStr">
        <is>
          <t>M042</t>
        </is>
      </c>
      <c r="CA4" s="91" t="inlineStr">
        <is>
          <t>M043</t>
        </is>
      </c>
      <c r="CB4" s="91" t="inlineStr">
        <is>
          <t>M044</t>
        </is>
      </c>
      <c r="CC4" s="91" t="inlineStr">
        <is>
          <t>M045</t>
        </is>
      </c>
      <c r="CD4" s="91" t="inlineStr">
        <is>
          <t>M046</t>
        </is>
      </c>
      <c r="CE4" s="91" t="inlineStr">
        <is>
          <t>M047</t>
        </is>
      </c>
      <c r="CF4" s="91" t="inlineStr">
        <is>
          <t>M048</t>
        </is>
      </c>
      <c r="CG4" s="91" t="inlineStr">
        <is>
          <t>M049</t>
        </is>
      </c>
      <c r="CH4" s="91" t="inlineStr">
        <is>
          <t>M050</t>
        </is>
      </c>
      <c r="CI4" s="91" t="inlineStr">
        <is>
          <t>M051</t>
        </is>
      </c>
      <c r="CJ4" s="91" t="inlineStr">
        <is>
          <t>M052</t>
        </is>
      </c>
      <c r="CK4" s="91" t="inlineStr">
        <is>
          <t>M053</t>
        </is>
      </c>
      <c r="CL4" s="91" t="inlineStr">
        <is>
          <t>M054</t>
        </is>
      </c>
      <c r="CM4" s="91" t="inlineStr">
        <is>
          <t>M055</t>
        </is>
      </c>
      <c r="CN4" s="91" t="inlineStr">
        <is>
          <t>M056</t>
        </is>
      </c>
      <c r="CO4" s="91" t="inlineStr">
        <is>
          <t>M057</t>
        </is>
      </c>
      <c r="CP4" s="91" t="inlineStr">
        <is>
          <t>M058</t>
        </is>
      </c>
      <c r="CQ4" s="91" t="inlineStr">
        <is>
          <t>M059</t>
        </is>
      </c>
      <c r="CR4" s="91" t="inlineStr">
        <is>
          <t>M060</t>
        </is>
      </c>
      <c r="CS4" s="91" t="inlineStr">
        <is>
          <t>M061</t>
        </is>
      </c>
      <c r="CT4" s="91" t="inlineStr">
        <is>
          <t>M062</t>
        </is>
      </c>
      <c r="CU4" s="91" t="inlineStr">
        <is>
          <t>M063</t>
        </is>
      </c>
      <c r="CV4" s="91" t="inlineStr">
        <is>
          <t>M064</t>
        </is>
      </c>
      <c r="CW4" s="91" t="inlineStr">
        <is>
          <t>M065</t>
        </is>
      </c>
      <c r="CX4" s="91" t="inlineStr">
        <is>
          <t>M066</t>
        </is>
      </c>
      <c r="CY4" s="91" t="inlineStr">
        <is>
          <t>M067</t>
        </is>
      </c>
      <c r="CZ4" s="91" t="inlineStr">
        <is>
          <t>M068</t>
        </is>
      </c>
      <c r="DA4" s="91" t="inlineStr">
        <is>
          <t>M069</t>
        </is>
      </c>
      <c r="DB4" s="91" t="inlineStr">
        <is>
          <t>M070</t>
        </is>
      </c>
      <c r="DC4" s="91" t="inlineStr">
        <is>
          <t>M071</t>
        </is>
      </c>
      <c r="DD4" s="91" t="inlineStr">
        <is>
          <t>M072</t>
        </is>
      </c>
      <c r="DE4" s="91" t="inlineStr">
        <is>
          <t>M073</t>
        </is>
      </c>
      <c r="DF4" s="91" t="inlineStr">
        <is>
          <t>M074</t>
        </is>
      </c>
      <c r="DG4" s="91" t="inlineStr">
        <is>
          <t>M075</t>
        </is>
      </c>
      <c r="DH4" s="91" t="inlineStr">
        <is>
          <t>M076</t>
        </is>
      </c>
      <c r="DI4" s="91" t="inlineStr">
        <is>
          <t>M077</t>
        </is>
      </c>
      <c r="DJ4" s="91" t="inlineStr">
        <is>
          <t>M078</t>
        </is>
      </c>
      <c r="DK4" s="91" t="inlineStr">
        <is>
          <t>M079</t>
        </is>
      </c>
      <c r="DL4" s="91" t="inlineStr">
        <is>
          <t>M080</t>
        </is>
      </c>
      <c r="DM4" s="91" t="inlineStr">
        <is>
          <t>M081</t>
        </is>
      </c>
      <c r="DN4" s="91" t="inlineStr">
        <is>
          <t>M082</t>
        </is>
      </c>
      <c r="DO4" s="91" t="inlineStr">
        <is>
          <t>M083</t>
        </is>
      </c>
      <c r="DP4" s="91" t="inlineStr">
        <is>
          <t>M084</t>
        </is>
      </c>
      <c r="DQ4" s="91" t="inlineStr">
        <is>
          <t>M085</t>
        </is>
      </c>
      <c r="DR4" s="91" t="inlineStr">
        <is>
          <t>M086</t>
        </is>
      </c>
      <c r="DS4" s="91" t="inlineStr">
        <is>
          <t>M087</t>
        </is>
      </c>
      <c r="DT4" s="91" t="inlineStr">
        <is>
          <t>M088</t>
        </is>
      </c>
      <c r="DU4" s="91" t="inlineStr">
        <is>
          <t>M089</t>
        </is>
      </c>
      <c r="DV4" s="91" t="inlineStr">
        <is>
          <t>M090</t>
        </is>
      </c>
      <c r="DW4" s="91" t="inlineStr">
        <is>
          <t>M091</t>
        </is>
      </c>
      <c r="DX4" s="91" t="inlineStr">
        <is>
          <t>M092</t>
        </is>
      </c>
      <c r="DY4" s="91" t="inlineStr">
        <is>
          <t>M093</t>
        </is>
      </c>
      <c r="DZ4" s="91" t="inlineStr">
        <is>
          <t>S001</t>
        </is>
      </c>
      <c r="EA4" s="91" t="inlineStr">
        <is>
          <t>S002</t>
        </is>
      </c>
      <c r="EB4" s="91" t="inlineStr">
        <is>
          <t>S003</t>
        </is>
      </c>
      <c r="EC4" s="91" t="inlineStr">
        <is>
          <t>S004</t>
        </is>
      </c>
      <c r="ED4" s="91" t="inlineStr">
        <is>
          <t>S005</t>
        </is>
      </c>
      <c r="EE4" s="91" t="inlineStr">
        <is>
          <t>S006</t>
        </is>
      </c>
      <c r="EF4" s="91" t="inlineStr">
        <is>
          <t>S007</t>
        </is>
      </c>
      <c r="EG4" s="91" t="inlineStr">
        <is>
          <t>S008</t>
        </is>
      </c>
      <c r="EH4" s="91" t="inlineStr">
        <is>
          <t>S009</t>
        </is>
      </c>
      <c r="EI4" s="91" t="inlineStr">
        <is>
          <t>S010</t>
        </is>
      </c>
      <c r="EJ4" s="91" t="inlineStr">
        <is>
          <t>S011</t>
        </is>
      </c>
      <c r="EK4" s="91" t="inlineStr">
        <is>
          <t>S012</t>
        </is>
      </c>
      <c r="EL4" s="91" t="inlineStr">
        <is>
          <t>S013</t>
        </is>
      </c>
      <c r="EM4" s="91" t="inlineStr">
        <is>
          <t>S014</t>
        </is>
      </c>
      <c r="EN4" s="91" t="inlineStr">
        <is>
          <t>S015</t>
        </is>
      </c>
      <c r="EO4" s="91" t="inlineStr">
        <is>
          <t>S016</t>
        </is>
      </c>
      <c r="EP4" s="91" t="inlineStr">
        <is>
          <t>S017</t>
        </is>
      </c>
      <c r="EQ4" s="91" t="inlineStr">
        <is>
          <t>S018</t>
        </is>
      </c>
      <c r="ER4" s="91" t="inlineStr">
        <is>
          <t>S019</t>
        </is>
      </c>
      <c r="ES4" s="91" t="inlineStr">
        <is>
          <t>S020</t>
        </is>
      </c>
      <c r="ET4" s="91" t="inlineStr">
        <is>
          <t>S021</t>
        </is>
      </c>
      <c r="EU4" s="91" t="inlineStr">
        <is>
          <t>S022</t>
        </is>
      </c>
      <c r="EV4" s="91" t="inlineStr">
        <is>
          <t>S023</t>
        </is>
      </c>
      <c r="EW4" s="91" t="inlineStr">
        <is>
          <t>S024</t>
        </is>
      </c>
      <c r="EX4" s="91" t="inlineStr">
        <is>
          <t>S025</t>
        </is>
      </c>
      <c r="EY4" s="91" t="inlineStr">
        <is>
          <t>S026</t>
        </is>
      </c>
      <c r="EZ4" s="91" t="inlineStr">
        <is>
          <t>S027</t>
        </is>
      </c>
      <c r="FA4" s="91" t="inlineStr">
        <is>
          <t>S028</t>
        </is>
      </c>
      <c r="FB4" s="91" t="inlineStr">
        <is>
          <t>S029</t>
        </is>
      </c>
      <c r="FC4" s="91" t="inlineStr">
        <is>
          <t>S030</t>
        </is>
      </c>
      <c r="FD4" s="91" t="inlineStr">
        <is>
          <t>S031</t>
        </is>
      </c>
      <c r="FE4" s="91" t="inlineStr">
        <is>
          <t>S032</t>
        </is>
      </c>
      <c r="FF4" s="91" t="inlineStr">
        <is>
          <t>X001</t>
        </is>
      </c>
      <c r="FG4" s="91" t="inlineStr">
        <is>
          <t>X002</t>
        </is>
      </c>
      <c r="FH4" s="91" t="inlineStr">
        <is>
          <t>X003</t>
        </is>
      </c>
      <c r="FI4" s="91" t="inlineStr">
        <is>
          <t>X004</t>
        </is>
      </c>
      <c r="FJ4" s="91" t="inlineStr">
        <is>
          <t>X005</t>
        </is>
      </c>
      <c r="FK4" s="91" t="inlineStr">
        <is>
          <t>X006</t>
        </is>
      </c>
      <c r="FL4" s="91" t="inlineStr">
        <is>
          <t>X007</t>
        </is>
      </c>
      <c r="FM4" s="91" t="inlineStr">
        <is>
          <t>X008</t>
        </is>
      </c>
      <c r="FN4" s="91" t="inlineStr">
        <is>
          <t>X009</t>
        </is>
      </c>
      <c r="FO4" s="91" t="inlineStr">
        <is>
          <t>X010</t>
        </is>
      </c>
      <c r="FP4" s="91" t="inlineStr">
        <is>
          <t>X011</t>
        </is>
      </c>
      <c r="FQ4" s="91" t="inlineStr">
        <is>
          <t>X012</t>
        </is>
      </c>
      <c r="FR4" s="91" t="inlineStr">
        <is>
          <t>X013</t>
        </is>
      </c>
      <c r="FS4" s="91" t="inlineStr">
        <is>
          <t>X014</t>
        </is>
      </c>
      <c r="FT4" s="91" t="inlineStr">
        <is>
          <t>X015</t>
        </is>
      </c>
      <c r="FU4" s="91" t="inlineStr">
        <is>
          <t>J001</t>
        </is>
      </c>
      <c r="FV4" s="91" t="inlineStr">
        <is>
          <t>J002</t>
        </is>
      </c>
      <c r="FW4" s="91" t="inlineStr">
        <is>
          <t>J003</t>
        </is>
      </c>
      <c r="FX4" s="91" t="inlineStr">
        <is>
          <t>J004</t>
        </is>
      </c>
      <c r="FY4" s="91" t="inlineStr">
        <is>
          <t>J005</t>
        </is>
      </c>
      <c r="FZ4" s="91" t="inlineStr">
        <is>
          <t>J006</t>
        </is>
      </c>
      <c r="GA4" s="91" t="inlineStr">
        <is>
          <t>J007</t>
        </is>
      </c>
      <c r="GB4" s="91" t="inlineStr">
        <is>
          <t>J008</t>
        </is>
      </c>
      <c r="GC4" s="91" t="inlineStr">
        <is>
          <t>J009</t>
        </is>
      </c>
      <c r="GD4" s="91" t="inlineStr">
        <is>
          <t>J010</t>
        </is>
      </c>
      <c r="GE4" s="91" t="inlineStr">
        <is>
          <t>V036</t>
        </is>
      </c>
      <c r="GF4" s="91" t="inlineStr">
        <is>
          <t>V037</t>
        </is>
      </c>
      <c r="GG4" s="91" t="inlineStr">
        <is>
          <t>V038</t>
        </is>
      </c>
      <c r="GH4" s="91" t="inlineStr">
        <is>
          <t>V039</t>
        </is>
      </c>
      <c r="GI4" s="91" t="inlineStr">
        <is>
          <t>V040</t>
        </is>
      </c>
      <c r="GJ4" s="91" t="inlineStr">
        <is>
          <t>V041</t>
        </is>
      </c>
      <c r="GK4" s="91" t="inlineStr">
        <is>
          <t>V042</t>
        </is>
      </c>
      <c r="GL4" s="91" t="inlineStr">
        <is>
          <t>V043</t>
        </is>
      </c>
      <c r="GM4" s="91" t="inlineStr">
        <is>
          <t>X016</t>
        </is>
      </c>
      <c r="GN4" s="91" t="inlineStr">
        <is>
          <t>X017</t>
        </is>
      </c>
      <c r="GO4" s="91" t="inlineStr">
        <is>
          <t>X018</t>
        </is>
      </c>
      <c r="GP4" s="91" t="inlineStr">
        <is>
          <t>X019</t>
        </is>
      </c>
      <c r="GQ4" s="91" t="inlineStr">
        <is>
          <t>X020</t>
        </is>
      </c>
      <c r="GR4" s="80" t="inlineStr">
        <is>
          <t>P001</t>
        </is>
      </c>
      <c r="GS4" s="80" t="inlineStr">
        <is>
          <t>P002</t>
        </is>
      </c>
      <c r="GT4" s="80" t="inlineStr">
        <is>
          <t>P003</t>
        </is>
      </c>
      <c r="GU4" s="80" t="inlineStr">
        <is>
          <t>P004</t>
        </is>
      </c>
      <c r="GV4" s="80" t="inlineStr">
        <is>
          <t>P005</t>
        </is>
      </c>
      <c r="GW4" s="80" t="inlineStr">
        <is>
          <t>P006</t>
        </is>
      </c>
      <c r="GX4" s="80" t="inlineStr">
        <is>
          <t>P007</t>
        </is>
      </c>
      <c r="GY4" s="80" t="inlineStr">
        <is>
          <t>P008</t>
        </is>
      </c>
      <c r="GZ4" s="80" t="inlineStr">
        <is>
          <t>P009</t>
        </is>
      </c>
      <c r="HA4" s="80" t="inlineStr">
        <is>
          <t>P010</t>
        </is>
      </c>
      <c r="HB4" s="80" t="inlineStr">
        <is>
          <t>P011</t>
        </is>
      </c>
      <c r="HC4" s="80" t="inlineStr">
        <is>
          <t>P012</t>
        </is>
      </c>
      <c r="HD4" s="80" t="inlineStr">
        <is>
          <t>P013</t>
        </is>
      </c>
      <c r="HE4" s="80" t="inlineStr">
        <is>
          <t>P014</t>
        </is>
      </c>
      <c r="HF4" s="80" t="inlineStr">
        <is>
          <t>P015</t>
        </is>
      </c>
      <c r="HG4" s="80" t="inlineStr">
        <is>
          <t>P016</t>
        </is>
      </c>
      <c r="HH4" s="80" t="inlineStr">
        <is>
          <t>P017</t>
        </is>
      </c>
      <c r="HI4" s="80" t="inlineStr">
        <is>
          <t>P018</t>
        </is>
      </c>
      <c r="HJ4" s="80" t="inlineStr">
        <is>
          <t>P019</t>
        </is>
      </c>
      <c r="HK4" s="80" t="inlineStr">
        <is>
          <t>P020</t>
        </is>
      </c>
      <c r="HL4" s="80" t="inlineStr">
        <is>
          <t>P021</t>
        </is>
      </c>
      <c r="HM4" s="80" t="inlineStr">
        <is>
          <t>P022</t>
        </is>
      </c>
      <c r="HN4" s="80" t="inlineStr">
        <is>
          <t>P023</t>
        </is>
      </c>
      <c r="HO4" s="80" t="inlineStr">
        <is>
          <t>P024</t>
        </is>
      </c>
      <c r="HP4" s="80" t="inlineStr">
        <is>
          <t>P025</t>
        </is>
      </c>
      <c r="HQ4" s="80" t="inlineStr">
        <is>
          <t>P026</t>
        </is>
      </c>
      <c r="HR4" s="80" t="inlineStr">
        <is>
          <t>P027</t>
        </is>
      </c>
      <c r="HS4" s="80" t="inlineStr">
        <is>
          <t>P028</t>
        </is>
      </c>
      <c r="HT4" s="80" t="inlineStr">
        <is>
          <t>P029</t>
        </is>
      </c>
      <c r="HU4" s="80" t="inlineStr">
        <is>
          <t>P030</t>
        </is>
      </c>
      <c r="HV4" s="80" t="inlineStr">
        <is>
          <t>P031</t>
        </is>
      </c>
      <c r="HW4" s="80" t="inlineStr">
        <is>
          <t>P032</t>
        </is>
      </c>
      <c r="HX4" s="80" t="inlineStr">
        <is>
          <t>P033</t>
        </is>
      </c>
      <c r="HY4" s="80" t="inlineStr">
        <is>
          <t>P034</t>
        </is>
      </c>
      <c r="HZ4" s="80" t="inlineStr">
        <is>
          <t>P035</t>
        </is>
      </c>
      <c r="IA4" s="80" t="inlineStr">
        <is>
          <t>P036</t>
        </is>
      </c>
      <c r="IB4" s="80" t="inlineStr">
        <is>
          <t>P037</t>
        </is>
      </c>
      <c r="IC4" s="80" t="inlineStr">
        <is>
          <t>P038</t>
        </is>
      </c>
      <c r="ID4" s="80" t="inlineStr">
        <is>
          <t>P039</t>
        </is>
      </c>
      <c r="IE4" s="80" t="inlineStr">
        <is>
          <t>P040</t>
        </is>
      </c>
      <c r="IF4" s="80" t="inlineStr">
        <is>
          <t>P041</t>
        </is>
      </c>
      <c r="IG4" s="80" t="inlineStr">
        <is>
          <t>P042</t>
        </is>
      </c>
      <c r="IH4" s="80" t="inlineStr">
        <is>
          <t>P043</t>
        </is>
      </c>
      <c r="II4" s="80" t="inlineStr">
        <is>
          <t>P044</t>
        </is>
      </c>
      <c r="IJ4" s="80" t="inlineStr">
        <is>
          <t>P045</t>
        </is>
      </c>
      <c r="IK4" s="80" t="inlineStr">
        <is>
          <t>P046</t>
        </is>
      </c>
      <c r="IL4" s="80" t="inlineStr">
        <is>
          <t>P047</t>
        </is>
      </c>
      <c r="IM4" s="80" t="inlineStr">
        <is>
          <t>P048</t>
        </is>
      </c>
      <c r="IN4" s="80" t="inlineStr">
        <is>
          <t>P049</t>
        </is>
      </c>
      <c r="IO4" s="80" t="inlineStr">
        <is>
          <t>P050</t>
        </is>
      </c>
      <c r="IP4" s="80" t="inlineStr">
        <is>
          <t>P051</t>
        </is>
      </c>
      <c r="IQ4" s="80" t="inlineStr">
        <is>
          <t>P052</t>
        </is>
      </c>
      <c r="IR4" s="80" t="inlineStr">
        <is>
          <t>P053</t>
        </is>
      </c>
      <c r="IS4" s="80" t="inlineStr">
        <is>
          <t>P054</t>
        </is>
      </c>
      <c r="IT4" s="80" t="inlineStr">
        <is>
          <t>P055</t>
        </is>
      </c>
      <c r="IU4" s="80" t="inlineStr">
        <is>
          <t>P056</t>
        </is>
      </c>
      <c r="IV4" s="80" t="inlineStr">
        <is>
          <t>P057</t>
        </is>
      </c>
      <c r="IW4" s="80" t="inlineStr">
        <is>
          <t>P058</t>
        </is>
      </c>
      <c r="IX4" s="80" t="inlineStr">
        <is>
          <t>P059</t>
        </is>
      </c>
      <c r="IY4" s="80" t="inlineStr">
        <is>
          <t>P060</t>
        </is>
      </c>
      <c r="IZ4" s="80" t="inlineStr">
        <is>
          <t>B001</t>
        </is>
      </c>
      <c r="JA4" s="80" t="inlineStr">
        <is>
          <t>B002</t>
        </is>
      </c>
      <c r="JB4" s="80" t="inlineStr">
        <is>
          <t>B003</t>
        </is>
      </c>
      <c r="JC4" s="80" t="inlineStr">
        <is>
          <t>B004</t>
        </is>
      </c>
      <c r="JD4" s="80" t="inlineStr">
        <is>
          <t>B005</t>
        </is>
      </c>
      <c r="JE4" s="80" t="inlineStr">
        <is>
          <t>B006</t>
        </is>
      </c>
      <c r="JF4" s="80" t="inlineStr">
        <is>
          <t>B007</t>
        </is>
      </c>
      <c r="JG4" s="80" t="inlineStr">
        <is>
          <t>B008</t>
        </is>
      </c>
      <c r="JH4" s="80" t="inlineStr">
        <is>
          <t>B009</t>
        </is>
      </c>
      <c r="JI4" s="80" t="inlineStr">
        <is>
          <t>B010</t>
        </is>
      </c>
      <c r="JJ4" s="80" t="inlineStr">
        <is>
          <t>B011</t>
        </is>
      </c>
      <c r="JK4" s="80" t="inlineStr">
        <is>
          <t>B012</t>
        </is>
      </c>
      <c r="JL4" s="80" t="inlineStr">
        <is>
          <t>B013</t>
        </is>
      </c>
      <c r="JM4" s="80" t="inlineStr">
        <is>
          <t>B014</t>
        </is>
      </c>
      <c r="JN4" s="80" t="inlineStr">
        <is>
          <t>B015</t>
        </is>
      </c>
      <c r="JO4" s="80" t="inlineStr">
        <is>
          <t>B016</t>
        </is>
      </c>
      <c r="JP4" s="80" t="inlineStr">
        <is>
          <t>B017</t>
        </is>
      </c>
      <c r="JQ4" s="80" t="inlineStr">
        <is>
          <t>B018</t>
        </is>
      </c>
      <c r="JR4" s="80" t="inlineStr">
        <is>
          <t>B019</t>
        </is>
      </c>
      <c r="JS4" s="80" t="inlineStr">
        <is>
          <t>B020</t>
        </is>
      </c>
      <c r="JT4" s="80" t="inlineStr">
        <is>
          <t>M101</t>
        </is>
      </c>
      <c r="JU4" s="80" t="inlineStr">
        <is>
          <t>M102</t>
        </is>
      </c>
      <c r="JV4" s="80" t="inlineStr">
        <is>
          <t>M103</t>
        </is>
      </c>
      <c r="JW4" s="80" t="inlineStr">
        <is>
          <t>M104</t>
        </is>
      </c>
      <c r="JX4" s="80" t="inlineStr">
        <is>
          <t>M105</t>
        </is>
      </c>
      <c r="JY4" s="80" t="inlineStr">
        <is>
          <t>M106</t>
        </is>
      </c>
      <c r="JZ4" s="80" t="inlineStr">
        <is>
          <t>M107</t>
        </is>
      </c>
      <c r="KA4" s="80" t="inlineStr">
        <is>
          <t>M108</t>
        </is>
      </c>
      <c r="KB4" s="80" t="inlineStr">
        <is>
          <t>M109</t>
        </is>
      </c>
      <c r="KC4" s="80" t="inlineStr">
        <is>
          <t>M110</t>
        </is>
      </c>
      <c r="KD4" s="80" t="inlineStr">
        <is>
          <t>M111</t>
        </is>
      </c>
      <c r="KE4" s="80" t="inlineStr">
        <is>
          <t>M112</t>
        </is>
      </c>
      <c r="KF4" s="80" t="inlineStr">
        <is>
          <t>M113</t>
        </is>
      </c>
      <c r="KG4" s="80" t="inlineStr">
        <is>
          <t>M114</t>
        </is>
      </c>
      <c r="KH4" s="80" t="inlineStr">
        <is>
          <t>M115</t>
        </is>
      </c>
      <c r="KI4" s="80" t="inlineStr">
        <is>
          <t>V801</t>
        </is>
      </c>
      <c r="KJ4" s="80" t="inlineStr">
        <is>
          <t>V802</t>
        </is>
      </c>
      <c r="KK4" s="80" t="inlineStr">
        <is>
          <t>V803</t>
        </is>
      </c>
      <c r="KL4" s="80" t="inlineStr">
        <is>
          <t>V804</t>
        </is>
      </c>
      <c r="KM4" s="80" t="inlineStr">
        <is>
          <t>V805</t>
        </is>
      </c>
      <c r="KN4" s="80" t="inlineStr">
        <is>
          <t>V806</t>
        </is>
      </c>
      <c r="KO4" s="80" t="inlineStr">
        <is>
          <t>V807</t>
        </is>
      </c>
      <c r="KP4" s="80" t="inlineStr">
        <is>
          <t>V808</t>
        </is>
      </c>
      <c r="KQ4" s="80" t="inlineStr">
        <is>
          <t>V809</t>
        </is>
      </c>
      <c r="KR4" s="80" t="inlineStr">
        <is>
          <t>V810</t>
        </is>
      </c>
      <c r="KS4" s="80" t="inlineStr">
        <is>
          <t>V811</t>
        </is>
      </c>
      <c r="KT4" s="80" t="inlineStr">
        <is>
          <t>V812</t>
        </is>
      </c>
      <c r="KU4" s="80" t="inlineStr">
        <is>
          <t>V813</t>
        </is>
      </c>
      <c r="KV4" s="80" t="inlineStr">
        <is>
          <t>V814</t>
        </is>
      </c>
      <c r="KW4" s="80" t="inlineStr">
        <is>
          <t>V815</t>
        </is>
      </c>
      <c r="KX4" s="80" t="inlineStr">
        <is>
          <t>JB01</t>
        </is>
      </c>
      <c r="KY4" s="80" t="inlineStr">
        <is>
          <t>JB02</t>
        </is>
      </c>
      <c r="KZ4" s="80" t="inlineStr">
        <is>
          <t>JB03</t>
        </is>
      </c>
      <c r="LA4" s="80" t="inlineStr">
        <is>
          <t>JB04</t>
        </is>
      </c>
      <c r="LB4" s="80" t="inlineStr">
        <is>
          <t>JB05</t>
        </is>
      </c>
      <c r="LC4" s="80" t="inlineStr">
        <is>
          <t>JB06</t>
        </is>
      </c>
      <c r="LD4" s="80" t="inlineStr">
        <is>
          <t>JB07</t>
        </is>
      </c>
      <c r="LE4" s="80" t="inlineStr">
        <is>
          <t>JB08</t>
        </is>
      </c>
      <c r="LF4" s="80" t="inlineStr">
        <is>
          <t>S201</t>
        </is>
      </c>
      <c r="LG4" s="80" t="inlineStr">
        <is>
          <t>S202</t>
        </is>
      </c>
      <c r="LH4" s="80" t="inlineStr">
        <is>
          <t>S203</t>
        </is>
      </c>
      <c r="LI4" s="80" t="inlineStr">
        <is>
          <t>S204</t>
        </is>
      </c>
      <c r="LJ4" s="80" t="inlineStr">
        <is>
          <t>S205</t>
        </is>
      </c>
      <c r="LK4" s="80" t="inlineStr">
        <is>
          <t>S206</t>
        </is>
      </c>
      <c r="LL4" s="80" t="inlineStr">
        <is>
          <t>S207</t>
        </is>
      </c>
      <c r="LM4" s="80" t="inlineStr">
        <is>
          <t>S208</t>
        </is>
      </c>
      <c r="LN4" s="80" t="inlineStr">
        <is>
          <t>S209</t>
        </is>
      </c>
      <c r="LO4" s="80" t="inlineStr">
        <is>
          <t>S210</t>
        </is>
      </c>
      <c r="LP4" s="80" t="inlineStr">
        <is>
          <t>S211</t>
        </is>
      </c>
      <c r="LQ4" s="80" t="inlineStr">
        <is>
          <t>S212</t>
        </is>
      </c>
      <c r="LR4" s="80" t="inlineStr">
        <is>
          <t>S213</t>
        </is>
      </c>
      <c r="LS4" s="80" t="inlineStr">
        <is>
          <t>S214</t>
        </is>
      </c>
      <c r="LT4" s="80" t="inlineStr">
        <is>
          <t>S215</t>
        </is>
      </c>
      <c r="LU4" s="80" t="inlineStr">
        <is>
          <t>D01</t>
        </is>
      </c>
      <c r="LV4" s="80" t="inlineStr">
        <is>
          <t>D02</t>
        </is>
      </c>
      <c r="LW4" s="80" t="inlineStr">
        <is>
          <t>D03</t>
        </is>
      </c>
      <c r="LX4" s="80" t="inlineStr">
        <is>
          <t>D04</t>
        </is>
      </c>
      <c r="LY4" s="80" t="inlineStr">
        <is>
          <t>D05</t>
        </is>
      </c>
      <c r="LZ4" s="80" t="inlineStr">
        <is>
          <t>D06</t>
        </is>
      </c>
      <c r="MA4" s="80" t="inlineStr">
        <is>
          <t>D07</t>
        </is>
      </c>
      <c r="MB4" s="80" t="inlineStr">
        <is>
          <t>D08</t>
        </is>
      </c>
    </row>
    <row r="5" ht="15" customHeight="1" s="81">
      <c r="A5" s="151" t="n">
        <v>46063</v>
      </c>
      <c r="B5" s="80" t="n">
        <v>30646.16</v>
      </c>
      <c r="C5" s="80" t="n">
        <v>8882.26</v>
      </c>
      <c r="D5" s="80" t="n">
        <v>8803.620000000001</v>
      </c>
      <c r="E5" s="80" t="n">
        <v>7235.96</v>
      </c>
      <c r="F5" s="80" t="n">
        <v>1558.03</v>
      </c>
      <c r="G5" s="80" t="n">
        <v>6079.81</v>
      </c>
      <c r="H5" s="80" t="n">
        <v>4655.21</v>
      </c>
      <c r="I5" s="80" t="n">
        <v>980.5700000000001</v>
      </c>
      <c r="J5" s="80" t="n">
        <v>1195</v>
      </c>
      <c r="K5" s="80" t="n">
        <v>890.98</v>
      </c>
      <c r="L5" s="80" t="n">
        <v>977.65</v>
      </c>
      <c r="M5" s="80" t="n">
        <v>961.64</v>
      </c>
      <c r="N5" s="80" t="n">
        <v>2026.54</v>
      </c>
      <c r="O5" s="80" t="n">
        <v>896.51</v>
      </c>
      <c r="P5" s="80" t="n">
        <v>720.96</v>
      </c>
      <c r="Q5" s="80" t="n">
        <v>3347.08</v>
      </c>
      <c r="R5" s="80" t="n">
        <v>3658.46</v>
      </c>
      <c r="S5" s="80" t="n">
        <v>1650.23</v>
      </c>
      <c r="T5" s="80" t="n">
        <v>5200.2</v>
      </c>
      <c r="U5" s="80" t="n">
        <v>14802.31</v>
      </c>
      <c r="V5" s="80" t="n">
        <v>4267.94</v>
      </c>
      <c r="W5" s="80" t="n">
        <v>9627.92</v>
      </c>
      <c r="X5" s="80" t="n">
        <v>6861.35</v>
      </c>
      <c r="Y5" s="80" t="n">
        <v>2433.87</v>
      </c>
      <c r="Z5" s="80" t="n">
        <v>2123.87</v>
      </c>
      <c r="AA5" s="80" t="n">
        <v>2303.26</v>
      </c>
      <c r="AB5" s="80" t="n">
        <v>3527.92</v>
      </c>
      <c r="AC5" s="80" t="n">
        <v>1968.19</v>
      </c>
      <c r="AD5" s="80" t="n">
        <v>962.26</v>
      </c>
      <c r="AE5" s="80" t="n">
        <v>836.41</v>
      </c>
      <c r="AF5" s="80" t="n">
        <v>789593.6800000001</v>
      </c>
      <c r="AG5" s="80" t="n">
        <v>5849.97</v>
      </c>
      <c r="AH5" s="80" t="n">
        <v>84659.28999999999</v>
      </c>
      <c r="AI5" s="80" t="n">
        <v>1227.65</v>
      </c>
      <c r="AJ5" s="80" t="n">
        <v>996.9299999999999</v>
      </c>
      <c r="AK5" s="80" t="n">
        <v>1882.05</v>
      </c>
      <c r="AL5" s="80" t="n">
        <v>775.75</v>
      </c>
      <c r="AM5" s="80" t="n">
        <v>1075.11</v>
      </c>
      <c r="AN5" s="80" t="n">
        <v>592.35</v>
      </c>
      <c r="AO5" s="80" t="n">
        <v>582.01</v>
      </c>
      <c r="AP5" s="80" t="n">
        <v>532.3200000000001</v>
      </c>
      <c r="AQ5" s="80" t="n">
        <v>518.03</v>
      </c>
      <c r="AR5" s="80" t="n">
        <v>568.01</v>
      </c>
      <c r="AS5" s="80" t="n">
        <v>213.55</v>
      </c>
      <c r="AT5" s="80" t="n">
        <v>257.88</v>
      </c>
      <c r="AU5" s="80" t="n">
        <v>298.86</v>
      </c>
      <c r="AV5" s="80" t="n">
        <v>311.02</v>
      </c>
      <c r="AW5" s="80" t="n">
        <v>788.64</v>
      </c>
      <c r="AX5" s="80" t="n">
        <v>357.03</v>
      </c>
      <c r="AY5" s="80" t="n">
        <v>402.4</v>
      </c>
      <c r="AZ5" s="80" t="n">
        <v>283.21</v>
      </c>
      <c r="BA5" s="80" t="n">
        <v>150.61</v>
      </c>
      <c r="BB5" s="80" t="n">
        <v>193.77</v>
      </c>
      <c r="BC5" s="80" t="n">
        <v>202.07</v>
      </c>
      <c r="BD5" s="80" t="n">
        <v>199.03</v>
      </c>
      <c r="BE5" s="80" t="n">
        <v>189.85</v>
      </c>
      <c r="BF5" s="80" t="n">
        <v>80.56999999999999</v>
      </c>
      <c r="BG5" s="80" t="n">
        <v>54.17</v>
      </c>
      <c r="BH5" s="80" t="n">
        <v>433.1</v>
      </c>
      <c r="BI5" s="80" t="n">
        <v>120.01</v>
      </c>
      <c r="BJ5" s="80" t="n">
        <v>101.11</v>
      </c>
      <c r="BK5" s="80" t="n">
        <v>151.04</v>
      </c>
      <c r="BL5" s="80" t="n">
        <v>113.81</v>
      </c>
      <c r="BM5" s="80" t="n">
        <v>250.36</v>
      </c>
      <c r="BN5" s="80" t="n">
        <v>209.9</v>
      </c>
      <c r="BO5" s="80" t="n">
        <v>319.45</v>
      </c>
      <c r="BP5" s="80" t="n">
        <v>200.11</v>
      </c>
      <c r="BQ5" s="80" t="n">
        <v>158.6</v>
      </c>
      <c r="BR5" s="80" t="n">
        <v>969.66</v>
      </c>
      <c r="BS5" s="80" t="n">
        <v>305.48</v>
      </c>
      <c r="BT5" s="80" t="n">
        <v>330.73</v>
      </c>
      <c r="BU5" s="80" t="n">
        <v>314.31</v>
      </c>
      <c r="BV5" s="80" t="n">
        <v>178.84</v>
      </c>
      <c r="BW5" s="80" t="n">
        <v>235.55</v>
      </c>
      <c r="BX5" s="80" t="n">
        <v>226.4</v>
      </c>
      <c r="BY5" s="80" t="n">
        <v>275.56</v>
      </c>
      <c r="BZ5" s="80" t="n">
        <v>172.23</v>
      </c>
      <c r="CA5" s="80" t="n">
        <v>171</v>
      </c>
      <c r="CB5" s="80" t="n">
        <v>395.03</v>
      </c>
      <c r="CC5" s="80" t="n">
        <v>80.33</v>
      </c>
      <c r="CD5" s="80" t="n">
        <v>765.87</v>
      </c>
      <c r="CE5" s="80" t="n">
        <v>193.67</v>
      </c>
      <c r="CF5" s="80" t="n">
        <v>156.24</v>
      </c>
      <c r="CG5" s="80" t="n">
        <v>237.99</v>
      </c>
      <c r="CH5" s="80" t="n">
        <v>140.12</v>
      </c>
      <c r="CI5" s="80" t="n">
        <v>169.25</v>
      </c>
      <c r="CJ5" s="80" t="n">
        <v>178.69</v>
      </c>
      <c r="CK5" s="80" t="n">
        <v>127.22</v>
      </c>
      <c r="CL5" s="80" t="n">
        <v>315.12</v>
      </c>
      <c r="CM5" s="80" t="n">
        <v>248.24</v>
      </c>
      <c r="CN5" s="80" t="n">
        <v>414.79</v>
      </c>
      <c r="CO5" s="80" t="n">
        <v>337.62</v>
      </c>
      <c r="CP5" s="80" t="n">
        <v>208.09</v>
      </c>
      <c r="CQ5" s="80" t="n">
        <v>258.35</v>
      </c>
      <c r="CR5" s="80" t="n">
        <v>240.56</v>
      </c>
      <c r="CS5" s="80" t="n">
        <v>110.89</v>
      </c>
      <c r="CT5" s="80" t="n">
        <v>246.48</v>
      </c>
      <c r="CU5" s="80" t="n">
        <v>161.07</v>
      </c>
      <c r="CV5" s="80" t="n">
        <v>319.18</v>
      </c>
      <c r="CW5" s="80" t="n">
        <v>206.77</v>
      </c>
      <c r="CX5" s="80" t="n">
        <v>215.06</v>
      </c>
      <c r="CY5" s="80" t="n">
        <v>155.96</v>
      </c>
      <c r="CZ5" s="80" t="n">
        <v>134.75</v>
      </c>
      <c r="DA5" s="80" t="n">
        <v>3982.85</v>
      </c>
      <c r="DB5" s="80" t="n">
        <v>1007.86</v>
      </c>
      <c r="DC5" s="80" t="n">
        <v>1083.48</v>
      </c>
      <c r="DD5" s="80" t="n">
        <v>944.04</v>
      </c>
      <c r="DE5" s="80" t="n">
        <v>713.4</v>
      </c>
      <c r="DF5" s="80" t="n">
        <v>624.39</v>
      </c>
      <c r="DG5" s="80" t="n">
        <v>614.6799999999999</v>
      </c>
      <c r="DH5" s="80" t="n">
        <v>304.63</v>
      </c>
      <c r="DI5" s="80" t="n">
        <v>187.23</v>
      </c>
      <c r="DJ5" s="80" t="n">
        <v>112.18</v>
      </c>
      <c r="DK5" s="80" t="n">
        <v>36.59</v>
      </c>
      <c r="DL5" s="80" t="n">
        <v>957.35</v>
      </c>
      <c r="DM5" s="80" t="n">
        <v>1411.24</v>
      </c>
      <c r="DN5" s="80" t="n">
        <v>749.72</v>
      </c>
      <c r="DO5" s="80" t="n">
        <v>275.25</v>
      </c>
      <c r="DP5" s="80" t="n">
        <v>808.6799999999999</v>
      </c>
      <c r="DQ5" s="80" t="n">
        <v>484.12</v>
      </c>
      <c r="DR5" s="80" t="n">
        <v>295.73</v>
      </c>
      <c r="DS5" s="80" t="n">
        <v>186.18</v>
      </c>
      <c r="DT5" s="80" t="n">
        <v>883.2</v>
      </c>
      <c r="DU5" s="80" t="n">
        <v>1963.93</v>
      </c>
      <c r="DV5" s="80" t="n">
        <v>589.6900000000001</v>
      </c>
      <c r="DW5" s="80" t="n">
        <v>142.72</v>
      </c>
      <c r="DX5" s="80" t="n">
        <v>759.3</v>
      </c>
      <c r="DY5" s="80" t="n">
        <v>2743.7</v>
      </c>
      <c r="DZ5" s="80" t="n">
        <v>260.59</v>
      </c>
      <c r="EA5" s="80" t="n">
        <v>98.44</v>
      </c>
      <c r="EB5" s="80" t="n">
        <v>84.01000000000001</v>
      </c>
      <c r="EC5" s="80" t="n">
        <v>67.15000000000001</v>
      </c>
      <c r="ED5" s="80" t="n">
        <v>123.09</v>
      </c>
      <c r="EE5" s="80" t="n">
        <v>187.57</v>
      </c>
      <c r="EF5" s="80" t="n">
        <v>160.65</v>
      </c>
      <c r="EG5" s="80" t="n">
        <v>172.33</v>
      </c>
      <c r="EH5" s="80" t="n">
        <v>163.75</v>
      </c>
      <c r="EI5" s="80" t="n">
        <v>144.23</v>
      </c>
      <c r="EJ5" s="80" t="n">
        <v>174.71</v>
      </c>
      <c r="EK5" s="80" t="n">
        <v>241.63</v>
      </c>
      <c r="EL5" s="80" t="n">
        <v>145.02</v>
      </c>
      <c r="EM5" s="80" t="n">
        <v>141.96</v>
      </c>
      <c r="EN5" s="80" t="n">
        <v>74.28</v>
      </c>
      <c r="EO5" s="80" t="n">
        <v>88.13</v>
      </c>
      <c r="EP5" s="80" t="n">
        <v>62.49</v>
      </c>
      <c r="EQ5" s="80" t="n">
        <v>132.79</v>
      </c>
      <c r="ER5" s="80" t="n">
        <v>68.03</v>
      </c>
      <c r="ES5" s="80" t="n">
        <v>115.46</v>
      </c>
      <c r="ET5" s="80" t="n">
        <v>30.91</v>
      </c>
      <c r="EU5" s="80" t="n">
        <v>107.24</v>
      </c>
      <c r="EV5" s="80" t="n">
        <v>117.6</v>
      </c>
      <c r="EW5" s="80" t="n">
        <v>130.47</v>
      </c>
      <c r="EX5" s="80" t="n">
        <v>69.69</v>
      </c>
      <c r="EY5" s="80" t="n">
        <v>123.07</v>
      </c>
      <c r="EZ5" s="80" t="n">
        <v>134.93</v>
      </c>
      <c r="FA5" s="80" t="n">
        <v>23.82</v>
      </c>
      <c r="FB5" s="80" t="n">
        <v>51.64</v>
      </c>
      <c r="FC5" s="80" t="n">
        <v>57.56</v>
      </c>
      <c r="FD5" s="80" t="n">
        <v>311.59</v>
      </c>
      <c r="FE5" s="80" t="n">
        <v>35.78</v>
      </c>
      <c r="FF5" s="80" t="n">
        <v>67.67</v>
      </c>
      <c r="FG5" s="80" t="n">
        <v>193.43</v>
      </c>
      <c r="FH5" s="80" t="n">
        <v>209.33</v>
      </c>
      <c r="FI5" s="80" t="n">
        <v>340.4</v>
      </c>
      <c r="FJ5" s="80" t="n">
        <v>233.6</v>
      </c>
      <c r="FK5" s="80" t="n">
        <v>105.55</v>
      </c>
      <c r="FL5" s="80" t="n">
        <v>286.72</v>
      </c>
      <c r="FM5" s="80" t="n">
        <v>165.24</v>
      </c>
      <c r="FN5" s="80" t="n">
        <v>417.6</v>
      </c>
      <c r="FO5" s="80" t="n">
        <v>352.97</v>
      </c>
      <c r="FP5" s="80" t="n">
        <v>978.83</v>
      </c>
      <c r="FQ5" s="80" t="n">
        <v>79.79000000000001</v>
      </c>
      <c r="FR5" s="80" t="n">
        <v>247.2</v>
      </c>
      <c r="FS5" s="80" t="n">
        <v>479.52</v>
      </c>
      <c r="FT5" s="80" t="n">
        <v>8368.6</v>
      </c>
      <c r="FU5" s="80" t="n">
        <v>745.17</v>
      </c>
      <c r="FV5" s="80" t="n">
        <v>230.52</v>
      </c>
      <c r="FW5" s="80" t="n">
        <v>304.58</v>
      </c>
      <c r="FX5" s="80" t="n">
        <v>498.61</v>
      </c>
      <c r="FY5" s="80" t="n">
        <v>1189.38</v>
      </c>
      <c r="FZ5" s="80" t="n">
        <v>277.46</v>
      </c>
      <c r="GA5" s="80" t="n">
        <v>4029.15</v>
      </c>
      <c r="GB5" s="80" t="n">
        <v>1624.22</v>
      </c>
      <c r="GC5" s="80" t="n">
        <v>145.82</v>
      </c>
      <c r="GD5" s="80" t="n">
        <v>278.64</v>
      </c>
      <c r="GE5" s="80" t="n">
        <v>849.34</v>
      </c>
      <c r="GF5" s="80" t="n">
        <v>595.6900000000001</v>
      </c>
      <c r="GG5" s="80" t="n">
        <v>518.11</v>
      </c>
      <c r="GH5" s="80" t="n">
        <v>618.58</v>
      </c>
      <c r="GI5" s="80" t="n">
        <v>4256.12</v>
      </c>
      <c r="GJ5" s="80" t="n">
        <v>348.8</v>
      </c>
      <c r="GK5" s="80" t="n">
        <v>746.52</v>
      </c>
      <c r="GL5" s="80" t="n">
        <v>971.72</v>
      </c>
      <c r="GM5" s="80" t="n">
        <v>208.94</v>
      </c>
      <c r="GN5" s="80" t="n">
        <v>316.77</v>
      </c>
      <c r="GO5" s="80" t="n">
        <v>244.87</v>
      </c>
      <c r="GP5" s="80" t="n">
        <v>209.24</v>
      </c>
      <c r="GQ5" s="80" t="n">
        <v>282.97</v>
      </c>
    </row>
    <row r="6" ht="15" customHeight="1" s="81">
      <c r="A6" s="151" t="n">
        <v>46093</v>
      </c>
      <c r="B6" s="80" t="n">
        <v>31304.28</v>
      </c>
      <c r="C6" s="80" t="n">
        <v>9044.48</v>
      </c>
      <c r="D6" s="80" t="n">
        <v>8869.5</v>
      </c>
      <c r="E6" s="80" t="n">
        <v>7389.39</v>
      </c>
      <c r="F6" s="80" t="n">
        <v>1599.06</v>
      </c>
      <c r="G6" s="80" t="n">
        <v>6290.66</v>
      </c>
      <c r="H6" s="80" t="n">
        <v>4645.74</v>
      </c>
      <c r="I6" s="80" t="n">
        <v>1017.56</v>
      </c>
      <c r="J6" s="80" t="n">
        <v>1253.21</v>
      </c>
      <c r="K6" s="80" t="n">
        <v>912.4</v>
      </c>
      <c r="L6" s="80" t="n">
        <v>1025.85</v>
      </c>
      <c r="M6" s="80" t="n">
        <v>969.29</v>
      </c>
      <c r="N6" s="80" t="n">
        <v>2138</v>
      </c>
      <c r="O6" s="80" t="n">
        <v>897.58</v>
      </c>
      <c r="P6" s="80" t="n">
        <v>753.8</v>
      </c>
      <c r="Q6" s="80" t="n">
        <v>3505.24</v>
      </c>
      <c r="R6" s="80" t="n">
        <v>3795.97</v>
      </c>
      <c r="S6" s="80" t="n">
        <v>1692.98</v>
      </c>
      <c r="T6" s="80" t="n">
        <v>5322.93</v>
      </c>
      <c r="U6" s="80" t="n">
        <v>15973.25</v>
      </c>
      <c r="V6" s="80" t="n">
        <v>4456.77</v>
      </c>
      <c r="W6" s="80" t="n">
        <v>10364.87</v>
      </c>
      <c r="X6" s="80" t="n">
        <v>7411.71</v>
      </c>
      <c r="Y6" s="80" t="n">
        <v>2541.13</v>
      </c>
      <c r="Z6" s="80" t="n">
        <v>2172.58</v>
      </c>
      <c r="AA6" s="80" t="n">
        <v>2316.69</v>
      </c>
      <c r="AB6" s="80" t="n">
        <v>3762.9</v>
      </c>
      <c r="AC6" s="80" t="n">
        <v>2097.65</v>
      </c>
      <c r="AD6" s="80" t="n">
        <v>989.6799999999999</v>
      </c>
      <c r="AE6" s="80" t="n">
        <v>878.41</v>
      </c>
      <c r="AF6" s="80" t="n">
        <v>808933.77</v>
      </c>
      <c r="AG6" s="80" t="n">
        <v>6124.1</v>
      </c>
      <c r="AH6" s="80" t="n">
        <v>86064.56</v>
      </c>
      <c r="AI6" s="80" t="n">
        <v>1265.67</v>
      </c>
      <c r="AJ6" s="80" t="n">
        <v>1022.42</v>
      </c>
      <c r="AK6" s="80" t="n">
        <v>1785.46</v>
      </c>
      <c r="AL6" s="80" t="n">
        <v>700.1799999999999</v>
      </c>
      <c r="AM6" s="80" t="n">
        <v>1043.82</v>
      </c>
      <c r="AN6" s="80" t="n">
        <v>641.92</v>
      </c>
      <c r="AO6" s="80" t="n">
        <v>613.63</v>
      </c>
      <c r="AP6" s="80" t="n">
        <v>535.48</v>
      </c>
      <c r="AQ6" s="80" t="n">
        <v>547.52</v>
      </c>
      <c r="AR6" s="80" t="n">
        <v>598.11</v>
      </c>
      <c r="AS6" s="80" t="n">
        <v>214.45</v>
      </c>
      <c r="AT6" s="80" t="n">
        <v>263.51</v>
      </c>
      <c r="AU6" s="80" t="n">
        <v>298.97</v>
      </c>
      <c r="AV6" s="80" t="n">
        <v>321.85</v>
      </c>
      <c r="AW6" s="80" t="n">
        <v>786.04</v>
      </c>
      <c r="AX6" s="80" t="n">
        <v>370.56</v>
      </c>
      <c r="AY6" s="80" t="n">
        <v>426.47</v>
      </c>
      <c r="AZ6" s="80" t="n">
        <v>293.14</v>
      </c>
      <c r="BA6" s="80" t="n">
        <v>158.26</v>
      </c>
      <c r="BB6" s="80" t="n">
        <v>205.07</v>
      </c>
      <c r="BC6" s="80" t="n">
        <v>210.35</v>
      </c>
      <c r="BD6" s="80" t="n">
        <v>209.33</v>
      </c>
      <c r="BE6" s="80" t="n">
        <v>206.41</v>
      </c>
      <c r="BF6" s="80" t="n">
        <v>81.88</v>
      </c>
      <c r="BG6" s="80" t="n">
        <v>55.24</v>
      </c>
      <c r="BH6" s="80" t="n">
        <v>450.86</v>
      </c>
      <c r="BI6" s="80" t="n">
        <v>129.25</v>
      </c>
      <c r="BJ6" s="80" t="n">
        <v>104.55</v>
      </c>
      <c r="BK6" s="80" t="n">
        <v>161.2</v>
      </c>
      <c r="BL6" s="80" t="n">
        <v>117.77</v>
      </c>
      <c r="BM6" s="80" t="n">
        <v>253.19</v>
      </c>
      <c r="BN6" s="80" t="n">
        <v>221.67</v>
      </c>
      <c r="BO6" s="80" t="n">
        <v>345.88</v>
      </c>
      <c r="BP6" s="80" t="n">
        <v>206.19</v>
      </c>
      <c r="BQ6" s="80" t="n">
        <v>164.47</v>
      </c>
      <c r="BR6" s="80" t="n">
        <v>1033.06</v>
      </c>
      <c r="BS6" s="80" t="n">
        <v>328.18</v>
      </c>
      <c r="BT6" s="80" t="n">
        <v>342.57</v>
      </c>
      <c r="BU6" s="80" t="n">
        <v>330.22</v>
      </c>
      <c r="BV6" s="80" t="n">
        <v>188.05</v>
      </c>
      <c r="BW6" s="80" t="n">
        <v>253.84</v>
      </c>
      <c r="BX6" s="80" t="n">
        <v>233.81</v>
      </c>
      <c r="BY6" s="80" t="n">
        <v>284.05</v>
      </c>
      <c r="BZ6" s="80" t="n">
        <v>184.94</v>
      </c>
      <c r="CA6" s="80" t="n">
        <v>184.57</v>
      </c>
      <c r="CB6" s="80" t="n">
        <v>398.52</v>
      </c>
      <c r="CC6" s="80" t="n">
        <v>83.89</v>
      </c>
      <c r="CD6" s="80" t="n">
        <v>798</v>
      </c>
      <c r="CE6" s="80" t="n">
        <v>218.71</v>
      </c>
      <c r="CF6" s="80" t="n">
        <v>160.76</v>
      </c>
      <c r="CG6" s="80" t="n">
        <v>243.44</v>
      </c>
      <c r="CH6" s="80" t="n">
        <v>145.39</v>
      </c>
      <c r="CI6" s="80" t="n">
        <v>176.19</v>
      </c>
      <c r="CJ6" s="80" t="n">
        <v>190.27</v>
      </c>
      <c r="CK6" s="80" t="n">
        <v>129.66</v>
      </c>
      <c r="CL6" s="80" t="n">
        <v>332.33</v>
      </c>
      <c r="CM6" s="80" t="n">
        <v>253.82</v>
      </c>
      <c r="CN6" s="80" t="n">
        <v>424.7</v>
      </c>
      <c r="CO6" s="80" t="n">
        <v>350.11</v>
      </c>
      <c r="CP6" s="80" t="n">
        <v>213.24</v>
      </c>
      <c r="CQ6" s="80" t="n">
        <v>275.5</v>
      </c>
      <c r="CR6" s="80" t="n">
        <v>245.9</v>
      </c>
      <c r="CS6" s="80" t="n">
        <v>119.16</v>
      </c>
      <c r="CT6" s="80" t="n">
        <v>252.57</v>
      </c>
      <c r="CU6" s="80" t="n">
        <v>167</v>
      </c>
      <c r="CV6" s="80" t="n">
        <v>330.03</v>
      </c>
      <c r="CW6" s="80" t="n">
        <v>210.74</v>
      </c>
      <c r="CX6" s="80" t="n">
        <v>223.87</v>
      </c>
      <c r="CY6" s="80" t="n">
        <v>163.7</v>
      </c>
      <c r="CZ6" s="80" t="n">
        <v>140.07</v>
      </c>
      <c r="DA6" s="80" t="n">
        <v>4046.54</v>
      </c>
      <c r="DB6" s="80" t="n">
        <v>990.8</v>
      </c>
      <c r="DC6" s="80" t="n">
        <v>1094.43</v>
      </c>
      <c r="DD6" s="80" t="n">
        <v>972.88</v>
      </c>
      <c r="DE6" s="80" t="n">
        <v>741.78</v>
      </c>
      <c r="DF6" s="80" t="n">
        <v>651.83</v>
      </c>
      <c r="DG6" s="80" t="n">
        <v>634.36</v>
      </c>
      <c r="DH6" s="80" t="n">
        <v>320.75</v>
      </c>
      <c r="DI6" s="80" t="n">
        <v>195.85</v>
      </c>
      <c r="DJ6" s="80" t="n">
        <v>133.57</v>
      </c>
      <c r="DK6" s="80" t="n">
        <v>44.3</v>
      </c>
      <c r="DL6" s="80" t="n">
        <v>1065.78</v>
      </c>
      <c r="DM6" s="80" t="n">
        <v>1604.32</v>
      </c>
      <c r="DN6" s="80" t="n">
        <v>837.99</v>
      </c>
      <c r="DO6" s="80" t="n">
        <v>301.12</v>
      </c>
      <c r="DP6" s="80" t="n">
        <v>887.8</v>
      </c>
      <c r="DQ6" s="80" t="n">
        <v>534.9</v>
      </c>
      <c r="DR6" s="80" t="n">
        <v>316.33</v>
      </c>
      <c r="DS6" s="80" t="n">
        <v>211.13</v>
      </c>
      <c r="DT6" s="80" t="n">
        <v>966.3</v>
      </c>
      <c r="DU6" s="80" t="n">
        <v>1999.28</v>
      </c>
      <c r="DV6" s="80" t="n">
        <v>607.09</v>
      </c>
      <c r="DW6" s="80" t="n">
        <v>154.75</v>
      </c>
      <c r="DX6" s="80" t="n">
        <v>787.6799999999999</v>
      </c>
      <c r="DY6" s="80" t="n">
        <v>2890.39</v>
      </c>
      <c r="DZ6" s="80" t="n">
        <v>263.84</v>
      </c>
      <c r="EA6" s="80" t="n">
        <v>106.13</v>
      </c>
      <c r="EB6" s="80" t="n">
        <v>87.83</v>
      </c>
      <c r="EC6" s="80" t="n">
        <v>70.69</v>
      </c>
      <c r="ED6" s="80" t="n">
        <v>128.72</v>
      </c>
      <c r="EE6" s="80" t="n">
        <v>196.46</v>
      </c>
      <c r="EF6" s="80" t="n">
        <v>166.42</v>
      </c>
      <c r="EG6" s="80" t="n">
        <v>178.76</v>
      </c>
      <c r="EH6" s="80" t="n">
        <v>172.61</v>
      </c>
      <c r="EI6" s="80" t="n">
        <v>151.74</v>
      </c>
      <c r="EJ6" s="80" t="n">
        <v>188.24</v>
      </c>
      <c r="EK6" s="80" t="n">
        <v>261.52</v>
      </c>
      <c r="EL6" s="80" t="n">
        <v>148.37</v>
      </c>
      <c r="EM6" s="80" t="n">
        <v>150.03</v>
      </c>
      <c r="EN6" s="80" t="n">
        <v>78.45999999999999</v>
      </c>
      <c r="EO6" s="80" t="n">
        <v>95.2</v>
      </c>
      <c r="EP6" s="80" t="n">
        <v>66.65000000000001</v>
      </c>
      <c r="EQ6" s="80" t="n">
        <v>133.43</v>
      </c>
      <c r="ER6" s="80" t="n">
        <v>71.12</v>
      </c>
      <c r="ES6" s="80" t="n">
        <v>120.87</v>
      </c>
      <c r="ET6" s="80" t="n">
        <v>32.34</v>
      </c>
      <c r="EU6" s="80" t="n">
        <v>114.23</v>
      </c>
      <c r="EV6" s="80" t="n">
        <v>117.92</v>
      </c>
      <c r="EW6" s="80" t="n">
        <v>143.16</v>
      </c>
      <c r="EX6" s="80" t="n">
        <v>75.52</v>
      </c>
      <c r="EY6" s="80" t="n">
        <v>133.1</v>
      </c>
      <c r="EZ6" s="80" t="n">
        <v>152.27</v>
      </c>
      <c r="FA6" s="80" t="n">
        <v>25.76</v>
      </c>
      <c r="FB6" s="80" t="n">
        <v>56.56</v>
      </c>
      <c r="FC6" s="80" t="n">
        <v>60.36</v>
      </c>
      <c r="FD6" s="80" t="n">
        <v>330.93</v>
      </c>
      <c r="FE6" s="80" t="n">
        <v>37.8</v>
      </c>
      <c r="FF6" s="80" t="n">
        <v>69.91</v>
      </c>
      <c r="FG6" s="80" t="n">
        <v>202.99</v>
      </c>
      <c r="FH6" s="80" t="n">
        <v>216.64</v>
      </c>
      <c r="FI6" s="80" t="n">
        <v>355.7</v>
      </c>
      <c r="FJ6" s="80" t="n">
        <v>247.84</v>
      </c>
      <c r="FK6" s="80" t="n">
        <v>115.48</v>
      </c>
      <c r="FL6" s="80" t="n">
        <v>295.74</v>
      </c>
      <c r="FM6" s="80" t="n">
        <v>174.1</v>
      </c>
      <c r="FN6" s="80" t="n">
        <v>429.02</v>
      </c>
      <c r="FO6" s="80" t="n">
        <v>377.69</v>
      </c>
      <c r="FP6" s="80" t="n">
        <v>1017.3</v>
      </c>
      <c r="FQ6" s="80" t="n">
        <v>85.66</v>
      </c>
      <c r="FR6" s="80" t="n">
        <v>254.62</v>
      </c>
      <c r="FS6" s="80" t="n">
        <v>508.2</v>
      </c>
      <c r="FT6" s="80" t="n">
        <v>8669.559999999999</v>
      </c>
      <c r="FU6" s="80" t="n">
        <v>761.23</v>
      </c>
      <c r="FV6" s="80" t="n">
        <v>243</v>
      </c>
      <c r="FW6" s="80" t="n">
        <v>332.23</v>
      </c>
      <c r="FX6" s="80" t="n">
        <v>524.67</v>
      </c>
      <c r="FY6" s="80" t="n">
        <v>1215.2</v>
      </c>
      <c r="FZ6" s="80" t="n">
        <v>286.28</v>
      </c>
      <c r="GA6" s="80" t="n">
        <v>4160.9</v>
      </c>
      <c r="GB6" s="80" t="n">
        <v>1713.45</v>
      </c>
      <c r="GC6" s="80" t="n">
        <v>153.63</v>
      </c>
      <c r="GD6" s="80" t="n">
        <v>300.89</v>
      </c>
      <c r="GE6" s="80" t="n">
        <v>891.86</v>
      </c>
      <c r="GF6" s="80" t="n">
        <v>637.09</v>
      </c>
      <c r="GG6" s="80" t="n">
        <v>536.92</v>
      </c>
      <c r="GH6" s="80" t="n">
        <v>652.02</v>
      </c>
      <c r="GI6" s="80" t="n">
        <v>4379.39</v>
      </c>
      <c r="GJ6" s="80" t="n">
        <v>359.02</v>
      </c>
      <c r="GK6" s="80" t="n">
        <v>775.3</v>
      </c>
      <c r="GL6" s="80" t="n">
        <v>1015.85</v>
      </c>
      <c r="GM6" s="80" t="n">
        <v>219.29</v>
      </c>
      <c r="GN6" s="80" t="n">
        <v>334.68</v>
      </c>
      <c r="GO6" s="80" t="n">
        <v>257.52</v>
      </c>
      <c r="GP6" s="80" t="n">
        <v>221.23</v>
      </c>
      <c r="GQ6" s="80" t="n">
        <v>300.07</v>
      </c>
    </row>
    <row r="7" ht="15" customHeight="1" s="81">
      <c r="A7" s="151" t="n">
        <v>46123</v>
      </c>
      <c r="B7" s="80" t="n">
        <v>31986.85</v>
      </c>
      <c r="C7" s="80" t="n">
        <v>9278.6</v>
      </c>
      <c r="D7" s="80" t="n">
        <v>9142.940000000001</v>
      </c>
      <c r="E7" s="80" t="n">
        <v>7499.61</v>
      </c>
      <c r="F7" s="80" t="n">
        <v>1697.73</v>
      </c>
      <c r="G7" s="80" t="n">
        <v>6394.47</v>
      </c>
      <c r="H7" s="80" t="n">
        <v>4704.15</v>
      </c>
      <c r="I7" s="80" t="n">
        <v>1076.04</v>
      </c>
      <c r="J7" s="80" t="n">
        <v>1323.46</v>
      </c>
      <c r="K7" s="80" t="n">
        <v>920.9</v>
      </c>
      <c r="L7" s="80" t="n">
        <v>1035.94</v>
      </c>
      <c r="M7" s="80" t="n">
        <v>992.39</v>
      </c>
      <c r="N7" s="80" t="n">
        <v>2237.69</v>
      </c>
      <c r="O7" s="80" t="n">
        <v>920.5599999999999</v>
      </c>
      <c r="P7" s="80" t="n">
        <v>774.66</v>
      </c>
      <c r="Q7" s="80" t="n">
        <v>3614.72</v>
      </c>
      <c r="R7" s="80" t="n">
        <v>3973.98</v>
      </c>
      <c r="S7" s="80" t="n">
        <v>1753.29</v>
      </c>
      <c r="T7" s="80" t="n">
        <v>5386.49</v>
      </c>
      <c r="U7" s="80" t="n">
        <v>16504.3</v>
      </c>
      <c r="V7" s="80" t="n">
        <v>4655.22</v>
      </c>
      <c r="W7" s="80" t="n">
        <v>11099.96</v>
      </c>
      <c r="X7" s="80" t="n">
        <v>7760.94</v>
      </c>
      <c r="Y7" s="80" t="n">
        <v>2589.68</v>
      </c>
      <c r="Z7" s="80" t="n">
        <v>2274.81</v>
      </c>
      <c r="AA7" s="80" t="n">
        <v>2460.21</v>
      </c>
      <c r="AB7" s="80" t="n">
        <v>3848.23</v>
      </c>
      <c r="AC7" s="80" t="n">
        <v>2138.58</v>
      </c>
      <c r="AD7" s="80" t="n">
        <v>1042.2</v>
      </c>
      <c r="AE7" s="80" t="n">
        <v>895.9</v>
      </c>
      <c r="AF7" s="80" t="n">
        <v>815429.35</v>
      </c>
      <c r="AG7" s="80" t="n">
        <v>6204.72</v>
      </c>
      <c r="AH7" s="80" t="n">
        <v>90713.42</v>
      </c>
      <c r="AI7" s="80" t="n">
        <v>1346.79</v>
      </c>
      <c r="AJ7" s="80" t="n">
        <v>1054.17</v>
      </c>
      <c r="AK7" s="80" t="n">
        <v>1650.35</v>
      </c>
      <c r="AL7" s="80" t="n">
        <v>629.84</v>
      </c>
      <c r="AM7" s="80" t="n">
        <v>1009.54</v>
      </c>
      <c r="AN7" s="80" t="n">
        <v>655.76</v>
      </c>
      <c r="AO7" s="80" t="n">
        <v>641.61</v>
      </c>
      <c r="AP7" s="80" t="n">
        <v>558.52</v>
      </c>
      <c r="AQ7" s="80" t="n">
        <v>571.1900000000001</v>
      </c>
      <c r="AR7" s="80" t="n">
        <v>615.21</v>
      </c>
      <c r="AS7" s="80" t="n">
        <v>218.86</v>
      </c>
      <c r="AT7" s="80" t="n">
        <v>268.16</v>
      </c>
      <c r="AU7" s="80" t="n">
        <v>305.62</v>
      </c>
      <c r="AV7" s="80" t="n">
        <v>334.16</v>
      </c>
      <c r="AW7" s="80" t="n">
        <v>804.1900000000001</v>
      </c>
      <c r="AX7" s="80" t="n">
        <v>372.86</v>
      </c>
      <c r="AY7" s="80" t="n">
        <v>426.28</v>
      </c>
      <c r="AZ7" s="80" t="n">
        <v>300.14</v>
      </c>
      <c r="BA7" s="80" t="n">
        <v>163.7</v>
      </c>
      <c r="BB7" s="80" t="n">
        <v>209.72</v>
      </c>
      <c r="BC7" s="80" t="n">
        <v>224.45</v>
      </c>
      <c r="BD7" s="80" t="n">
        <v>215.93</v>
      </c>
      <c r="BE7" s="80" t="n">
        <v>222.23</v>
      </c>
      <c r="BF7" s="80" t="n">
        <v>85.59999999999999</v>
      </c>
      <c r="BG7" s="80" t="n">
        <v>57.47</v>
      </c>
      <c r="BH7" s="80" t="n">
        <v>485.85</v>
      </c>
      <c r="BI7" s="80" t="n">
        <v>130.93</v>
      </c>
      <c r="BJ7" s="80" t="n">
        <v>105.28</v>
      </c>
      <c r="BK7" s="80" t="n">
        <v>166.25</v>
      </c>
      <c r="BL7" s="80" t="n">
        <v>125.07</v>
      </c>
      <c r="BM7" s="80" t="n">
        <v>266.95</v>
      </c>
      <c r="BN7" s="80" t="n">
        <v>226.18</v>
      </c>
      <c r="BO7" s="80" t="n">
        <v>355.02</v>
      </c>
      <c r="BP7" s="80" t="n">
        <v>207.67</v>
      </c>
      <c r="BQ7" s="80" t="n">
        <v>173.75</v>
      </c>
      <c r="BR7" s="80" t="n">
        <v>1082.4</v>
      </c>
      <c r="BS7" s="80" t="n">
        <v>337.7</v>
      </c>
      <c r="BT7" s="80" t="n">
        <v>364.45</v>
      </c>
      <c r="BU7" s="80" t="n">
        <v>346.87</v>
      </c>
      <c r="BV7" s="80" t="n">
        <v>205.64</v>
      </c>
      <c r="BW7" s="80" t="n">
        <v>256.92</v>
      </c>
      <c r="BX7" s="80" t="n">
        <v>245.16</v>
      </c>
      <c r="BY7" s="80" t="n">
        <v>300.83</v>
      </c>
      <c r="BZ7" s="80" t="n">
        <v>197.43</v>
      </c>
      <c r="CA7" s="80" t="n">
        <v>189.48</v>
      </c>
      <c r="CB7" s="80" t="n">
        <v>395.94</v>
      </c>
      <c r="CC7" s="80" t="n">
        <v>85.86</v>
      </c>
      <c r="CD7" s="80" t="n">
        <v>850.77</v>
      </c>
      <c r="CE7" s="80" t="n">
        <v>233.24</v>
      </c>
      <c r="CF7" s="80" t="n">
        <v>168.79</v>
      </c>
      <c r="CG7" s="80" t="n">
        <v>259.62</v>
      </c>
      <c r="CH7" s="80" t="n">
        <v>152.15</v>
      </c>
      <c r="CI7" s="80" t="n">
        <v>189.54</v>
      </c>
      <c r="CJ7" s="80" t="n">
        <v>201.88</v>
      </c>
      <c r="CK7" s="80" t="n">
        <v>136.93</v>
      </c>
      <c r="CL7" s="80" t="n">
        <v>353.44</v>
      </c>
      <c r="CM7" s="80" t="n">
        <v>266.2</v>
      </c>
      <c r="CN7" s="80" t="n">
        <v>439.01</v>
      </c>
      <c r="CO7" s="80" t="n">
        <v>360.82</v>
      </c>
      <c r="CP7" s="80" t="n">
        <v>224.78</v>
      </c>
      <c r="CQ7" s="80" t="n">
        <v>289.93</v>
      </c>
      <c r="CR7" s="80" t="n">
        <v>262.22</v>
      </c>
      <c r="CS7" s="80" t="n">
        <v>127.81</v>
      </c>
      <c r="CT7" s="80" t="n">
        <v>262</v>
      </c>
      <c r="CU7" s="80" t="n">
        <v>173.62</v>
      </c>
      <c r="CV7" s="80" t="n">
        <v>352.75</v>
      </c>
      <c r="CW7" s="80" t="n">
        <v>222.17</v>
      </c>
      <c r="CX7" s="80" t="n">
        <v>231.9</v>
      </c>
      <c r="CY7" s="80" t="n">
        <v>168.96</v>
      </c>
      <c r="CZ7" s="80" t="n">
        <v>144.5</v>
      </c>
      <c r="DA7" s="80" t="n">
        <v>3999.78</v>
      </c>
      <c r="DB7" s="80" t="n">
        <v>980.53</v>
      </c>
      <c r="DC7" s="80" t="n">
        <v>1141.7</v>
      </c>
      <c r="DD7" s="80" t="n">
        <v>1031.86</v>
      </c>
      <c r="DE7" s="80" t="n">
        <v>794.61</v>
      </c>
      <c r="DF7" s="80" t="n">
        <v>669.1799999999999</v>
      </c>
      <c r="DG7" s="80" t="n">
        <v>647.62</v>
      </c>
      <c r="DH7" s="80" t="n">
        <v>343.48</v>
      </c>
      <c r="DI7" s="80" t="n">
        <v>207.93</v>
      </c>
      <c r="DJ7" s="80" t="n">
        <v>153.34</v>
      </c>
      <c r="DK7" s="80" t="n">
        <v>50.3</v>
      </c>
      <c r="DL7" s="80" t="n">
        <v>1207.47</v>
      </c>
      <c r="DM7" s="80" t="n">
        <v>1778.54</v>
      </c>
      <c r="DN7" s="80" t="n">
        <v>945.09</v>
      </c>
      <c r="DO7" s="80" t="n">
        <v>331.59</v>
      </c>
      <c r="DP7" s="80" t="n">
        <v>951.53</v>
      </c>
      <c r="DQ7" s="80" t="n">
        <v>567.9299999999999</v>
      </c>
      <c r="DR7" s="80" t="n">
        <v>344.65</v>
      </c>
      <c r="DS7" s="80" t="n">
        <v>231.82</v>
      </c>
      <c r="DT7" s="80" t="n">
        <v>1081.68</v>
      </c>
      <c r="DU7" s="80" t="n">
        <v>2124.6</v>
      </c>
      <c r="DV7" s="80" t="n">
        <v>591.52</v>
      </c>
      <c r="DW7" s="80" t="n">
        <v>164.17</v>
      </c>
      <c r="DX7" s="80" t="n">
        <v>807.48</v>
      </c>
      <c r="DY7" s="80" t="n">
        <v>2991.92</v>
      </c>
      <c r="DZ7" s="80" t="n">
        <v>273.99</v>
      </c>
      <c r="EA7" s="80" t="n">
        <v>112.82</v>
      </c>
      <c r="EB7" s="80" t="n">
        <v>88.89</v>
      </c>
      <c r="EC7" s="80" t="n">
        <v>72.59</v>
      </c>
      <c r="ED7" s="80" t="n">
        <v>133.11</v>
      </c>
      <c r="EE7" s="80" t="n">
        <v>208.13</v>
      </c>
      <c r="EF7" s="80" t="n">
        <v>168.27</v>
      </c>
      <c r="EG7" s="80" t="n">
        <v>187.97</v>
      </c>
      <c r="EH7" s="80" t="n">
        <v>178.47</v>
      </c>
      <c r="EI7" s="80" t="n">
        <v>160.18</v>
      </c>
      <c r="EJ7" s="80" t="n">
        <v>196.55</v>
      </c>
      <c r="EK7" s="80" t="n">
        <v>280.93</v>
      </c>
      <c r="EL7" s="80" t="n">
        <v>155.37</v>
      </c>
      <c r="EM7" s="80" t="n">
        <v>152.91</v>
      </c>
      <c r="EN7" s="80" t="n">
        <v>81.42</v>
      </c>
      <c r="EO7" s="80" t="n">
        <v>99.09999999999999</v>
      </c>
      <c r="EP7" s="80" t="n">
        <v>70.72</v>
      </c>
      <c r="EQ7" s="80" t="n">
        <v>137.18</v>
      </c>
      <c r="ER7" s="80" t="n">
        <v>71.02</v>
      </c>
      <c r="ES7" s="80" t="n">
        <v>125.65</v>
      </c>
      <c r="ET7" s="80" t="n">
        <v>33.54</v>
      </c>
      <c r="EU7" s="80" t="n">
        <v>117.82</v>
      </c>
      <c r="EV7" s="80" t="n">
        <v>123.83</v>
      </c>
      <c r="EW7" s="80" t="n">
        <v>159.36</v>
      </c>
      <c r="EX7" s="80" t="n">
        <v>79.02</v>
      </c>
      <c r="EY7" s="80" t="n">
        <v>146.45</v>
      </c>
      <c r="EZ7" s="80" t="n">
        <v>167.6</v>
      </c>
      <c r="FA7" s="80" t="n">
        <v>27.15</v>
      </c>
      <c r="FB7" s="80" t="n">
        <v>60.3</v>
      </c>
      <c r="FC7" s="80" t="n">
        <v>61.96</v>
      </c>
      <c r="FD7" s="80" t="n">
        <v>351.03</v>
      </c>
      <c r="FE7" s="80" t="n">
        <v>38.61</v>
      </c>
      <c r="FF7" s="80" t="n">
        <v>73.06</v>
      </c>
      <c r="FG7" s="80" t="n">
        <v>208.42</v>
      </c>
      <c r="FH7" s="80" t="n">
        <v>226.42</v>
      </c>
      <c r="FI7" s="80" t="n">
        <v>368.97</v>
      </c>
      <c r="FJ7" s="80" t="n">
        <v>262.12</v>
      </c>
      <c r="FK7" s="80" t="n">
        <v>125.56</v>
      </c>
      <c r="FL7" s="80" t="n">
        <v>308.66</v>
      </c>
      <c r="FM7" s="80" t="n">
        <v>173.55</v>
      </c>
      <c r="FN7" s="80" t="n">
        <v>446.82</v>
      </c>
      <c r="FO7" s="80" t="n">
        <v>397.51</v>
      </c>
      <c r="FP7" s="80" t="n">
        <v>1053.19</v>
      </c>
      <c r="FQ7" s="80" t="n">
        <v>90.41</v>
      </c>
      <c r="FR7" s="80" t="n">
        <v>265.6</v>
      </c>
      <c r="FS7" s="80" t="n">
        <v>540.97</v>
      </c>
      <c r="FT7" s="80" t="n">
        <v>8955.73</v>
      </c>
      <c r="FU7" s="80" t="n">
        <v>789.84</v>
      </c>
      <c r="FV7" s="80" t="n">
        <v>255.59</v>
      </c>
      <c r="FW7" s="80" t="n">
        <v>345.12</v>
      </c>
      <c r="FX7" s="80" t="n">
        <v>550</v>
      </c>
      <c r="FY7" s="80" t="n">
        <v>1264.13</v>
      </c>
      <c r="FZ7" s="80" t="n">
        <v>300.3</v>
      </c>
      <c r="GA7" s="80" t="n">
        <v>4236.05</v>
      </c>
      <c r="GB7" s="80" t="n">
        <v>1721.95</v>
      </c>
      <c r="GC7" s="80" t="n">
        <v>165.89</v>
      </c>
      <c r="GD7" s="80" t="n">
        <v>334.24</v>
      </c>
      <c r="GE7" s="80" t="n">
        <v>930.66</v>
      </c>
      <c r="GF7" s="80" t="n">
        <v>645.49</v>
      </c>
      <c r="GG7" s="80" t="n">
        <v>559.5</v>
      </c>
      <c r="GH7" s="80" t="n">
        <v>671.05</v>
      </c>
      <c r="GI7" s="80" t="n">
        <v>4460.77</v>
      </c>
      <c r="GJ7" s="80" t="n">
        <v>359.79</v>
      </c>
      <c r="GK7" s="80" t="n">
        <v>823.3</v>
      </c>
      <c r="GL7" s="80" t="n">
        <v>1054.8</v>
      </c>
      <c r="GM7" s="80" t="n">
        <v>226.34</v>
      </c>
      <c r="GN7" s="80" t="n">
        <v>352.82</v>
      </c>
      <c r="GO7" s="80" t="n">
        <v>266.2</v>
      </c>
      <c r="GP7" s="80" t="n">
        <v>226.97</v>
      </c>
      <c r="GQ7" s="80" t="n">
        <v>298.89</v>
      </c>
    </row>
    <row r="8" ht="15" customHeight="1" s="81">
      <c r="A8" s="151" t="n">
        <v>46146</v>
      </c>
      <c r="B8" s="80" t="n">
        <v>32360.48</v>
      </c>
      <c r="C8" s="80" t="n">
        <v>9551.49</v>
      </c>
      <c r="D8" s="80" t="n">
        <v>9491.389999999999</v>
      </c>
      <c r="E8" s="80" t="n">
        <v>8057.48</v>
      </c>
      <c r="F8" s="80" t="n">
        <v>1776.57</v>
      </c>
      <c r="G8" s="80" t="n">
        <v>6519.85</v>
      </c>
      <c r="H8" s="80" t="n">
        <v>4820.96</v>
      </c>
      <c r="I8" s="80" t="n">
        <v>1072.31</v>
      </c>
      <c r="J8" s="80" t="n">
        <v>1371.66</v>
      </c>
      <c r="K8" s="80" t="n">
        <v>961.58</v>
      </c>
      <c r="L8" s="80" t="n">
        <v>1083.78</v>
      </c>
      <c r="M8" s="80" t="n">
        <v>1037.08</v>
      </c>
      <c r="N8" s="80" t="n">
        <v>2381.82</v>
      </c>
      <c r="O8" s="80" t="n">
        <v>943.72</v>
      </c>
      <c r="P8" s="80" t="n">
        <v>797.3</v>
      </c>
      <c r="Q8" s="80" t="n">
        <v>3751.42</v>
      </c>
      <c r="R8" s="80" t="n">
        <v>4174.69</v>
      </c>
      <c r="S8" s="80" t="n">
        <v>1770.47</v>
      </c>
      <c r="T8" s="80" t="n">
        <v>5371.18</v>
      </c>
      <c r="U8" s="80" t="n">
        <v>17956.63</v>
      </c>
      <c r="V8" s="80" t="n">
        <v>4841.33</v>
      </c>
      <c r="W8" s="80" t="n">
        <v>11854.23</v>
      </c>
      <c r="X8" s="80" t="n">
        <v>8447.4</v>
      </c>
      <c r="Y8" s="80" t="n">
        <v>2772.64</v>
      </c>
      <c r="Z8" s="80" t="n">
        <v>2407.46</v>
      </c>
      <c r="AA8" s="80" t="n">
        <v>2597.49</v>
      </c>
      <c r="AB8" s="80" t="n">
        <v>4181.4</v>
      </c>
      <c r="AC8" s="80" t="n">
        <v>2147.49</v>
      </c>
      <c r="AD8" s="80" t="n">
        <v>1088.44</v>
      </c>
      <c r="AE8" s="80" t="n">
        <v>934.66</v>
      </c>
      <c r="AF8" s="80" t="n">
        <v>844677.8199999999</v>
      </c>
      <c r="AG8" s="80" t="n">
        <v>6358.21</v>
      </c>
      <c r="AH8" s="80" t="n">
        <v>93918.45</v>
      </c>
      <c r="AI8" s="80" t="n">
        <v>1391.1</v>
      </c>
      <c r="AJ8" s="80" t="n">
        <v>1099.05</v>
      </c>
      <c r="AK8" s="80" t="n">
        <v>1551.29</v>
      </c>
      <c r="AL8" s="80" t="n">
        <v>559.13</v>
      </c>
      <c r="AM8" s="80" t="n">
        <v>969.21</v>
      </c>
      <c r="AN8" s="80" t="n">
        <v>701.67</v>
      </c>
      <c r="AO8" s="80" t="n">
        <v>680.13</v>
      </c>
      <c r="AP8" s="80" t="n">
        <v>572.17</v>
      </c>
      <c r="AQ8" s="80" t="n">
        <v>618.71</v>
      </c>
      <c r="AR8" s="80" t="n">
        <v>629.58</v>
      </c>
      <c r="AS8" s="80" t="n">
        <v>220</v>
      </c>
      <c r="AT8" s="80" t="n">
        <v>281.04</v>
      </c>
      <c r="AU8" s="80" t="n">
        <v>320.06</v>
      </c>
      <c r="AV8" s="80" t="n">
        <v>344.11</v>
      </c>
      <c r="AW8" s="80" t="n">
        <v>797.77</v>
      </c>
      <c r="AX8" s="80" t="n">
        <v>370.83</v>
      </c>
      <c r="AY8" s="80" t="n">
        <v>444.46</v>
      </c>
      <c r="AZ8" s="80" t="n">
        <v>319.2</v>
      </c>
      <c r="BA8" s="80" t="n">
        <v>174.56</v>
      </c>
      <c r="BB8" s="80" t="n">
        <v>219.98</v>
      </c>
      <c r="BC8" s="80" t="n">
        <v>232.69</v>
      </c>
      <c r="BD8" s="80" t="n">
        <v>227.19</v>
      </c>
      <c r="BE8" s="80" t="n">
        <v>247.88</v>
      </c>
      <c r="BF8" s="80" t="n">
        <v>88.86</v>
      </c>
      <c r="BG8" s="80" t="n">
        <v>60.27</v>
      </c>
      <c r="BH8" s="80" t="n">
        <v>517.3</v>
      </c>
      <c r="BI8" s="80" t="n">
        <v>140.49</v>
      </c>
      <c r="BJ8" s="80" t="n">
        <v>110.27</v>
      </c>
      <c r="BK8" s="80" t="n">
        <v>178.38</v>
      </c>
      <c r="BL8" s="80" t="n">
        <v>128.04</v>
      </c>
      <c r="BM8" s="80" t="n">
        <v>277.12</v>
      </c>
      <c r="BN8" s="80" t="n">
        <v>240.96</v>
      </c>
      <c r="BO8" s="80" t="n">
        <v>369.16</v>
      </c>
      <c r="BP8" s="80" t="n">
        <v>220.02</v>
      </c>
      <c r="BQ8" s="80" t="n">
        <v>179.27</v>
      </c>
      <c r="BR8" s="80" t="n">
        <v>1168.12</v>
      </c>
      <c r="BS8" s="80" t="n">
        <v>348.29</v>
      </c>
      <c r="BT8" s="80" t="n">
        <v>367.89</v>
      </c>
      <c r="BU8" s="80" t="n">
        <v>379.99</v>
      </c>
      <c r="BV8" s="80" t="n">
        <v>219.82</v>
      </c>
      <c r="BW8" s="80" t="n">
        <v>280.87</v>
      </c>
      <c r="BX8" s="80" t="n">
        <v>258.18</v>
      </c>
      <c r="BY8" s="80" t="n">
        <v>314.6</v>
      </c>
      <c r="BZ8" s="80" t="n">
        <v>212.33</v>
      </c>
      <c r="CA8" s="80" t="n">
        <v>197.84</v>
      </c>
      <c r="CB8" s="80" t="n">
        <v>399.71</v>
      </c>
      <c r="CC8" s="80" t="n">
        <v>88.33</v>
      </c>
      <c r="CD8" s="80" t="n">
        <v>928.14</v>
      </c>
      <c r="CE8" s="80" t="n">
        <v>265.83</v>
      </c>
      <c r="CF8" s="80" t="n">
        <v>175.1</v>
      </c>
      <c r="CG8" s="80" t="n">
        <v>274.18</v>
      </c>
      <c r="CH8" s="80" t="n">
        <v>155.69</v>
      </c>
      <c r="CI8" s="80" t="n">
        <v>194.84</v>
      </c>
      <c r="CJ8" s="80" t="n">
        <v>211.56</v>
      </c>
      <c r="CK8" s="80" t="n">
        <v>137.41</v>
      </c>
      <c r="CL8" s="80" t="n">
        <v>372.63</v>
      </c>
      <c r="CM8" s="80" t="n">
        <v>279.11</v>
      </c>
      <c r="CN8" s="80" t="n">
        <v>453.26</v>
      </c>
      <c r="CO8" s="80" t="n">
        <v>377.88</v>
      </c>
      <c r="CP8" s="80" t="n">
        <v>239.93</v>
      </c>
      <c r="CQ8" s="80" t="n">
        <v>307.82</v>
      </c>
      <c r="CR8" s="80" t="n">
        <v>273.99</v>
      </c>
      <c r="CS8" s="80" t="n">
        <v>137.87</v>
      </c>
      <c r="CT8" s="80" t="n">
        <v>280.94</v>
      </c>
      <c r="CU8" s="80" t="n">
        <v>175</v>
      </c>
      <c r="CV8" s="80" t="n">
        <v>378.69</v>
      </c>
      <c r="CW8" s="80" t="n">
        <v>240.28</v>
      </c>
      <c r="CX8" s="80" t="n">
        <v>240.31</v>
      </c>
      <c r="CY8" s="80" t="n">
        <v>177.65</v>
      </c>
      <c r="CZ8" s="80" t="n">
        <v>148.63</v>
      </c>
      <c r="DA8" s="80" t="n">
        <v>4035.72</v>
      </c>
      <c r="DB8" s="80" t="n">
        <v>986.5700000000001</v>
      </c>
      <c r="DC8" s="80" t="n">
        <v>1184.42</v>
      </c>
      <c r="DD8" s="80" t="n">
        <v>1089.15</v>
      </c>
      <c r="DE8" s="80" t="n">
        <v>851.4400000000001</v>
      </c>
      <c r="DF8" s="80" t="n">
        <v>698.11</v>
      </c>
      <c r="DG8" s="80" t="n">
        <v>677.91</v>
      </c>
      <c r="DH8" s="80" t="n">
        <v>370.04</v>
      </c>
      <c r="DI8" s="80" t="n">
        <v>214.7</v>
      </c>
      <c r="DJ8" s="80" t="n">
        <v>189.27</v>
      </c>
      <c r="DK8" s="80" t="n">
        <v>61.68</v>
      </c>
      <c r="DL8" s="80" t="n">
        <v>1358.65</v>
      </c>
      <c r="DM8" s="80" t="n">
        <v>2131.38</v>
      </c>
      <c r="DN8" s="80" t="n">
        <v>1122.41</v>
      </c>
      <c r="DO8" s="80" t="n">
        <v>370.86</v>
      </c>
      <c r="DP8" s="80" t="n">
        <v>1087.31</v>
      </c>
      <c r="DQ8" s="80" t="n">
        <v>627.23</v>
      </c>
      <c r="DR8" s="80" t="n">
        <v>376.01</v>
      </c>
      <c r="DS8" s="80" t="n">
        <v>272.62</v>
      </c>
      <c r="DT8" s="80" t="n">
        <v>1274.22</v>
      </c>
      <c r="DU8" s="80" t="n">
        <v>2172.27</v>
      </c>
      <c r="DV8" s="80" t="n">
        <v>600.61</v>
      </c>
      <c r="DW8" s="80" t="n">
        <v>175.76</v>
      </c>
      <c r="DX8" s="80" t="n">
        <v>856.65</v>
      </c>
      <c r="DY8" s="80" t="n">
        <v>3152.4</v>
      </c>
      <c r="DZ8" s="80" t="n">
        <v>282.85</v>
      </c>
      <c r="EA8" s="80" t="n">
        <v>118.29</v>
      </c>
      <c r="EB8" s="80" t="n">
        <v>94.29000000000001</v>
      </c>
      <c r="EC8" s="80" t="n">
        <v>73.87</v>
      </c>
      <c r="ED8" s="80" t="n">
        <v>136.9</v>
      </c>
      <c r="EE8" s="80" t="n">
        <v>215.86</v>
      </c>
      <c r="EF8" s="80" t="n">
        <v>177.04</v>
      </c>
      <c r="EG8" s="80" t="n">
        <v>197.94</v>
      </c>
      <c r="EH8" s="80" t="n">
        <v>184.82</v>
      </c>
      <c r="EI8" s="80" t="n">
        <v>171.3</v>
      </c>
      <c r="EJ8" s="80" t="n">
        <v>218.92</v>
      </c>
      <c r="EK8" s="80" t="n">
        <v>307.56</v>
      </c>
      <c r="EL8" s="80" t="n">
        <v>156.07</v>
      </c>
      <c r="EM8" s="80" t="n">
        <v>162.32</v>
      </c>
      <c r="EN8" s="80" t="n">
        <v>84.33</v>
      </c>
      <c r="EO8" s="80" t="n">
        <v>109.62</v>
      </c>
      <c r="EP8" s="80" t="n">
        <v>79.53</v>
      </c>
      <c r="EQ8" s="80" t="n">
        <v>145.74</v>
      </c>
      <c r="ER8" s="80" t="n">
        <v>72.87</v>
      </c>
      <c r="ES8" s="80" t="n">
        <v>127.56</v>
      </c>
      <c r="ET8" s="80" t="n">
        <v>34.87</v>
      </c>
      <c r="EU8" s="80" t="n">
        <v>122.42</v>
      </c>
      <c r="EV8" s="80" t="n">
        <v>126.07</v>
      </c>
      <c r="EW8" s="80" t="n">
        <v>177.87</v>
      </c>
      <c r="EX8" s="80" t="n">
        <v>86.13</v>
      </c>
      <c r="EY8" s="80" t="n">
        <v>169.47</v>
      </c>
      <c r="EZ8" s="80" t="n">
        <v>193.43</v>
      </c>
      <c r="FA8" s="80" t="n">
        <v>29.18</v>
      </c>
      <c r="FB8" s="80" t="n">
        <v>67.02</v>
      </c>
      <c r="FC8" s="80" t="n">
        <v>63.98</v>
      </c>
      <c r="FD8" s="80" t="n">
        <v>368.46</v>
      </c>
      <c r="FE8" s="80" t="n">
        <v>40.21</v>
      </c>
      <c r="FF8" s="80" t="n">
        <v>78.18000000000001</v>
      </c>
      <c r="FG8" s="80" t="n">
        <v>221.55</v>
      </c>
      <c r="FH8" s="80" t="n">
        <v>233.23</v>
      </c>
      <c r="FI8" s="80" t="n">
        <v>381.02</v>
      </c>
      <c r="FJ8" s="80" t="n">
        <v>276.81</v>
      </c>
      <c r="FK8" s="80" t="n">
        <v>135.3</v>
      </c>
      <c r="FL8" s="80" t="n">
        <v>321.93</v>
      </c>
      <c r="FM8" s="80" t="n">
        <v>179.48</v>
      </c>
      <c r="FN8" s="80" t="n">
        <v>474.54</v>
      </c>
      <c r="FO8" s="80" t="n">
        <v>413.14</v>
      </c>
      <c r="FP8" s="80" t="n">
        <v>1088.44</v>
      </c>
      <c r="FQ8" s="80" t="n">
        <v>95.03</v>
      </c>
      <c r="FR8" s="80" t="n">
        <v>271.03</v>
      </c>
      <c r="FS8" s="80" t="n">
        <v>572.17</v>
      </c>
      <c r="FT8" s="80" t="n">
        <v>9400.780000000001</v>
      </c>
      <c r="FU8" s="80" t="n">
        <v>849.85</v>
      </c>
      <c r="FV8" s="80" t="n">
        <v>275.94</v>
      </c>
      <c r="FW8" s="80" t="n">
        <v>373.17</v>
      </c>
      <c r="FX8" s="80" t="n">
        <v>580.98</v>
      </c>
      <c r="FY8" s="80" t="n">
        <v>1298.37</v>
      </c>
      <c r="FZ8" s="80" t="n">
        <v>321.39</v>
      </c>
      <c r="GA8" s="80" t="n">
        <v>4436.75</v>
      </c>
      <c r="GB8" s="80" t="n">
        <v>1750.66</v>
      </c>
      <c r="GC8" s="80" t="n">
        <v>173.64</v>
      </c>
      <c r="GD8" s="80" t="n">
        <v>362.41</v>
      </c>
      <c r="GE8" s="80" t="n">
        <v>959.09</v>
      </c>
      <c r="GF8" s="80" t="n">
        <v>673.8099999999999</v>
      </c>
      <c r="GG8" s="80" t="n">
        <v>567.59</v>
      </c>
      <c r="GH8" s="80" t="n">
        <v>716.09</v>
      </c>
      <c r="GI8" s="80" t="n">
        <v>4666.88</v>
      </c>
      <c r="GJ8" s="80" t="n">
        <v>371.28</v>
      </c>
      <c r="GK8" s="80" t="n">
        <v>836.6799999999999</v>
      </c>
      <c r="GL8" s="80" t="n">
        <v>1068.97</v>
      </c>
      <c r="GM8" s="80" t="n">
        <v>233.33</v>
      </c>
      <c r="GN8" s="80" t="n">
        <v>365.97</v>
      </c>
      <c r="GO8" s="80" t="n">
        <v>271.72</v>
      </c>
      <c r="GP8" s="80" t="n">
        <v>236.63</v>
      </c>
      <c r="GQ8" s="80" t="n">
        <v>318.5</v>
      </c>
    </row>
    <row r="9" ht="15" customHeight="1" s="81">
      <c r="A9" s="151" t="n">
        <v>46153</v>
      </c>
      <c r="B9" s="80" t="n">
        <v>32000</v>
      </c>
      <c r="C9" s="80" t="n">
        <v>9500</v>
      </c>
      <c r="D9" s="80" t="n">
        <v>9500</v>
      </c>
      <c r="E9" s="80" t="n">
        <v>8000</v>
      </c>
      <c r="F9" s="80" t="n">
        <v>1800</v>
      </c>
      <c r="G9" s="80" t="n">
        <v>6500</v>
      </c>
      <c r="H9" s="80" t="n">
        <v>4800</v>
      </c>
      <c r="I9" s="80" t="n">
        <v>1100</v>
      </c>
      <c r="J9" s="80" t="n">
        <v>1400</v>
      </c>
      <c r="K9" s="80" t="n">
        <v>950</v>
      </c>
      <c r="L9" s="80" t="n">
        <v>1100</v>
      </c>
      <c r="M9" s="80" t="n">
        <v>1050</v>
      </c>
      <c r="N9" s="80" t="n">
        <v>2400</v>
      </c>
      <c r="O9" s="80" t="n">
        <v>950</v>
      </c>
      <c r="P9" s="80" t="n">
        <v>800</v>
      </c>
      <c r="Q9" s="80" t="n">
        <v>3800</v>
      </c>
      <c r="R9" s="80" t="n">
        <v>4200</v>
      </c>
      <c r="S9" s="80" t="n">
        <v>1800</v>
      </c>
      <c r="T9" s="80" t="n">
        <v>5500</v>
      </c>
      <c r="U9" s="80" t="n">
        <v>18000</v>
      </c>
      <c r="V9" s="80" t="n">
        <v>5000</v>
      </c>
      <c r="W9" s="80" t="n">
        <v>12000</v>
      </c>
      <c r="X9" s="80" t="n">
        <v>8500</v>
      </c>
      <c r="Y9" s="80" t="n">
        <v>2800</v>
      </c>
      <c r="Z9" s="80" t="n">
        <v>2400</v>
      </c>
      <c r="AA9" s="80" t="n">
        <v>2600</v>
      </c>
      <c r="AB9" s="80" t="n">
        <v>4200</v>
      </c>
      <c r="AC9" s="80" t="n">
        <v>2200</v>
      </c>
      <c r="AD9" s="80" t="n">
        <v>1100</v>
      </c>
      <c r="AE9" s="80" t="n">
        <v>950</v>
      </c>
      <c r="AF9" s="80" t="n">
        <v>850000</v>
      </c>
      <c r="AG9" s="80" t="n">
        <v>6500</v>
      </c>
      <c r="AH9" s="80" t="n">
        <v>95000</v>
      </c>
      <c r="AI9" s="80" t="n">
        <v>1400</v>
      </c>
      <c r="AJ9" s="80" t="n">
        <v>1100</v>
      </c>
      <c r="AK9" s="80" t="n">
        <v>1500</v>
      </c>
      <c r="AL9" s="80" t="n">
        <v>550</v>
      </c>
      <c r="AM9" s="80" t="n">
        <v>950</v>
      </c>
      <c r="AN9" s="80" t="n">
        <v>720</v>
      </c>
      <c r="AO9" s="80" t="n">
        <v>680</v>
      </c>
      <c r="AP9" s="80" t="n">
        <v>580</v>
      </c>
      <c r="AQ9" s="80" t="n">
        <v>620</v>
      </c>
      <c r="AR9" s="80" t="n">
        <v>640</v>
      </c>
      <c r="AS9" s="80" t="n">
        <v>220</v>
      </c>
      <c r="AT9" s="80" t="n">
        <v>280</v>
      </c>
      <c r="AU9" s="80" t="n">
        <v>320</v>
      </c>
      <c r="AV9" s="80" t="n">
        <v>350</v>
      </c>
      <c r="AW9" s="80" t="n">
        <v>800</v>
      </c>
      <c r="AX9" s="80" t="n">
        <v>380</v>
      </c>
      <c r="AY9" s="80" t="n">
        <v>450</v>
      </c>
      <c r="AZ9" s="80" t="n">
        <v>320</v>
      </c>
      <c r="BA9" s="80" t="n">
        <v>180</v>
      </c>
      <c r="BB9" s="80" t="n">
        <v>220</v>
      </c>
      <c r="BC9" s="80" t="n">
        <v>240</v>
      </c>
      <c r="BD9" s="80" t="n">
        <v>230</v>
      </c>
      <c r="BE9" s="80" t="n">
        <v>250</v>
      </c>
      <c r="BF9" s="80" t="n">
        <v>90</v>
      </c>
      <c r="BG9" s="80" t="n">
        <v>60</v>
      </c>
      <c r="BH9" s="80" t="n">
        <v>520</v>
      </c>
      <c r="BI9" s="80" t="n">
        <v>140</v>
      </c>
      <c r="BJ9" s="80" t="n">
        <v>110</v>
      </c>
      <c r="BK9" s="80" t="n">
        <v>180</v>
      </c>
      <c r="BL9" s="80" t="n">
        <v>130</v>
      </c>
      <c r="BM9" s="80" t="n">
        <v>280</v>
      </c>
      <c r="BN9" s="80" t="n">
        <v>240</v>
      </c>
      <c r="BO9" s="80" t="n">
        <v>380</v>
      </c>
      <c r="BP9" s="80" t="n">
        <v>220</v>
      </c>
      <c r="BQ9" s="80" t="n">
        <v>180</v>
      </c>
      <c r="BR9" s="80" t="n">
        <v>1200</v>
      </c>
      <c r="BS9" s="80" t="n">
        <v>350</v>
      </c>
      <c r="BT9" s="80" t="n">
        <v>380</v>
      </c>
      <c r="BU9" s="80" t="n">
        <v>380</v>
      </c>
      <c r="BV9" s="80" t="n">
        <v>220</v>
      </c>
      <c r="BW9" s="80" t="n">
        <v>280</v>
      </c>
      <c r="BX9" s="80" t="n">
        <v>260</v>
      </c>
      <c r="BY9" s="80" t="n">
        <v>320</v>
      </c>
      <c r="BZ9" s="80" t="n">
        <v>220</v>
      </c>
      <c r="CA9" s="80" t="n">
        <v>200</v>
      </c>
      <c r="CB9" s="80" t="n">
        <v>400</v>
      </c>
      <c r="CC9" s="80" t="n">
        <v>90</v>
      </c>
      <c r="CD9" s="80" t="n">
        <v>950</v>
      </c>
      <c r="CE9" s="80" t="n">
        <v>280</v>
      </c>
      <c r="CF9" s="80" t="n">
        <v>180</v>
      </c>
      <c r="CG9" s="80" t="n">
        <v>280</v>
      </c>
      <c r="CH9" s="80" t="n">
        <v>160</v>
      </c>
      <c r="CI9" s="80" t="n">
        <v>200</v>
      </c>
      <c r="CJ9" s="80" t="n">
        <v>220</v>
      </c>
      <c r="CK9" s="80" t="n">
        <v>140</v>
      </c>
      <c r="CL9" s="80" t="n">
        <v>380</v>
      </c>
      <c r="CM9" s="80" t="n">
        <v>280</v>
      </c>
      <c r="CN9" s="80" t="n">
        <v>450</v>
      </c>
      <c r="CO9" s="80" t="n">
        <v>380</v>
      </c>
      <c r="CP9" s="80" t="n">
        <v>240</v>
      </c>
      <c r="CQ9" s="80" t="n">
        <v>320</v>
      </c>
      <c r="CR9" s="80" t="n">
        <v>280</v>
      </c>
      <c r="CS9" s="80" t="n">
        <v>140</v>
      </c>
      <c r="CT9" s="80" t="n">
        <v>280</v>
      </c>
      <c r="CU9" s="80" t="n">
        <v>180</v>
      </c>
      <c r="CV9" s="80" t="n">
        <v>380</v>
      </c>
      <c r="CW9" s="80" t="n">
        <v>240</v>
      </c>
      <c r="CX9" s="80" t="n">
        <v>240</v>
      </c>
      <c r="CY9" s="80" t="n">
        <v>180</v>
      </c>
      <c r="CZ9" s="80" t="n">
        <v>150</v>
      </c>
      <c r="DA9" s="80" t="n">
        <v>4000</v>
      </c>
      <c r="DB9" s="80" t="n">
        <v>1000</v>
      </c>
      <c r="DC9" s="80" t="n">
        <v>1200</v>
      </c>
      <c r="DD9" s="80" t="n">
        <v>1100</v>
      </c>
      <c r="DE9" s="80" t="n">
        <v>850</v>
      </c>
      <c r="DF9" s="80" t="n">
        <v>720</v>
      </c>
      <c r="DG9" s="80" t="n">
        <v>680</v>
      </c>
      <c r="DH9" s="80" t="n">
        <v>380</v>
      </c>
      <c r="DI9" s="80" t="n">
        <v>220</v>
      </c>
      <c r="DJ9" s="80" t="n">
        <v>200</v>
      </c>
      <c r="DK9" s="80" t="n">
        <v>65</v>
      </c>
      <c r="DL9" s="80" t="n">
        <v>1400</v>
      </c>
      <c r="DM9" s="80" t="n">
        <v>2200</v>
      </c>
      <c r="DN9" s="80" t="n">
        <v>1150</v>
      </c>
      <c r="DO9" s="80" t="n">
        <v>380</v>
      </c>
      <c r="DP9" s="80" t="n">
        <v>1100</v>
      </c>
      <c r="DQ9" s="80" t="n">
        <v>640</v>
      </c>
      <c r="DR9" s="80" t="n">
        <v>380</v>
      </c>
      <c r="DS9" s="80" t="n">
        <v>280</v>
      </c>
      <c r="DT9" s="80" t="n">
        <v>1300</v>
      </c>
      <c r="DU9" s="80" t="n">
        <v>2200</v>
      </c>
      <c r="DV9" s="80" t="n">
        <v>600</v>
      </c>
      <c r="DW9" s="80" t="n">
        <v>180</v>
      </c>
      <c r="DX9" s="80" t="n">
        <v>850</v>
      </c>
      <c r="DY9" s="80" t="n">
        <v>3200</v>
      </c>
      <c r="DZ9" s="80" t="n">
        <v>290</v>
      </c>
      <c r="EA9" s="80" t="n">
        <v>120</v>
      </c>
      <c r="EB9" s="80" t="n">
        <v>95</v>
      </c>
      <c r="EC9" s="80" t="n">
        <v>75</v>
      </c>
      <c r="ED9" s="80" t="n">
        <v>140</v>
      </c>
      <c r="EE9" s="80" t="n">
        <v>220</v>
      </c>
      <c r="EF9" s="80" t="n">
        <v>180</v>
      </c>
      <c r="EG9" s="80" t="n">
        <v>200</v>
      </c>
      <c r="EH9" s="80" t="n">
        <v>190</v>
      </c>
      <c r="EI9" s="80" t="n">
        <v>175</v>
      </c>
      <c r="EJ9" s="80" t="n">
        <v>220</v>
      </c>
      <c r="EK9" s="80" t="n">
        <v>320</v>
      </c>
      <c r="EL9" s="80" t="n">
        <v>160</v>
      </c>
      <c r="EM9" s="80" t="n">
        <v>165</v>
      </c>
      <c r="EN9" s="80" t="n">
        <v>85</v>
      </c>
      <c r="EO9" s="80" t="n">
        <v>110</v>
      </c>
      <c r="EP9" s="80" t="n">
        <v>80</v>
      </c>
      <c r="EQ9" s="80" t="n">
        <v>145</v>
      </c>
      <c r="ER9" s="80" t="n">
        <v>75</v>
      </c>
      <c r="ES9" s="80" t="n">
        <v>130</v>
      </c>
      <c r="ET9" s="80" t="n">
        <v>35</v>
      </c>
      <c r="EU9" s="80" t="n">
        <v>125</v>
      </c>
      <c r="EV9" s="80" t="n">
        <v>130</v>
      </c>
      <c r="EW9" s="80" t="n">
        <v>180</v>
      </c>
      <c r="EX9" s="80" t="n">
        <v>90</v>
      </c>
      <c r="EY9" s="80" t="n">
        <v>175</v>
      </c>
      <c r="EZ9" s="80" t="n">
        <v>200</v>
      </c>
      <c r="FA9" s="80" t="n">
        <v>30</v>
      </c>
      <c r="FB9" s="80" t="n">
        <v>70</v>
      </c>
      <c r="FC9" s="80" t="n">
        <v>65</v>
      </c>
      <c r="FD9" s="80" t="n">
        <v>380</v>
      </c>
      <c r="FE9" s="80" t="n">
        <v>40</v>
      </c>
      <c r="FF9" s="80" t="n">
        <v>80</v>
      </c>
      <c r="FG9" s="80" t="n">
        <v>220</v>
      </c>
      <c r="FH9" s="80" t="n">
        <v>240</v>
      </c>
      <c r="FI9" s="80" t="n">
        <v>380</v>
      </c>
      <c r="FJ9" s="80" t="n">
        <v>280</v>
      </c>
      <c r="FK9" s="80" t="n">
        <v>140</v>
      </c>
      <c r="FL9" s="80" t="n">
        <v>320</v>
      </c>
      <c r="FM9" s="80" t="n">
        <v>180</v>
      </c>
      <c r="FN9" s="80" t="n">
        <v>480</v>
      </c>
      <c r="FO9" s="80" t="n">
        <v>420</v>
      </c>
      <c r="FP9" s="80" t="n">
        <v>1100</v>
      </c>
      <c r="FQ9" s="80" t="n">
        <v>95</v>
      </c>
      <c r="FR9" s="80" t="n">
        <v>280</v>
      </c>
      <c r="FS9" s="80" t="n">
        <v>580</v>
      </c>
      <c r="FT9" s="80" t="n">
        <v>9500</v>
      </c>
      <c r="FU9" s="80" t="n">
        <v>850</v>
      </c>
      <c r="FV9" s="80" t="n">
        <v>280</v>
      </c>
      <c r="FW9" s="80" t="n">
        <v>380</v>
      </c>
      <c r="FX9" s="80" t="n">
        <v>580</v>
      </c>
      <c r="FY9" s="80" t="n">
        <v>1300</v>
      </c>
      <c r="FZ9" s="80" t="n">
        <v>320</v>
      </c>
      <c r="GA9" s="80" t="n">
        <v>4500</v>
      </c>
      <c r="GB9" s="80" t="n">
        <v>1800</v>
      </c>
      <c r="GC9" s="80" t="n">
        <v>180</v>
      </c>
      <c r="GD9" s="80" t="n">
        <v>380</v>
      </c>
      <c r="GE9" s="80" t="n">
        <v>950</v>
      </c>
      <c r="GF9" s="80" t="n">
        <v>680</v>
      </c>
      <c r="GG9" s="80" t="n">
        <v>580</v>
      </c>
      <c r="GH9" s="80" t="n">
        <v>720</v>
      </c>
      <c r="GI9" s="80" t="n">
        <v>4800</v>
      </c>
      <c r="GJ9" s="80" t="n">
        <v>380</v>
      </c>
      <c r="GK9" s="80" t="n">
        <v>850</v>
      </c>
      <c r="GL9" s="80" t="n">
        <v>1100</v>
      </c>
      <c r="GM9" s="80" t="n">
        <v>240</v>
      </c>
      <c r="GN9" s="80" t="n">
        <v>380</v>
      </c>
      <c r="GO9" s="80" t="n">
        <v>280</v>
      </c>
      <c r="GP9" s="80" t="n">
        <v>240</v>
      </c>
      <c r="GQ9" s="80" t="n">
        <v>320</v>
      </c>
    </row>
    <row r="10" ht="15" customHeight="1" s="81">
      <c r="A10" s="151" t="n">
        <v>46155</v>
      </c>
      <c r="B10" s="80" t="n">
        <v>32000</v>
      </c>
      <c r="C10" s="80" t="n">
        <v>9500</v>
      </c>
      <c r="D10" s="80" t="n">
        <v>9500</v>
      </c>
      <c r="E10" s="80" t="n">
        <v>8000</v>
      </c>
      <c r="F10" s="80" t="n">
        <v>3126</v>
      </c>
      <c r="G10" s="80" t="n">
        <v>6500</v>
      </c>
      <c r="H10" s="80" t="n">
        <v>4800</v>
      </c>
      <c r="I10" s="80" t="n">
        <v>1100</v>
      </c>
      <c r="J10" s="80" t="n">
        <v>1400</v>
      </c>
      <c r="K10" s="80" t="n">
        <v>950</v>
      </c>
      <c r="L10" s="80" t="n">
        <v>1100</v>
      </c>
      <c r="M10" s="80" t="n">
        <v>1050</v>
      </c>
      <c r="N10" s="80" t="n">
        <v>2400</v>
      </c>
      <c r="O10" s="80" t="n">
        <v>950</v>
      </c>
      <c r="P10" s="80" t="n">
        <v>800</v>
      </c>
      <c r="Q10" s="80" t="n">
        <v>3800</v>
      </c>
      <c r="R10" s="80" t="n">
        <v>4200</v>
      </c>
      <c r="S10" s="80" t="n">
        <v>1800</v>
      </c>
      <c r="T10" s="80" t="n">
        <v>5500</v>
      </c>
      <c r="U10" s="80" t="n">
        <v>18000</v>
      </c>
      <c r="V10" s="80" t="n">
        <v>5000</v>
      </c>
      <c r="W10" s="80" t="n">
        <v>12000</v>
      </c>
      <c r="X10" s="80" t="n">
        <v>8500</v>
      </c>
      <c r="Y10" s="80" t="n">
        <v>2800</v>
      </c>
      <c r="Z10" s="80" t="n">
        <v>2400</v>
      </c>
      <c r="AA10" s="80" t="n">
        <v>2600</v>
      </c>
      <c r="AB10" s="80" t="n">
        <v>4200</v>
      </c>
      <c r="AC10" s="80" t="n">
        <v>2200</v>
      </c>
      <c r="AD10" s="80" t="n">
        <v>1100</v>
      </c>
      <c r="AE10" s="80" t="n">
        <v>950</v>
      </c>
      <c r="AF10" s="80" t="n">
        <v>850000</v>
      </c>
      <c r="AG10" s="80" t="n">
        <v>6500</v>
      </c>
      <c r="AH10" s="80" t="n">
        <v>95000</v>
      </c>
      <c r="AI10" s="80" t="n">
        <v>1400</v>
      </c>
      <c r="AJ10" s="80" t="n">
        <v>1100</v>
      </c>
      <c r="AK10" s="80" t="n">
        <v>4480</v>
      </c>
      <c r="AL10" s="80" t="n">
        <v>2100</v>
      </c>
      <c r="AM10" s="80" t="n">
        <v>1480</v>
      </c>
      <c r="AN10" s="80" t="n">
        <v>1200</v>
      </c>
      <c r="AO10" s="80" t="n">
        <v>1100</v>
      </c>
      <c r="AP10" s="80" t="n">
        <v>900</v>
      </c>
      <c r="AQ10" s="80" t="n">
        <v>1000</v>
      </c>
      <c r="AR10" s="80" t="n">
        <v>980</v>
      </c>
      <c r="AS10" s="80" t="n">
        <v>480</v>
      </c>
      <c r="AT10" s="80" t="n">
        <v>540</v>
      </c>
      <c r="AU10" s="80" t="n">
        <v>520</v>
      </c>
      <c r="AV10" s="80" t="n">
        <v>620</v>
      </c>
      <c r="AW10" s="80" t="n">
        <v>1100</v>
      </c>
      <c r="AX10" s="80" t="n">
        <v>580</v>
      </c>
      <c r="AY10" s="80" t="n">
        <v>680</v>
      </c>
      <c r="AZ10" s="80" t="n">
        <v>520</v>
      </c>
      <c r="BA10" s="80" t="n">
        <v>320</v>
      </c>
      <c r="BB10" s="80" t="n">
        <v>380</v>
      </c>
      <c r="BC10" s="80" t="n">
        <v>390</v>
      </c>
      <c r="BD10" s="80" t="n">
        <v>380</v>
      </c>
      <c r="BE10" s="80" t="n">
        <v>440</v>
      </c>
      <c r="BF10" s="80" t="n">
        <v>160</v>
      </c>
      <c r="BG10" s="80" t="n">
        <v>110</v>
      </c>
      <c r="BH10" s="80" t="n">
        <v>820</v>
      </c>
      <c r="BI10" s="80" t="n">
        <v>240</v>
      </c>
      <c r="BJ10" s="80" t="n">
        <v>190</v>
      </c>
      <c r="BK10" s="80" t="n">
        <v>300</v>
      </c>
      <c r="BL10" s="80" t="n">
        <v>220</v>
      </c>
      <c r="BM10" s="80" t="n">
        <v>450</v>
      </c>
      <c r="BN10" s="80" t="n">
        <v>380</v>
      </c>
      <c r="BO10" s="80" t="n">
        <v>580</v>
      </c>
      <c r="BP10" s="80" t="n">
        <v>340</v>
      </c>
      <c r="BQ10" s="80" t="n">
        <v>280</v>
      </c>
      <c r="BR10" s="80" t="n">
        <v>1900</v>
      </c>
      <c r="BS10" s="80" t="n">
        <v>350</v>
      </c>
      <c r="BT10" s="80" t="n">
        <v>640</v>
      </c>
      <c r="BU10" s="80" t="n">
        <v>640</v>
      </c>
      <c r="BV10" s="80" t="n">
        <v>380</v>
      </c>
      <c r="BW10" s="80" t="n">
        <v>480</v>
      </c>
      <c r="BX10" s="80" t="n">
        <v>440</v>
      </c>
      <c r="BY10" s="80" t="n">
        <v>540</v>
      </c>
      <c r="BZ10" s="80" t="n">
        <v>380</v>
      </c>
      <c r="CA10" s="80" t="n">
        <v>340</v>
      </c>
      <c r="CB10" s="80" t="n">
        <v>700</v>
      </c>
      <c r="CC10" s="80" t="n">
        <v>90</v>
      </c>
      <c r="CD10" s="80" t="n">
        <v>1500</v>
      </c>
      <c r="CE10" s="80" t="n">
        <v>280</v>
      </c>
      <c r="CF10" s="80" t="n">
        <v>320</v>
      </c>
      <c r="CG10" s="80" t="n">
        <v>480</v>
      </c>
      <c r="CH10" s="80" t="n">
        <v>280</v>
      </c>
      <c r="CI10" s="80" t="n">
        <v>340</v>
      </c>
      <c r="CJ10" s="80" t="n">
        <v>380</v>
      </c>
      <c r="CK10" s="80" t="n">
        <v>240</v>
      </c>
      <c r="CL10" s="80" t="n">
        <v>640</v>
      </c>
      <c r="CM10" s="80" t="n">
        <v>480</v>
      </c>
      <c r="CN10" s="80" t="n">
        <v>740</v>
      </c>
      <c r="CO10" s="80" t="n">
        <v>640</v>
      </c>
      <c r="CP10" s="80" t="n">
        <v>400</v>
      </c>
      <c r="CQ10" s="80" t="n">
        <v>540</v>
      </c>
      <c r="CR10" s="80" t="n">
        <v>480</v>
      </c>
      <c r="CS10" s="80" t="n">
        <v>240</v>
      </c>
      <c r="CT10" s="80" t="n">
        <v>480</v>
      </c>
      <c r="CU10" s="80" t="n">
        <v>300</v>
      </c>
      <c r="CV10" s="80" t="n">
        <v>640</v>
      </c>
      <c r="CW10" s="80" t="n">
        <v>400</v>
      </c>
      <c r="CX10" s="80" t="n">
        <v>400</v>
      </c>
      <c r="CY10" s="80" t="n">
        <v>300</v>
      </c>
      <c r="CZ10" s="80" t="n">
        <v>260</v>
      </c>
      <c r="DA10" s="80" t="n">
        <v>5200</v>
      </c>
      <c r="DB10" s="80" t="n">
        <v>1300</v>
      </c>
      <c r="DC10" s="80" t="n">
        <v>1500</v>
      </c>
      <c r="DD10" s="80" t="n">
        <v>1400</v>
      </c>
      <c r="DE10" s="80" t="n">
        <v>1080</v>
      </c>
      <c r="DF10" s="80" t="n">
        <v>920</v>
      </c>
      <c r="DG10" s="80" t="n">
        <v>860</v>
      </c>
      <c r="DH10" s="80" t="n">
        <v>480</v>
      </c>
      <c r="DI10" s="80" t="n">
        <v>280</v>
      </c>
      <c r="DJ10" s="80" t="n">
        <v>320</v>
      </c>
      <c r="DK10" s="80" t="n">
        <v>65</v>
      </c>
      <c r="DL10" s="80" t="n">
        <v>1800</v>
      </c>
      <c r="DM10" s="80" t="n">
        <v>3000</v>
      </c>
      <c r="DN10" s="80" t="n">
        <v>1480</v>
      </c>
      <c r="DO10" s="80" t="n">
        <v>480</v>
      </c>
      <c r="DP10" s="80" t="n">
        <v>1400</v>
      </c>
      <c r="DQ10" s="80" t="n">
        <v>820</v>
      </c>
      <c r="DR10" s="80" t="n">
        <v>480</v>
      </c>
      <c r="DS10" s="80" t="n">
        <v>280</v>
      </c>
      <c r="DT10" s="80" t="n">
        <v>1700</v>
      </c>
      <c r="DU10" s="80" t="n">
        <v>2800</v>
      </c>
      <c r="DV10" s="80" t="n">
        <v>600</v>
      </c>
      <c r="DW10" s="80" t="n">
        <v>240</v>
      </c>
      <c r="DX10" s="80" t="n">
        <v>1100</v>
      </c>
      <c r="DY10" s="80" t="n">
        <v>3200</v>
      </c>
      <c r="DZ10" s="80" t="n">
        <v>290</v>
      </c>
      <c r="EA10" s="80" t="n">
        <v>120</v>
      </c>
      <c r="EB10" s="80" t="n">
        <v>95</v>
      </c>
      <c r="EC10" s="80" t="n">
        <v>75</v>
      </c>
      <c r="ED10" s="80" t="n">
        <v>140</v>
      </c>
      <c r="EE10" s="80" t="n">
        <v>220</v>
      </c>
      <c r="EF10" s="80" t="n">
        <v>180</v>
      </c>
      <c r="EG10" s="80" t="n">
        <v>200</v>
      </c>
      <c r="EH10" s="80" t="n">
        <v>190</v>
      </c>
      <c r="EI10" s="80" t="n">
        <v>175</v>
      </c>
      <c r="EJ10" s="80" t="n">
        <v>220</v>
      </c>
      <c r="EK10" s="80" t="n">
        <v>320</v>
      </c>
      <c r="EL10" s="80" t="n">
        <v>160</v>
      </c>
      <c r="EM10" s="80" t="n">
        <v>165</v>
      </c>
      <c r="EN10" s="80" t="n">
        <v>85</v>
      </c>
      <c r="EO10" s="80" t="n">
        <v>110</v>
      </c>
      <c r="EP10" s="80" t="n">
        <v>80</v>
      </c>
      <c r="EQ10" s="80" t="n">
        <v>145</v>
      </c>
      <c r="ER10" s="80" t="n">
        <v>75</v>
      </c>
      <c r="ES10" s="80" t="n">
        <v>130</v>
      </c>
      <c r="ET10" s="80" t="n">
        <v>35</v>
      </c>
      <c r="EU10" s="80" t="n">
        <v>125</v>
      </c>
      <c r="EV10" s="80" t="n">
        <v>130</v>
      </c>
      <c r="EW10" s="80" t="n">
        <v>180</v>
      </c>
      <c r="EX10" s="80" t="n">
        <v>90</v>
      </c>
      <c r="EY10" s="80" t="n">
        <v>175</v>
      </c>
      <c r="EZ10" s="80" t="n">
        <v>200</v>
      </c>
      <c r="FA10" s="80" t="n">
        <v>30</v>
      </c>
      <c r="FB10" s="80" t="n">
        <v>70</v>
      </c>
      <c r="FC10" s="80" t="n">
        <v>65</v>
      </c>
      <c r="FD10" s="80" t="n">
        <v>380</v>
      </c>
      <c r="FE10" s="80" t="n">
        <v>40</v>
      </c>
      <c r="FF10" s="80" t="n">
        <v>80</v>
      </c>
      <c r="FG10" s="80" t="n">
        <v>220</v>
      </c>
      <c r="FH10" s="80" t="n">
        <v>240</v>
      </c>
      <c r="FI10" s="80" t="n">
        <v>380</v>
      </c>
      <c r="FJ10" s="80" t="n">
        <v>280</v>
      </c>
      <c r="FK10" s="80" t="n">
        <v>140</v>
      </c>
      <c r="FL10" s="80" t="n">
        <v>320</v>
      </c>
      <c r="FM10" s="80" t="n">
        <v>180</v>
      </c>
      <c r="FN10" s="80" t="n">
        <v>480</v>
      </c>
      <c r="FO10" s="80" t="n">
        <v>420</v>
      </c>
      <c r="FP10" s="80" t="n">
        <v>1100</v>
      </c>
      <c r="FQ10" s="80" t="n">
        <v>95</v>
      </c>
      <c r="FR10" s="80" t="n">
        <v>280</v>
      </c>
      <c r="FS10" s="80" t="n">
        <v>580</v>
      </c>
      <c r="FT10" s="80" t="n">
        <v>9500</v>
      </c>
      <c r="FU10" s="80" t="n">
        <v>850</v>
      </c>
      <c r="FV10" s="80" t="n">
        <v>280</v>
      </c>
      <c r="FW10" s="80" t="n">
        <v>380</v>
      </c>
      <c r="FX10" s="80" t="n">
        <v>580</v>
      </c>
      <c r="FY10" s="80" t="n">
        <v>1300</v>
      </c>
      <c r="FZ10" s="80" t="n">
        <v>320</v>
      </c>
      <c r="GA10" s="80" t="n">
        <v>4500</v>
      </c>
      <c r="GB10" s="80" t="n">
        <v>1800</v>
      </c>
      <c r="GC10" s="80" t="n">
        <v>180</v>
      </c>
      <c r="GD10" s="80" t="n">
        <v>380</v>
      </c>
      <c r="GE10" s="80" t="n">
        <v>950</v>
      </c>
      <c r="GF10" s="80" t="n">
        <v>680</v>
      </c>
      <c r="GG10" s="80" t="n">
        <v>580</v>
      </c>
      <c r="GH10" s="80" t="n">
        <v>720</v>
      </c>
      <c r="GI10" s="80" t="n">
        <v>4800</v>
      </c>
      <c r="GJ10" s="80" t="n">
        <v>380</v>
      </c>
      <c r="GK10" s="80" t="n">
        <v>850</v>
      </c>
      <c r="GL10" s="80" t="n">
        <v>1100</v>
      </c>
      <c r="GM10" s="80" t="n">
        <v>240</v>
      </c>
      <c r="GN10" s="80" t="n">
        <v>380</v>
      </c>
      <c r="GO10" s="80" t="n">
        <v>360</v>
      </c>
      <c r="GP10" s="80" t="n">
        <v>320</v>
      </c>
      <c r="GQ10" s="80" t="n">
        <v>440</v>
      </c>
      <c r="GR10" s="80" t="n">
        <v>4</v>
      </c>
      <c r="GS10" s="80" t="n">
        <v>6</v>
      </c>
      <c r="GT10" s="80" t="n">
        <v>8</v>
      </c>
      <c r="GU10" s="80" t="n">
        <v>9</v>
      </c>
      <c r="GV10" s="80" t="n">
        <v>7</v>
      </c>
      <c r="GW10" s="80" t="n">
        <v>8</v>
      </c>
      <c r="GX10" s="80" t="n">
        <v>5</v>
      </c>
      <c r="GY10" s="80" t="n">
        <v>4</v>
      </c>
      <c r="GZ10" s="80" t="n">
        <v>6</v>
      </c>
      <c r="HA10" s="80" t="n">
        <v>5</v>
      </c>
      <c r="HB10" s="80" t="n">
        <v>5</v>
      </c>
      <c r="HC10" s="80" t="n">
        <v>4</v>
      </c>
      <c r="HD10" s="80" t="n">
        <v>4</v>
      </c>
      <c r="HE10" s="80" t="n">
        <v>5</v>
      </c>
      <c r="HF10" s="80" t="n">
        <v>6</v>
      </c>
      <c r="HG10" s="80" t="n">
        <v>4</v>
      </c>
      <c r="HH10" s="80" t="n">
        <v>7</v>
      </c>
      <c r="HI10" s="80" t="n">
        <v>8</v>
      </c>
      <c r="HJ10" s="80" t="n">
        <v>3</v>
      </c>
      <c r="HK10" s="80" t="n">
        <v>5</v>
      </c>
      <c r="HL10" s="80" t="n">
        <v>2</v>
      </c>
      <c r="HM10" s="80" t="n">
        <v>2</v>
      </c>
      <c r="HN10" s="80" t="n">
        <v>2</v>
      </c>
      <c r="HO10" s="80" t="n">
        <v>2</v>
      </c>
      <c r="HP10" s="80" t="n">
        <v>3</v>
      </c>
      <c r="HQ10" s="80" t="n">
        <v>6</v>
      </c>
      <c r="HR10" s="80" t="n">
        <v>5</v>
      </c>
      <c r="HS10" s="80" t="n">
        <v>4</v>
      </c>
      <c r="HT10" s="80" t="n">
        <v>5</v>
      </c>
      <c r="HU10" s="80" t="n">
        <v>9</v>
      </c>
      <c r="HV10" s="80" t="n">
        <v>8</v>
      </c>
      <c r="HW10" s="80" t="n">
        <v>8</v>
      </c>
      <c r="HX10" s="80" t="n">
        <v>7</v>
      </c>
      <c r="HY10" s="80" t="n">
        <v>9</v>
      </c>
      <c r="HZ10" s="80" t="n">
        <v>30</v>
      </c>
      <c r="IA10" s="80" t="n">
        <v>5</v>
      </c>
      <c r="IB10" s="80" t="n">
        <v>6</v>
      </c>
      <c r="IC10" s="80" t="n">
        <v>8</v>
      </c>
      <c r="ID10" s="80" t="n">
        <v>9</v>
      </c>
      <c r="IE10" s="80" t="n">
        <v>6</v>
      </c>
      <c r="IF10" s="80" t="n">
        <v>4</v>
      </c>
      <c r="IG10" s="80" t="n">
        <v>5</v>
      </c>
      <c r="IH10" s="80" t="n">
        <v>5</v>
      </c>
      <c r="II10" s="80" t="n">
        <v>6</v>
      </c>
      <c r="IJ10" s="80" t="n">
        <v>4</v>
      </c>
      <c r="IK10" s="80" t="n">
        <v>5</v>
      </c>
      <c r="IL10" s="80" t="n">
        <v>4</v>
      </c>
      <c r="IM10" s="80" t="n">
        <v>5</v>
      </c>
      <c r="IN10" s="80" t="n">
        <v>5</v>
      </c>
      <c r="IO10" s="80" t="n">
        <v>5</v>
      </c>
      <c r="IP10" s="80" t="n">
        <v>6</v>
      </c>
      <c r="IQ10" s="80" t="n">
        <v>8</v>
      </c>
      <c r="IR10" s="80" t="n">
        <v>5</v>
      </c>
      <c r="IS10" s="80" t="n">
        <v>5</v>
      </c>
      <c r="IT10" s="80" t="n">
        <v>6</v>
      </c>
      <c r="IU10" s="80" t="n">
        <v>7</v>
      </c>
      <c r="IV10" s="80" t="n">
        <v>9</v>
      </c>
      <c r="IW10" s="80" t="n">
        <v>8</v>
      </c>
      <c r="IX10" s="80" t="n">
        <v>6</v>
      </c>
      <c r="IY10" s="80" t="n">
        <v>8</v>
      </c>
      <c r="IZ10" s="80" t="n">
        <v>15</v>
      </c>
      <c r="JA10" s="80" t="n">
        <v>25</v>
      </c>
      <c r="JB10" s="80" t="n">
        <v>18</v>
      </c>
      <c r="JC10" s="80" t="n">
        <v>35</v>
      </c>
      <c r="JD10" s="80" t="n">
        <v>28</v>
      </c>
      <c r="JE10" s="80" t="n">
        <v>22</v>
      </c>
      <c r="JF10" s="80" t="n">
        <v>12</v>
      </c>
      <c r="JG10" s="80" t="n">
        <v>18</v>
      </c>
      <c r="JH10" s="80" t="n">
        <v>28</v>
      </c>
      <c r="JI10" s="80" t="n">
        <v>35</v>
      </c>
      <c r="JJ10" s="80" t="n">
        <v>28</v>
      </c>
      <c r="JK10" s="80" t="n">
        <v>18</v>
      </c>
      <c r="JL10" s="80" t="n">
        <v>22</v>
      </c>
      <c r="JM10" s="80" t="n">
        <v>35</v>
      </c>
      <c r="JN10" s="80" t="n">
        <v>20</v>
      </c>
      <c r="JO10" s="80" t="n">
        <v>25</v>
      </c>
      <c r="JP10" s="80" t="n">
        <v>25</v>
      </c>
      <c r="JQ10" s="80" t="n">
        <v>20</v>
      </c>
      <c r="JR10" s="80" t="n">
        <v>15</v>
      </c>
      <c r="JS10" s="80" t="n">
        <v>32</v>
      </c>
      <c r="JT10" s="80" t="n">
        <v>80</v>
      </c>
      <c r="JU10" s="80" t="n">
        <v>65</v>
      </c>
      <c r="JV10" s="80" t="n">
        <v>90</v>
      </c>
      <c r="JW10" s="80" t="n">
        <v>75</v>
      </c>
      <c r="JX10" s="80" t="n">
        <v>70</v>
      </c>
      <c r="JY10" s="80" t="n">
        <v>65</v>
      </c>
      <c r="JZ10" s="80" t="n">
        <v>120</v>
      </c>
      <c r="KA10" s="80" t="n">
        <v>85</v>
      </c>
      <c r="KB10" s="80" t="n">
        <v>95</v>
      </c>
      <c r="KC10" s="80" t="n">
        <v>130</v>
      </c>
      <c r="KD10" s="80" t="n">
        <v>70</v>
      </c>
      <c r="KE10" s="80" t="n">
        <v>95</v>
      </c>
      <c r="KF10" s="80" t="n">
        <v>60</v>
      </c>
      <c r="KG10" s="80" t="n">
        <v>85</v>
      </c>
      <c r="KH10" s="80" t="n">
        <v>55</v>
      </c>
      <c r="KI10" s="80" t="n">
        <v>700</v>
      </c>
      <c r="KJ10" s="80" t="n">
        <v>280</v>
      </c>
      <c r="KK10" s="80" t="n">
        <v>250</v>
      </c>
      <c r="KL10" s="80" t="n">
        <v>180</v>
      </c>
      <c r="KM10" s="80" t="n">
        <v>220</v>
      </c>
      <c r="KN10" s="80" t="n">
        <v>90</v>
      </c>
      <c r="KO10" s="80" t="n">
        <v>130</v>
      </c>
      <c r="KP10" s="80" t="n">
        <v>380</v>
      </c>
      <c r="KQ10" s="80" t="n">
        <v>180</v>
      </c>
      <c r="KR10" s="80" t="n">
        <v>110</v>
      </c>
      <c r="KS10" s="80" t="n">
        <v>280</v>
      </c>
      <c r="KT10" s="80" t="n">
        <v>2800</v>
      </c>
      <c r="KU10" s="80" t="n">
        <v>950</v>
      </c>
      <c r="KV10" s="80" t="n">
        <v>2200</v>
      </c>
      <c r="KW10" s="80" t="n">
        <v>880</v>
      </c>
      <c r="KX10" s="80" t="n">
        <v>18</v>
      </c>
      <c r="KY10" s="80" t="n">
        <v>14</v>
      </c>
      <c r="KZ10" s="80" t="n">
        <v>12</v>
      </c>
      <c r="LA10" s="80" t="n">
        <v>25</v>
      </c>
      <c r="LB10" s="80" t="n">
        <v>14</v>
      </c>
      <c r="LC10" s="80" t="n">
        <v>8</v>
      </c>
      <c r="LD10" s="80" t="n">
        <v>18</v>
      </c>
      <c r="LE10" s="80" t="n">
        <v>15</v>
      </c>
      <c r="LF10" s="80" t="n">
        <v>28</v>
      </c>
      <c r="LG10" s="80" t="n">
        <v>15</v>
      </c>
      <c r="LH10" s="80" t="n">
        <v>18</v>
      </c>
      <c r="LI10" s="80" t="n">
        <v>12</v>
      </c>
      <c r="LJ10" s="80" t="n">
        <v>18</v>
      </c>
      <c r="LK10" s="80" t="n">
        <v>80</v>
      </c>
      <c r="LL10" s="80" t="n">
        <v>22</v>
      </c>
      <c r="LM10" s="80" t="n">
        <v>45</v>
      </c>
      <c r="LN10" s="80" t="n">
        <v>55</v>
      </c>
      <c r="LO10" s="80" t="n">
        <v>50</v>
      </c>
      <c r="LP10" s="80" t="n">
        <v>60</v>
      </c>
      <c r="LQ10" s="80" t="n">
        <v>70</v>
      </c>
      <c r="LR10" s="80" t="n">
        <v>75</v>
      </c>
      <c r="LS10" s="80" t="n">
        <v>135</v>
      </c>
      <c r="LT10" s="80" t="n">
        <v>40</v>
      </c>
      <c r="LU10" s="80" t="n">
        <v>40</v>
      </c>
      <c r="LV10" s="80" t="n">
        <v>38</v>
      </c>
      <c r="LW10" s="80" t="n">
        <v>55</v>
      </c>
      <c r="LX10" s="80" t="n">
        <v>18</v>
      </c>
      <c r="LY10" s="80" t="n">
        <v>90</v>
      </c>
      <c r="LZ10" s="80" t="n">
        <v>55</v>
      </c>
      <c r="MA10" s="80" t="n">
        <v>65</v>
      </c>
      <c r="MB10" s="80" t="n">
        <v>50</v>
      </c>
    </row>
    <row r="11">
      <c r="A11" s="123" t="n">
        <v>46154</v>
      </c>
      <c r="B11" s="80" t="inlineStr">
        <is>
          <t>X101</t>
        </is>
      </c>
      <c r="C11" s="80" t="inlineStr">
        <is>
          <t>Iono's Bellibolt ex IR</t>
        </is>
      </c>
      <c r="D11" s="80" t="inlineStr">
        <is>
          <t>Journey Together</t>
        </is>
      </c>
      <c r="E11" s="80" t="inlineStr">
        <is>
          <t>Raw NM</t>
        </is>
      </c>
      <c r="F11" s="80" t="n">
        <v>9</v>
      </c>
    </row>
    <row r="12">
      <c r="A12" s="123" t="n">
        <v>46154</v>
      </c>
      <c r="B12" s="80" t="inlineStr">
        <is>
          <t>X102</t>
        </is>
      </c>
      <c r="C12" s="80" t="inlineStr">
        <is>
          <t>N's Zorua IR</t>
        </is>
      </c>
      <c r="D12" s="80" t="inlineStr">
        <is>
          <t>Journey Together</t>
        </is>
      </c>
      <c r="E12" s="80" t="inlineStr">
        <is>
          <t>Raw NM</t>
        </is>
      </c>
      <c r="F12" s="80" t="n">
        <v>6</v>
      </c>
    </row>
    <row r="13">
      <c r="A13" s="123" t="n">
        <v>46154</v>
      </c>
      <c r="B13" s="80" t="inlineStr">
        <is>
          <t>X103</t>
        </is>
      </c>
      <c r="C13" s="80" t="inlineStr">
        <is>
          <t>N's Reshiram Full Art</t>
        </is>
      </c>
      <c r="D13" s="80" t="inlineStr">
        <is>
          <t>Journey Together</t>
        </is>
      </c>
      <c r="E13" s="80" t="inlineStr">
        <is>
          <t>Raw NM</t>
        </is>
      </c>
      <c r="F13" s="80" t="n">
        <v>12</v>
      </c>
    </row>
    <row r="14">
      <c r="A14" s="123" t="n">
        <v>46154</v>
      </c>
      <c r="B14" s="80" t="inlineStr">
        <is>
          <t>X104</t>
        </is>
      </c>
      <c r="C14" s="80" t="inlineStr">
        <is>
          <t>N's Zekrom Full Art</t>
        </is>
      </c>
      <c r="D14" s="80" t="inlineStr">
        <is>
          <t>Journey Together</t>
        </is>
      </c>
      <c r="E14" s="80" t="inlineStr">
        <is>
          <t>Raw NM</t>
        </is>
      </c>
      <c r="F14" s="80" t="n">
        <v>12</v>
      </c>
    </row>
    <row r="15">
      <c r="A15" s="123" t="n">
        <v>46154</v>
      </c>
      <c r="B15" s="80" t="inlineStr">
        <is>
          <t>X105</t>
        </is>
      </c>
      <c r="C15" s="80" t="inlineStr">
        <is>
          <t>Bianca's Devotion Full Art</t>
        </is>
      </c>
      <c r="D15" s="80" t="inlineStr">
        <is>
          <t>Journey Together</t>
        </is>
      </c>
      <c r="E15" s="80" t="inlineStr">
        <is>
          <t>Raw NM</t>
        </is>
      </c>
      <c r="F15" s="80" t="n">
        <v>9</v>
      </c>
    </row>
    <row r="16">
      <c r="A16" s="123" t="n">
        <v>46154</v>
      </c>
      <c r="B16" s="80" t="inlineStr">
        <is>
          <t>X106</t>
        </is>
      </c>
      <c r="C16" s="80" t="inlineStr">
        <is>
          <t>Cilan &amp; Chili &amp; Cress IR</t>
        </is>
      </c>
      <c r="D16" s="80" t="inlineStr">
        <is>
          <t>Journey Together</t>
        </is>
      </c>
      <c r="E16" s="80" t="inlineStr">
        <is>
          <t>Raw NM</t>
        </is>
      </c>
      <c r="F16" s="80" t="n">
        <v>7</v>
      </c>
    </row>
    <row r="17">
      <c r="A17" s="123" t="n">
        <v>46154</v>
      </c>
      <c r="B17" s="80" t="inlineStr">
        <is>
          <t>X107</t>
        </is>
      </c>
      <c r="C17" s="80" t="inlineStr">
        <is>
          <t>Hilbert FA Trainer</t>
        </is>
      </c>
      <c r="D17" s="80" t="inlineStr">
        <is>
          <t>Journey Together</t>
        </is>
      </c>
      <c r="E17" s="80" t="inlineStr">
        <is>
          <t>Raw NM</t>
        </is>
      </c>
      <c r="F17" s="80" t="n">
        <v>8</v>
      </c>
    </row>
    <row r="18">
      <c r="A18" s="123" t="n">
        <v>46154</v>
      </c>
      <c r="B18" s="80" t="inlineStr">
        <is>
          <t>X108</t>
        </is>
      </c>
      <c r="C18" s="80" t="inlineStr">
        <is>
          <t>Iris's Haxorus IR</t>
        </is>
      </c>
      <c r="D18" s="80" t="inlineStr">
        <is>
          <t>Journey Together</t>
        </is>
      </c>
      <c r="E18" s="80" t="inlineStr">
        <is>
          <t>Raw NM</t>
        </is>
      </c>
      <c r="F18" s="80" t="n">
        <v>10</v>
      </c>
    </row>
    <row r="19">
      <c r="A19" s="123" t="n">
        <v>46154</v>
      </c>
      <c r="B19" s="80" t="inlineStr">
        <is>
          <t>X109</t>
        </is>
      </c>
      <c r="C19" s="80" t="inlineStr">
        <is>
          <t>Bianca's Roserade IR</t>
        </is>
      </c>
      <c r="D19" s="80" t="inlineStr">
        <is>
          <t>Journey Together</t>
        </is>
      </c>
      <c r="E19" s="80" t="inlineStr">
        <is>
          <t>Raw NM</t>
        </is>
      </c>
      <c r="F19" s="80" t="n">
        <v>6</v>
      </c>
    </row>
    <row r="20">
      <c r="A20" s="123" t="n">
        <v>46154</v>
      </c>
      <c r="B20" s="80" t="inlineStr">
        <is>
          <t>X110</t>
        </is>
      </c>
      <c r="C20" s="80" t="inlineStr">
        <is>
          <t>Cheren's Stoutland IR</t>
        </is>
      </c>
      <c r="D20" s="80" t="inlineStr">
        <is>
          <t>Journey Together</t>
        </is>
      </c>
      <c r="E20" s="80" t="inlineStr">
        <is>
          <t>Raw NM</t>
        </is>
      </c>
      <c r="F20" s="80" t="n">
        <v>5</v>
      </c>
    </row>
    <row r="21">
      <c r="A21" s="123" t="n">
        <v>46154</v>
      </c>
      <c r="B21" s="80" t="inlineStr">
        <is>
          <t>X111</t>
        </is>
      </c>
      <c r="C21" s="80" t="inlineStr">
        <is>
          <t>Pikachu ex SIR (raw)</t>
        </is>
      </c>
      <c r="D21" s="80" t="inlineStr">
        <is>
          <t>Surging Sparks</t>
        </is>
      </c>
      <c r="E21" s="80" t="inlineStr">
        <is>
          <t>Raw NM</t>
        </is>
      </c>
      <c r="F21" s="80" t="n">
        <v>14</v>
      </c>
    </row>
    <row r="22">
      <c r="A22" s="123" t="n">
        <v>46154</v>
      </c>
      <c r="B22" s="80" t="inlineStr">
        <is>
          <t>X112</t>
        </is>
      </c>
      <c r="C22" s="80" t="inlineStr">
        <is>
          <t>Latias ex SIR (raw)</t>
        </is>
      </c>
      <c r="D22" s="80" t="inlineStr">
        <is>
          <t>Surging Sparks</t>
        </is>
      </c>
      <c r="E22" s="80" t="inlineStr">
        <is>
          <t>Raw NM</t>
        </is>
      </c>
      <c r="F22" s="80" t="n">
        <v>10</v>
      </c>
    </row>
    <row r="23">
      <c r="A23" s="123" t="n">
        <v>46154</v>
      </c>
      <c r="B23" s="80" t="inlineStr">
        <is>
          <t>X113</t>
        </is>
      </c>
      <c r="C23" s="80" t="inlineStr">
        <is>
          <t>Hydreigon ex SIR (raw)</t>
        </is>
      </c>
      <c r="D23" s="80" t="inlineStr">
        <is>
          <t>Surging Sparks</t>
        </is>
      </c>
      <c r="E23" s="80" t="inlineStr">
        <is>
          <t>Raw NM</t>
        </is>
      </c>
      <c r="F23" s="80" t="n">
        <v>8</v>
      </c>
    </row>
    <row r="24">
      <c r="A24" s="123" t="n">
        <v>46154</v>
      </c>
      <c r="B24" s="80" t="inlineStr">
        <is>
          <t>X114</t>
        </is>
      </c>
      <c r="C24" s="80" t="inlineStr">
        <is>
          <t>Greedent Trainer SIR (raw)</t>
        </is>
      </c>
      <c r="D24" s="80" t="inlineStr">
        <is>
          <t>Surging Sparks</t>
        </is>
      </c>
      <c r="E24" s="80" t="inlineStr">
        <is>
          <t>Raw NM</t>
        </is>
      </c>
      <c r="F24" s="80" t="n">
        <v>9</v>
      </c>
    </row>
    <row r="25">
      <c r="A25" s="123" t="n">
        <v>46154</v>
      </c>
      <c r="B25" s="80" t="inlineStr">
        <is>
          <t>X115</t>
        </is>
      </c>
      <c r="C25" s="80" t="inlineStr">
        <is>
          <t>Bouffalant Holo</t>
        </is>
      </c>
      <c r="D25" s="80" t="inlineStr">
        <is>
          <t>Surging Sparks</t>
        </is>
      </c>
      <c r="E25" s="80" t="inlineStr">
        <is>
          <t>Raw NM</t>
        </is>
      </c>
      <c r="F25" s="80" t="n">
        <v>3</v>
      </c>
    </row>
    <row r="26">
      <c r="A26" s="123" t="n">
        <v>46154</v>
      </c>
      <c r="B26" s="80" t="inlineStr">
        <is>
          <t>X116</t>
        </is>
      </c>
      <c r="C26" s="80" t="inlineStr">
        <is>
          <t>Pikachu Holo (SS)</t>
        </is>
      </c>
      <c r="D26" s="80" t="inlineStr">
        <is>
          <t>Surging Sparks</t>
        </is>
      </c>
      <c r="E26" s="80" t="inlineStr">
        <is>
          <t>Raw NM</t>
        </is>
      </c>
      <c r="F26" s="80" t="n">
        <v>5</v>
      </c>
    </row>
    <row r="27">
      <c r="A27" s="123" t="n">
        <v>46154</v>
      </c>
      <c r="B27" s="80" t="inlineStr">
        <is>
          <t>X117</t>
        </is>
      </c>
      <c r="C27" s="80" t="inlineStr">
        <is>
          <t>Eevee Special Art (PE)</t>
        </is>
      </c>
      <c r="D27" s="80" t="inlineStr">
        <is>
          <t>Prismatic Evolutions</t>
        </is>
      </c>
      <c r="E27" s="80" t="inlineStr">
        <is>
          <t>Raw NM</t>
        </is>
      </c>
      <c r="F27" s="80" t="n">
        <v>22</v>
      </c>
    </row>
    <row r="28">
      <c r="A28" s="123" t="n">
        <v>46154</v>
      </c>
      <c r="B28" s="80" t="inlineStr">
        <is>
          <t>X118</t>
        </is>
      </c>
      <c r="C28" s="80" t="inlineStr">
        <is>
          <t>Pikachu Special Art (PE)</t>
        </is>
      </c>
      <c r="D28" s="80" t="inlineStr">
        <is>
          <t>Prismatic Evolutions</t>
        </is>
      </c>
      <c r="E28" s="80" t="inlineStr">
        <is>
          <t>Raw NM</t>
        </is>
      </c>
      <c r="F28" s="80" t="n">
        <v>20</v>
      </c>
    </row>
    <row r="29">
      <c r="A29" s="123" t="n">
        <v>46154</v>
      </c>
      <c r="B29" s="80" t="inlineStr">
        <is>
          <t>X119</t>
        </is>
      </c>
      <c r="C29" s="80" t="inlineStr">
        <is>
          <t>Mewtwo Special Art (PE)</t>
        </is>
      </c>
      <c r="D29" s="80" t="inlineStr">
        <is>
          <t>Prismatic Evolutions</t>
        </is>
      </c>
      <c r="E29" s="80" t="inlineStr">
        <is>
          <t>Raw NM</t>
        </is>
      </c>
      <c r="F29" s="80" t="n">
        <v>25</v>
      </c>
    </row>
    <row r="30">
      <c r="A30" s="123" t="n">
        <v>46154</v>
      </c>
      <c r="B30" s="80" t="inlineStr">
        <is>
          <t>X120</t>
        </is>
      </c>
      <c r="C30" s="80" t="inlineStr">
        <is>
          <t>Ditto Special Art (PE)</t>
        </is>
      </c>
      <c r="D30" s="80" t="inlineStr">
        <is>
          <t>Prismatic Evolutions</t>
        </is>
      </c>
      <c r="E30" s="80" t="inlineStr">
        <is>
          <t>Raw NM</t>
        </is>
      </c>
      <c r="F30" s="80" t="n">
        <v>18</v>
      </c>
    </row>
    <row r="31">
      <c r="A31" s="123" t="n">
        <v>46154</v>
      </c>
      <c r="B31" s="80" t="inlineStr">
        <is>
          <t>X121</t>
        </is>
      </c>
      <c r="C31" s="80" t="inlineStr">
        <is>
          <t>Munkidori ex SIR (raw)</t>
        </is>
      </c>
      <c r="D31" s="80" t="inlineStr">
        <is>
          <t>Shrouded Fable</t>
        </is>
      </c>
      <c r="E31" s="80" t="inlineStr">
        <is>
          <t>Raw NM</t>
        </is>
      </c>
      <c r="F31" s="80" t="n">
        <v>18</v>
      </c>
    </row>
    <row r="32">
      <c r="A32" s="123" t="n">
        <v>46154</v>
      </c>
      <c r="B32" s="80" t="inlineStr">
        <is>
          <t>X122</t>
        </is>
      </c>
      <c r="C32" s="80" t="inlineStr">
        <is>
          <t>Fezandipiti ex SIR (raw)</t>
        </is>
      </c>
      <c r="D32" s="80" t="inlineStr">
        <is>
          <t>Shrouded Fable</t>
        </is>
      </c>
      <c r="E32" s="80" t="inlineStr">
        <is>
          <t>Raw NM</t>
        </is>
      </c>
      <c r="F32" s="80" t="n">
        <v>16</v>
      </c>
    </row>
    <row r="33">
      <c r="A33" s="123" t="n">
        <v>46154</v>
      </c>
      <c r="B33" s="80" t="inlineStr">
        <is>
          <t>X123</t>
        </is>
      </c>
      <c r="C33" s="80" t="inlineStr">
        <is>
          <t>Okidogi ex SIR (raw)</t>
        </is>
      </c>
      <c r="D33" s="80" t="inlineStr">
        <is>
          <t>Shrouded Fable</t>
        </is>
      </c>
      <c r="E33" s="80" t="inlineStr">
        <is>
          <t>Raw NM</t>
        </is>
      </c>
      <c r="F33" s="80" t="n">
        <v>14</v>
      </c>
    </row>
    <row r="34">
      <c r="A34" s="123" t="n">
        <v>46154</v>
      </c>
      <c r="B34" s="80" t="inlineStr">
        <is>
          <t>X124</t>
        </is>
      </c>
      <c r="C34" s="80" t="inlineStr">
        <is>
          <t>Lacey SIR (raw)</t>
        </is>
      </c>
      <c r="D34" s="80" t="inlineStr">
        <is>
          <t>Stellar Crown</t>
        </is>
      </c>
      <c r="E34" s="80" t="inlineStr">
        <is>
          <t>Raw NM</t>
        </is>
      </c>
      <c r="F34" s="80" t="n">
        <v>15</v>
      </c>
    </row>
    <row r="35">
      <c r="A35" s="123" t="n">
        <v>46154</v>
      </c>
      <c r="B35" s="80" t="inlineStr">
        <is>
          <t>X125</t>
        </is>
      </c>
      <c r="C35" s="80" t="inlineStr">
        <is>
          <t>Terapagos ex SIR (raw)</t>
        </is>
      </c>
      <c r="D35" s="80" t="inlineStr">
        <is>
          <t>Stellar Crown</t>
        </is>
      </c>
      <c r="E35" s="80" t="inlineStr">
        <is>
          <t>Raw NM</t>
        </is>
      </c>
      <c r="F35" s="80" t="n">
        <v>22</v>
      </c>
    </row>
    <row r="36">
      <c r="A36" s="123" t="n">
        <v>46154</v>
      </c>
      <c r="B36" s="80" t="inlineStr">
        <is>
          <t>X126</t>
        </is>
      </c>
      <c r="C36" s="80" t="inlineStr">
        <is>
          <t>Briar SIR (raw)</t>
        </is>
      </c>
      <c r="D36" s="80" t="inlineStr">
        <is>
          <t>Stellar Crown</t>
        </is>
      </c>
      <c r="E36" s="80" t="inlineStr">
        <is>
          <t>Raw NM</t>
        </is>
      </c>
      <c r="F36" s="80" t="n">
        <v>12</v>
      </c>
    </row>
    <row r="37">
      <c r="A37" s="123" t="n">
        <v>46154</v>
      </c>
      <c r="B37" s="80" t="inlineStr">
        <is>
          <t>X127</t>
        </is>
      </c>
      <c r="C37" s="80" t="inlineStr">
        <is>
          <t>Hydrapple ex SIR (raw)</t>
        </is>
      </c>
      <c r="D37" s="80" t="inlineStr">
        <is>
          <t>Stellar Crown</t>
        </is>
      </c>
      <c r="E37" s="80" t="inlineStr">
        <is>
          <t>Raw NM</t>
        </is>
      </c>
      <c r="F37" s="80" t="n">
        <v>16</v>
      </c>
    </row>
    <row r="38">
      <c r="A38" s="123" t="n">
        <v>46154</v>
      </c>
      <c r="B38" s="80" t="inlineStr">
        <is>
          <t>X128</t>
        </is>
      </c>
      <c r="C38" s="80" t="inlineStr">
        <is>
          <t>Mega Charizard Y Common (raw)</t>
        </is>
      </c>
      <c r="D38" s="80" t="inlineStr">
        <is>
          <t>ME01</t>
        </is>
      </c>
      <c r="E38" s="80" t="inlineStr">
        <is>
          <t>Raw NM</t>
        </is>
      </c>
      <c r="F38" s="80" t="n">
        <v>5</v>
      </c>
    </row>
    <row r="39">
      <c r="A39" s="123" t="n">
        <v>46154</v>
      </c>
      <c r="B39" s="80" t="inlineStr">
        <is>
          <t>X129</t>
        </is>
      </c>
      <c r="C39" s="80" t="inlineStr">
        <is>
          <t>Mega Charizard X Common (raw)</t>
        </is>
      </c>
      <c r="D39" s="80" t="inlineStr">
        <is>
          <t>ME01</t>
        </is>
      </c>
      <c r="E39" s="80" t="inlineStr">
        <is>
          <t>Raw NM</t>
        </is>
      </c>
      <c r="F39" s="80" t="n">
        <v>5</v>
      </c>
    </row>
    <row r="40">
      <c r="A40" s="123" t="n">
        <v>46154</v>
      </c>
      <c r="B40" s="80" t="inlineStr">
        <is>
          <t>X130</t>
        </is>
      </c>
      <c r="C40" s="80" t="inlineStr">
        <is>
          <t>Mega Gengar ex MAR (Ascended)</t>
        </is>
      </c>
      <c r="D40" s="80" t="inlineStr">
        <is>
          <t>Ascended Heroes</t>
        </is>
      </c>
      <c r="E40" s="80" t="inlineStr">
        <is>
          <t>Raw NM</t>
        </is>
      </c>
      <c r="F40" s="80" t="n">
        <v>25</v>
      </c>
    </row>
    <row r="41">
      <c r="A41" s="123" t="n">
        <v>46154</v>
      </c>
      <c r="B41" s="80" t="inlineStr">
        <is>
          <t>X131</t>
        </is>
      </c>
      <c r="C41" s="80" t="inlineStr">
        <is>
          <t>Mega Rayquaza ex SIR (raw)</t>
        </is>
      </c>
      <c r="D41" s="80" t="inlineStr">
        <is>
          <t>Ascended Heroes</t>
        </is>
      </c>
      <c r="E41" s="80" t="inlineStr">
        <is>
          <t>Raw NM</t>
        </is>
      </c>
      <c r="F41" s="80" t="n">
        <v>22</v>
      </c>
    </row>
    <row r="42">
      <c r="A42" s="123" t="n">
        <v>46154</v>
      </c>
      <c r="B42" s="80" t="inlineStr">
        <is>
          <t>X132</t>
        </is>
      </c>
      <c r="C42" s="80" t="inlineStr">
        <is>
          <t>Mega Lucario ex SIR (raw)</t>
        </is>
      </c>
      <c r="D42" s="80" t="inlineStr">
        <is>
          <t>Ascended Heroes</t>
        </is>
      </c>
      <c r="E42" s="80" t="inlineStr">
        <is>
          <t>Raw NM</t>
        </is>
      </c>
      <c r="F42" s="80" t="n">
        <v>14</v>
      </c>
    </row>
    <row r="43">
      <c r="A43" s="123" t="n">
        <v>46154</v>
      </c>
      <c r="B43" s="80" t="inlineStr">
        <is>
          <t>X133</t>
        </is>
      </c>
      <c r="C43" s="80" t="inlineStr">
        <is>
          <t>Mega Lopunny ex SIR (raw)</t>
        </is>
      </c>
      <c r="D43" s="80" t="inlineStr">
        <is>
          <t>Ascended Heroes</t>
        </is>
      </c>
      <c r="E43" s="80" t="inlineStr">
        <is>
          <t>Raw NM</t>
        </is>
      </c>
      <c r="F43" s="80" t="n">
        <v>9</v>
      </c>
    </row>
    <row r="44">
      <c r="A44" s="123" t="n">
        <v>46154</v>
      </c>
      <c r="B44" s="80" t="inlineStr">
        <is>
          <t>X134</t>
        </is>
      </c>
      <c r="C44" s="80" t="inlineStr">
        <is>
          <t>Charizard ex SIR raw (OF)</t>
        </is>
      </c>
      <c r="D44" s="80" t="inlineStr">
        <is>
          <t>Obsidian Flames</t>
        </is>
      </c>
      <c r="E44" s="80" t="inlineStr">
        <is>
          <t>Raw NM</t>
        </is>
      </c>
      <c r="F44" s="80" t="n">
        <v>45</v>
      </c>
    </row>
    <row r="45">
      <c r="A45" s="123" t="n">
        <v>46154</v>
      </c>
      <c r="B45" s="80" t="inlineStr">
        <is>
          <t>X135</t>
        </is>
      </c>
      <c r="C45" s="80" t="inlineStr">
        <is>
          <t>Tyranitar ex SIR raw (OF)</t>
        </is>
      </c>
      <c r="D45" s="80" t="inlineStr">
        <is>
          <t>Obsidian Flames</t>
        </is>
      </c>
      <c r="E45" s="80" t="inlineStr">
        <is>
          <t>Raw NM</t>
        </is>
      </c>
      <c r="F45" s="80" t="n">
        <v>22</v>
      </c>
    </row>
    <row r="46">
      <c r="A46" s="123" t="n">
        <v>46154</v>
      </c>
      <c r="B46" s="80" t="inlineStr">
        <is>
          <t>X136</t>
        </is>
      </c>
      <c r="C46" s="80" t="inlineStr">
        <is>
          <t>Iono SIR raw (PE)</t>
        </is>
      </c>
      <c r="D46" s="80" t="inlineStr">
        <is>
          <t>Paldea Evolved</t>
        </is>
      </c>
      <c r="E46" s="80" t="inlineStr">
        <is>
          <t>Raw NM</t>
        </is>
      </c>
      <c r="F46" s="80" t="n">
        <v>90</v>
      </c>
    </row>
    <row r="47">
      <c r="A47" s="123" t="n">
        <v>46154</v>
      </c>
      <c r="B47" s="80" t="inlineStr">
        <is>
          <t>X137</t>
        </is>
      </c>
      <c r="C47" s="80" t="inlineStr">
        <is>
          <t>Marnie SIR raw (JT)</t>
        </is>
      </c>
      <c r="D47" s="80" t="inlineStr">
        <is>
          <t>Journey Together</t>
        </is>
      </c>
      <c r="E47" s="80" t="inlineStr">
        <is>
          <t>Raw NM</t>
        </is>
      </c>
      <c r="F47" s="80" t="n">
        <v>35</v>
      </c>
    </row>
    <row r="48">
      <c r="A48" s="123" t="n">
        <v>46154</v>
      </c>
      <c r="B48" s="80" t="inlineStr">
        <is>
          <t>X138</t>
        </is>
      </c>
      <c r="C48" s="80" t="inlineStr">
        <is>
          <t>Pikachu Master Ball raw (151)</t>
        </is>
      </c>
      <c r="D48" s="80" t="inlineStr">
        <is>
          <t>151</t>
        </is>
      </c>
      <c r="E48" s="80" t="inlineStr">
        <is>
          <t>Raw NM</t>
        </is>
      </c>
      <c r="F48" s="80" t="n">
        <v>35</v>
      </c>
    </row>
    <row r="49">
      <c r="A49" s="123" t="n">
        <v>46154</v>
      </c>
      <c r="B49" s="80" t="inlineStr">
        <is>
          <t>X139</t>
        </is>
      </c>
      <c r="C49" s="80" t="inlineStr">
        <is>
          <t>Charmander Master Ball raw (151)</t>
        </is>
      </c>
      <c r="D49" s="80" t="inlineStr">
        <is>
          <t>151</t>
        </is>
      </c>
      <c r="E49" s="80" t="inlineStr">
        <is>
          <t>Raw NM</t>
        </is>
      </c>
      <c r="F49" s="80" t="n">
        <v>28</v>
      </c>
    </row>
    <row r="50">
      <c r="A50" s="123" t="n">
        <v>46154</v>
      </c>
      <c r="B50" s="80" t="inlineStr">
        <is>
          <t>X140</t>
        </is>
      </c>
      <c r="C50" s="80" t="inlineStr">
        <is>
          <t>Mew Master Ball raw (151)</t>
        </is>
      </c>
      <c r="D50" s="80" t="inlineStr">
        <is>
          <t>151</t>
        </is>
      </c>
      <c r="E50" s="80" t="inlineStr">
        <is>
          <t>Raw NM</t>
        </is>
      </c>
      <c r="F50" s="80" t="n">
        <v>32</v>
      </c>
    </row>
    <row r="51">
      <c r="A51" s="123" t="n">
        <v>46154</v>
      </c>
      <c r="B51" s="80" t="inlineStr">
        <is>
          <t>X141</t>
        </is>
      </c>
      <c r="C51" s="80" t="inlineStr">
        <is>
          <t>Journey Together ETB</t>
        </is>
      </c>
      <c r="D51" s="80" t="inlineStr">
        <is>
          <t>Journey Together</t>
        </is>
      </c>
      <c r="E51" s="80" t="inlineStr">
        <is>
          <t>Sealed</t>
        </is>
      </c>
      <c r="F51" s="80" t="n">
        <v>55</v>
      </c>
    </row>
    <row r="52">
      <c r="A52" s="123" t="n">
        <v>46154</v>
      </c>
      <c r="B52" s="80" t="inlineStr">
        <is>
          <t>X142</t>
        </is>
      </c>
      <c r="C52" s="80" t="inlineStr">
        <is>
          <t>Journey Together Booster Bundle</t>
        </is>
      </c>
      <c r="D52" s="80" t="inlineStr">
        <is>
          <t>Journey Together</t>
        </is>
      </c>
      <c r="E52" s="80" t="inlineStr">
        <is>
          <t>Sealed</t>
        </is>
      </c>
      <c r="F52" s="80" t="n">
        <v>38</v>
      </c>
    </row>
    <row r="53">
      <c r="A53" s="123" t="n">
        <v>46154</v>
      </c>
      <c r="B53" s="80" t="inlineStr">
        <is>
          <t>X143</t>
        </is>
      </c>
      <c r="C53" s="80" t="inlineStr">
        <is>
          <t>Surging Sparks Premium Playmat</t>
        </is>
      </c>
      <c r="D53" s="80" t="inlineStr">
        <is>
          <t>Surging Sparks</t>
        </is>
      </c>
      <c r="E53" s="80" t="inlineStr">
        <is>
          <t>Sealed</t>
        </is>
      </c>
      <c r="F53" s="80" t="n">
        <v>95</v>
      </c>
    </row>
    <row r="54">
      <c r="A54" s="123" t="n">
        <v>46154</v>
      </c>
      <c r="B54" s="80" t="inlineStr">
        <is>
          <t>X144</t>
        </is>
      </c>
      <c r="C54" s="80" t="inlineStr">
        <is>
          <t>Twilight Masquerade Booster Bundle</t>
        </is>
      </c>
      <c r="D54" s="80" t="inlineStr">
        <is>
          <t>Twilight Masquerade</t>
        </is>
      </c>
      <c r="E54" s="80" t="inlineStr">
        <is>
          <t>Sealed</t>
        </is>
      </c>
      <c r="F54" s="80" t="n">
        <v>38</v>
      </c>
    </row>
    <row r="55">
      <c r="A55" s="123" t="n">
        <v>46154</v>
      </c>
      <c r="B55" s="80" t="inlineStr">
        <is>
          <t>X145</t>
        </is>
      </c>
      <c r="C55" s="80" t="inlineStr">
        <is>
          <t>Paldean Fates Mini Tin</t>
        </is>
      </c>
      <c r="D55" s="80" t="inlineStr">
        <is>
          <t>Paldean Fates</t>
        </is>
      </c>
      <c r="E55" s="80" t="inlineStr">
        <is>
          <t>Sealed</t>
        </is>
      </c>
      <c r="F55" s="80" t="n">
        <v>18</v>
      </c>
    </row>
    <row r="56">
      <c r="A56" s="123" t="n">
        <v>46154</v>
      </c>
      <c r="B56" s="80" t="inlineStr">
        <is>
          <t>X146</t>
        </is>
      </c>
      <c r="C56" s="80" t="inlineStr">
        <is>
          <t>Pokemon GO ETB</t>
        </is>
      </c>
      <c r="D56" s="80" t="inlineStr">
        <is>
          <t>Pokemon GO</t>
        </is>
      </c>
      <c r="E56" s="80" t="inlineStr">
        <is>
          <t>Sealed</t>
        </is>
      </c>
      <c r="F56" s="80" t="n">
        <v>85</v>
      </c>
    </row>
    <row r="57">
      <c r="A57" s="123" t="n">
        <v>46154</v>
      </c>
      <c r="B57" s="80" t="inlineStr">
        <is>
          <t>X147</t>
        </is>
      </c>
      <c r="C57" s="80" t="inlineStr">
        <is>
          <t>Pokemon GO Booster Bundle</t>
        </is>
      </c>
      <c r="D57" s="80" t="inlineStr">
        <is>
          <t>Pokemon GO</t>
        </is>
      </c>
      <c r="E57" s="80" t="inlineStr">
        <is>
          <t>Sealed</t>
        </is>
      </c>
      <c r="F57" s="80" t="n">
        <v>60</v>
      </c>
    </row>
    <row r="58">
      <c r="A58" s="123" t="n">
        <v>46154</v>
      </c>
      <c r="B58" s="80" t="inlineStr">
        <is>
          <t>X148</t>
        </is>
      </c>
      <c r="C58" s="80" t="inlineStr">
        <is>
          <t>Hidden Fates Tin (any)</t>
        </is>
      </c>
      <c r="D58" s="80" t="inlineStr">
        <is>
          <t>Hidden Fates</t>
        </is>
      </c>
      <c r="E58" s="80" t="inlineStr">
        <is>
          <t>Sealed</t>
        </is>
      </c>
      <c r="F58" s="80" t="n">
        <v>75</v>
      </c>
    </row>
    <row r="59">
      <c r="A59" s="123" t="n">
        <v>46154</v>
      </c>
      <c r="B59" s="80" t="inlineStr">
        <is>
          <t>X149</t>
        </is>
      </c>
      <c r="C59" s="80" t="inlineStr">
        <is>
          <t>Shining Fates Mini Tin</t>
        </is>
      </c>
      <c r="D59" s="80" t="inlineStr">
        <is>
          <t>Shining Fates</t>
        </is>
      </c>
      <c r="E59" s="80" t="inlineStr">
        <is>
          <t>Sealed</t>
        </is>
      </c>
      <c r="F59" s="80" t="n">
        <v>25</v>
      </c>
    </row>
    <row r="60">
      <c r="A60" s="123" t="n">
        <v>46154</v>
      </c>
      <c r="B60" s="80" t="inlineStr">
        <is>
          <t>X150</t>
        </is>
      </c>
      <c r="C60" s="80" t="inlineStr">
        <is>
          <t>Pokemon Day 2026 Pikachu Box</t>
        </is>
      </c>
      <c r="D60" s="80" t="inlineStr">
        <is>
          <t>30th Anniversary Promo</t>
        </is>
      </c>
      <c r="E60" s="80" t="inlineStr">
        <is>
          <t>Sealed</t>
        </is>
      </c>
      <c r="F60" s="80" t="n">
        <v>32</v>
      </c>
    </row>
    <row r="61">
      <c r="A61" s="123" t="n">
        <v>46154</v>
      </c>
      <c r="B61" s="80" t="inlineStr">
        <is>
          <t>X151</t>
        </is>
      </c>
      <c r="C61" s="80" t="inlineStr">
        <is>
          <t>Rayquaza V Alt Art (BRS)</t>
        </is>
      </c>
      <c r="D61" s="80" t="inlineStr">
        <is>
          <t>Brilliant Stars</t>
        </is>
      </c>
      <c r="E61" s="80" t="inlineStr">
        <is>
          <t>PSA 10</t>
        </is>
      </c>
      <c r="F61" s="80" t="n">
        <v>55</v>
      </c>
    </row>
    <row r="62">
      <c r="A62" s="123" t="n">
        <v>46154</v>
      </c>
      <c r="B62" s="80" t="inlineStr">
        <is>
          <t>X152</t>
        </is>
      </c>
      <c r="C62" s="80" t="inlineStr">
        <is>
          <t>Garchomp V Alt Art (AR)</t>
        </is>
      </c>
      <c r="D62" s="80" t="inlineStr">
        <is>
          <t>Astral Radiance</t>
        </is>
      </c>
      <c r="E62" s="80" t="inlineStr">
        <is>
          <t>PSA 10</t>
        </is>
      </c>
      <c r="F62" s="80" t="n">
        <v>65</v>
      </c>
    </row>
    <row r="63">
      <c r="A63" s="123" t="n">
        <v>46154</v>
      </c>
      <c r="B63" s="80" t="inlineStr">
        <is>
          <t>X153</t>
        </is>
      </c>
      <c r="C63" s="80" t="inlineStr">
        <is>
          <t>Aerodactyl V Alt Art (LO)</t>
        </is>
      </c>
      <c r="D63" s="80" t="inlineStr">
        <is>
          <t>Lost Origin</t>
        </is>
      </c>
      <c r="E63" s="80" t="inlineStr">
        <is>
          <t>PSA 10</t>
        </is>
      </c>
      <c r="F63" s="80" t="n">
        <v>75</v>
      </c>
    </row>
    <row r="64">
      <c r="A64" s="123" t="n">
        <v>46154</v>
      </c>
      <c r="B64" s="80" t="inlineStr">
        <is>
          <t>X154</t>
        </is>
      </c>
      <c r="C64" s="80" t="inlineStr">
        <is>
          <t>Magnezone V Alt Art (LO)</t>
        </is>
      </c>
      <c r="D64" s="80" t="inlineStr">
        <is>
          <t>Lost Origin</t>
        </is>
      </c>
      <c r="E64" s="80" t="inlineStr">
        <is>
          <t>PSA 10</t>
        </is>
      </c>
      <c r="F64" s="80" t="n">
        <v>50</v>
      </c>
    </row>
    <row r="65">
      <c r="A65" s="123" t="n">
        <v>46154</v>
      </c>
      <c r="B65" s="80" t="inlineStr">
        <is>
          <t>X155</t>
        </is>
      </c>
      <c r="C65" s="80" t="inlineStr">
        <is>
          <t>Mimikyu V Alt Art (LO)</t>
        </is>
      </c>
      <c r="D65" s="80" t="inlineStr">
        <is>
          <t>Lost Origin</t>
        </is>
      </c>
      <c r="E65" s="80" t="inlineStr">
        <is>
          <t>PSA 10</t>
        </is>
      </c>
      <c r="F65" s="80" t="n">
        <v>75</v>
      </c>
    </row>
    <row r="66">
      <c r="A66" s="123" t="n">
        <v>46154</v>
      </c>
      <c r="B66" s="80" t="inlineStr">
        <is>
          <t>X156</t>
        </is>
      </c>
      <c r="C66" s="80" t="inlineStr">
        <is>
          <t>Drifloon V Alt Art (LO)</t>
        </is>
      </c>
      <c r="D66" s="80" t="inlineStr">
        <is>
          <t>Lost Origin</t>
        </is>
      </c>
      <c r="E66" s="80" t="inlineStr">
        <is>
          <t>PSA 10</t>
        </is>
      </c>
      <c r="F66" s="80" t="n">
        <v>45</v>
      </c>
    </row>
    <row r="67">
      <c r="A67" s="123" t="n">
        <v>46154</v>
      </c>
      <c r="B67" s="80" t="inlineStr">
        <is>
          <t>X157</t>
        </is>
      </c>
      <c r="C67" s="80" t="inlineStr">
        <is>
          <t>Volcanion V Alt Art (LO)</t>
        </is>
      </c>
      <c r="D67" s="80" t="inlineStr">
        <is>
          <t>Lost Origin</t>
        </is>
      </c>
      <c r="E67" s="80" t="inlineStr">
        <is>
          <t>PSA 10</t>
        </is>
      </c>
      <c r="F67" s="80" t="n">
        <v>55</v>
      </c>
    </row>
    <row r="68">
      <c r="A68" s="123" t="n">
        <v>46154</v>
      </c>
      <c r="B68" s="80" t="inlineStr">
        <is>
          <t>X158</t>
        </is>
      </c>
      <c r="C68" s="80" t="inlineStr">
        <is>
          <t>Pikachu Trainer Gallery (LO)</t>
        </is>
      </c>
      <c r="D68" s="80" t="inlineStr">
        <is>
          <t>Lost Origin</t>
        </is>
      </c>
      <c r="E68" s="80" t="inlineStr">
        <is>
          <t>PSA 10</t>
        </is>
      </c>
      <c r="F68" s="80" t="n">
        <v>90</v>
      </c>
    </row>
    <row r="69">
      <c r="A69" s="123" t="n">
        <v>46154</v>
      </c>
      <c r="B69" s="80" t="inlineStr">
        <is>
          <t>X159</t>
        </is>
      </c>
      <c r="C69" s="80" t="inlineStr">
        <is>
          <t>Arceus V Alt Art (BRS)</t>
        </is>
      </c>
      <c r="D69" s="80" t="inlineStr">
        <is>
          <t>Brilliant Stars</t>
        </is>
      </c>
      <c r="E69" s="80" t="inlineStr">
        <is>
          <t>PSA 10</t>
        </is>
      </c>
      <c r="F69" s="80" t="n">
        <v>95</v>
      </c>
    </row>
    <row r="70">
      <c r="A70" s="123" t="n">
        <v>46154</v>
      </c>
      <c r="B70" s="80" t="inlineStr">
        <is>
          <t>X160</t>
        </is>
      </c>
      <c r="C70" s="80" t="inlineStr">
        <is>
          <t>Greninja V Alt Art (FS)</t>
        </is>
      </c>
      <c r="D70" s="80" t="inlineStr">
        <is>
          <t>Fusion Strike</t>
        </is>
      </c>
      <c r="E70" s="80" t="inlineStr">
        <is>
          <t>PSA 10</t>
        </is>
      </c>
      <c r="F70" s="80" t="n">
        <v>95</v>
      </c>
    </row>
    <row r="71">
      <c r="A71" s="123" t="n">
        <v>46154</v>
      </c>
      <c r="B71" s="80" t="inlineStr">
        <is>
          <t>X161</t>
        </is>
      </c>
      <c r="C71" s="80" t="inlineStr">
        <is>
          <t>Cynthia's Power Trainer (raw)</t>
        </is>
      </c>
      <c r="D71" s="80" t="inlineStr">
        <is>
          <t>Astral Radiance</t>
        </is>
      </c>
      <c r="E71" s="80" t="inlineStr">
        <is>
          <t>Raw NM</t>
        </is>
      </c>
      <c r="F71" s="80" t="n">
        <v>18</v>
      </c>
    </row>
    <row r="72">
      <c r="A72" s="123" t="n">
        <v>46154</v>
      </c>
      <c r="B72" s="80" t="inlineStr">
        <is>
          <t>X162</t>
        </is>
      </c>
      <c r="C72" s="80" t="inlineStr">
        <is>
          <t>Allister Trainer Gallery (raw)</t>
        </is>
      </c>
      <c r="D72" s="80" t="inlineStr">
        <is>
          <t>Astral Radiance</t>
        </is>
      </c>
      <c r="E72" s="80" t="inlineStr">
        <is>
          <t>Raw NM</t>
        </is>
      </c>
      <c r="F72" s="80" t="n">
        <v>14</v>
      </c>
    </row>
    <row r="73">
      <c r="A73" s="123" t="n">
        <v>46154</v>
      </c>
      <c r="B73" s="80" t="inlineStr">
        <is>
          <t>X163</t>
        </is>
      </c>
      <c r="C73" s="80" t="inlineStr">
        <is>
          <t>Avery Trainer Gallery (raw)</t>
        </is>
      </c>
      <c r="D73" s="80" t="inlineStr">
        <is>
          <t>Astral Radiance</t>
        </is>
      </c>
      <c r="E73" s="80" t="inlineStr">
        <is>
          <t>Raw NM</t>
        </is>
      </c>
      <c r="F73" s="80" t="n">
        <v>11</v>
      </c>
    </row>
    <row r="74">
      <c r="A74" s="123" t="n">
        <v>46154</v>
      </c>
      <c r="B74" s="80" t="inlineStr">
        <is>
          <t>X164</t>
        </is>
      </c>
      <c r="C74" s="80" t="inlineStr">
        <is>
          <t>Drasna Trainer Gallery (raw)</t>
        </is>
      </c>
      <c r="D74" s="80" t="inlineStr">
        <is>
          <t>Silver Tempest</t>
        </is>
      </c>
      <c r="E74" s="80" t="inlineStr">
        <is>
          <t>Raw NM</t>
        </is>
      </c>
      <c r="F74" s="80" t="n">
        <v>13</v>
      </c>
    </row>
    <row r="75">
      <c r="A75" s="123" t="n">
        <v>46154</v>
      </c>
      <c r="B75" s="80" t="inlineStr">
        <is>
          <t>X165</t>
        </is>
      </c>
      <c r="C75" s="80" t="inlineStr">
        <is>
          <t>Cynthia Skla Trainer Gallery</t>
        </is>
      </c>
      <c r="D75" s="80" t="inlineStr">
        <is>
          <t>Silver Tempest</t>
        </is>
      </c>
      <c r="E75" s="80" t="inlineStr">
        <is>
          <t>Raw NM</t>
        </is>
      </c>
      <c r="F75" s="80" t="n">
        <v>18</v>
      </c>
    </row>
    <row r="76">
      <c r="A76" s="123" t="n">
        <v>46154</v>
      </c>
      <c r="B76" s="80" t="inlineStr">
        <is>
          <t>V901</t>
        </is>
      </c>
      <c r="C76" s="80" t="inlineStr">
        <is>
          <t>Mewtwo Base Unlimited PSA 7</t>
        </is>
      </c>
      <c r="D76" s="80" t="inlineStr">
        <is>
          <t>Base Set</t>
        </is>
      </c>
      <c r="E76" s="80" t="inlineStr">
        <is>
          <t>PSA 7</t>
        </is>
      </c>
      <c r="F76" s="80" t="n">
        <v>80</v>
      </c>
    </row>
    <row r="77">
      <c r="A77" s="123" t="n">
        <v>46154</v>
      </c>
      <c r="B77" s="80" t="inlineStr">
        <is>
          <t>V902</t>
        </is>
      </c>
      <c r="C77" s="80" t="inlineStr">
        <is>
          <t>Charizard Base Unlimited PSA 7</t>
        </is>
      </c>
      <c r="D77" s="80" t="inlineStr">
        <is>
          <t>Base Set</t>
        </is>
      </c>
      <c r="E77" s="80" t="inlineStr">
        <is>
          <t>PSA 7</t>
        </is>
      </c>
      <c r="F77" s="80" t="n">
        <v>320</v>
      </c>
    </row>
    <row r="78">
      <c r="A78" s="123" t="n">
        <v>46154</v>
      </c>
      <c r="B78" s="80" t="inlineStr">
        <is>
          <t>V903</t>
        </is>
      </c>
      <c r="C78" s="80" t="inlineStr">
        <is>
          <t>Blastoise Base Unlimited PSA 7</t>
        </is>
      </c>
      <c r="D78" s="80" t="inlineStr">
        <is>
          <t>Base Set</t>
        </is>
      </c>
      <c r="E78" s="80" t="inlineStr">
        <is>
          <t>PSA 7</t>
        </is>
      </c>
      <c r="F78" s="80" t="n">
        <v>130</v>
      </c>
    </row>
    <row r="79">
      <c r="A79" s="123" t="n">
        <v>46154</v>
      </c>
      <c r="B79" s="80" t="inlineStr">
        <is>
          <t>V904</t>
        </is>
      </c>
      <c r="C79" s="80" t="inlineStr">
        <is>
          <t>Venusaur Base Unlimited PSA 7</t>
        </is>
      </c>
      <c r="D79" s="80" t="inlineStr">
        <is>
          <t>Base Set</t>
        </is>
      </c>
      <c r="E79" s="80" t="inlineStr">
        <is>
          <t>PSA 7</t>
        </is>
      </c>
      <c r="F79" s="80" t="n">
        <v>120</v>
      </c>
    </row>
    <row r="80">
      <c r="A80" s="123" t="n">
        <v>46154</v>
      </c>
      <c r="B80" s="80" t="inlineStr">
        <is>
          <t>V905</t>
        </is>
      </c>
      <c r="C80" s="80" t="inlineStr">
        <is>
          <t>Alakazam Base Unlimited PSA 8</t>
        </is>
      </c>
      <c r="D80" s="80" t="inlineStr">
        <is>
          <t>Base Set</t>
        </is>
      </c>
      <c r="E80" s="80" t="inlineStr">
        <is>
          <t>PSA 8</t>
        </is>
      </c>
      <c r="F80" s="80" t="n">
        <v>90</v>
      </c>
    </row>
    <row r="81">
      <c r="A81" s="123" t="n">
        <v>46154</v>
      </c>
      <c r="B81" s="80" t="inlineStr">
        <is>
          <t>V906</t>
        </is>
      </c>
      <c r="C81" s="80" t="inlineStr">
        <is>
          <t>Chansey Base Unlimited PSA 8</t>
        </is>
      </c>
      <c r="D81" s="80" t="inlineStr">
        <is>
          <t>Base Set</t>
        </is>
      </c>
      <c r="E81" s="80" t="inlineStr">
        <is>
          <t>PSA 8</t>
        </is>
      </c>
      <c r="F81" s="80" t="n">
        <v>70</v>
      </c>
    </row>
    <row r="82">
      <c r="A82" s="123" t="n">
        <v>46154</v>
      </c>
      <c r="B82" s="80" t="inlineStr">
        <is>
          <t>V907</t>
        </is>
      </c>
      <c r="C82" s="80" t="inlineStr">
        <is>
          <t>Clefairy Base Unlimited PSA 8</t>
        </is>
      </c>
      <c r="D82" s="80" t="inlineStr">
        <is>
          <t>Base Set</t>
        </is>
      </c>
      <c r="E82" s="80" t="inlineStr">
        <is>
          <t>PSA 8</t>
        </is>
      </c>
      <c r="F82" s="80" t="n">
        <v>65</v>
      </c>
    </row>
    <row r="83">
      <c r="A83" s="123" t="n">
        <v>46154</v>
      </c>
      <c r="B83" s="80" t="inlineStr">
        <is>
          <t>V908</t>
        </is>
      </c>
      <c r="C83" s="80" t="inlineStr">
        <is>
          <t>Gyarados Base Unlimited PSA 8</t>
        </is>
      </c>
      <c r="D83" s="80" t="inlineStr">
        <is>
          <t>Base Set</t>
        </is>
      </c>
      <c r="E83" s="80" t="inlineStr">
        <is>
          <t>PSA 8</t>
        </is>
      </c>
      <c r="F83" s="80" t="n">
        <v>80</v>
      </c>
    </row>
    <row r="84">
      <c r="A84" s="123" t="n">
        <v>46154</v>
      </c>
      <c r="B84" s="80" t="inlineStr">
        <is>
          <t>V909</t>
        </is>
      </c>
      <c r="C84" s="80" t="inlineStr">
        <is>
          <t>Hitmonchan Base Unlimited PSA 8</t>
        </is>
      </c>
      <c r="D84" s="80" t="inlineStr">
        <is>
          <t>Base Set</t>
        </is>
      </c>
      <c r="E84" s="80" t="inlineStr">
        <is>
          <t>PSA 8</t>
        </is>
      </c>
      <c r="F84" s="80" t="n">
        <v>60</v>
      </c>
    </row>
    <row r="85">
      <c r="A85" s="123" t="n">
        <v>46154</v>
      </c>
      <c r="B85" s="80" t="inlineStr">
        <is>
          <t>V910</t>
        </is>
      </c>
      <c r="C85" s="80" t="inlineStr">
        <is>
          <t>Machamp Base Unlimited PSA 8</t>
        </is>
      </c>
      <c r="D85" s="80" t="inlineStr">
        <is>
          <t>Base Set</t>
        </is>
      </c>
      <c r="E85" s="80" t="inlineStr">
        <is>
          <t>PSA 8</t>
        </is>
      </c>
      <c r="F85" s="80" t="n">
        <v>70</v>
      </c>
    </row>
    <row r="86">
      <c r="A86" s="123" t="n">
        <v>46154</v>
      </c>
      <c r="B86" s="80" t="inlineStr">
        <is>
          <t>V911</t>
        </is>
      </c>
      <c r="C86" s="80" t="inlineStr">
        <is>
          <t>Magneton Base Unlimited PSA 8</t>
        </is>
      </c>
      <c r="D86" s="80" t="inlineStr">
        <is>
          <t>Base Set</t>
        </is>
      </c>
      <c r="E86" s="80" t="inlineStr">
        <is>
          <t>PSA 8</t>
        </is>
      </c>
      <c r="F86" s="80" t="n">
        <v>60</v>
      </c>
    </row>
    <row r="87">
      <c r="A87" s="123" t="n">
        <v>46154</v>
      </c>
      <c r="B87" s="80" t="inlineStr">
        <is>
          <t>V912</t>
        </is>
      </c>
      <c r="C87" s="80" t="inlineStr">
        <is>
          <t>Nidoking Base Unlimited PSA 8</t>
        </is>
      </c>
      <c r="D87" s="80" t="inlineStr">
        <is>
          <t>Base Set</t>
        </is>
      </c>
      <c r="E87" s="80" t="inlineStr">
        <is>
          <t>PSA 8</t>
        </is>
      </c>
      <c r="F87" s="80" t="n">
        <v>65</v>
      </c>
    </row>
    <row r="88">
      <c r="A88" s="123" t="n">
        <v>46154</v>
      </c>
      <c r="B88" s="80" t="inlineStr">
        <is>
          <t>V913</t>
        </is>
      </c>
      <c r="C88" s="80" t="inlineStr">
        <is>
          <t>Ninetales Base Unlimited PSA 8</t>
        </is>
      </c>
      <c r="D88" s="80" t="inlineStr">
        <is>
          <t>Base Set</t>
        </is>
      </c>
      <c r="E88" s="80" t="inlineStr">
        <is>
          <t>PSA 8</t>
        </is>
      </c>
      <c r="F88" s="80" t="n">
        <v>90</v>
      </c>
    </row>
    <row r="89">
      <c r="A89" s="123" t="n">
        <v>46154</v>
      </c>
      <c r="B89" s="80" t="inlineStr">
        <is>
          <t>V914</t>
        </is>
      </c>
      <c r="C89" s="80" t="inlineStr">
        <is>
          <t>Poliwrath Base Unlimited PSA 8</t>
        </is>
      </c>
      <c r="D89" s="80" t="inlineStr">
        <is>
          <t>Base Set</t>
        </is>
      </c>
      <c r="E89" s="80" t="inlineStr">
        <is>
          <t>PSA 8</t>
        </is>
      </c>
      <c r="F89" s="80" t="n">
        <v>60</v>
      </c>
    </row>
    <row r="90">
      <c r="A90" s="123" t="n">
        <v>46154</v>
      </c>
      <c r="B90" s="80" t="inlineStr">
        <is>
          <t>V915</t>
        </is>
      </c>
      <c r="C90" s="80" t="inlineStr">
        <is>
          <t>Raichu Base Unlimited PSA 8</t>
        </is>
      </c>
      <c r="D90" s="80" t="inlineStr">
        <is>
          <t>Base Set</t>
        </is>
      </c>
      <c r="E90" s="80" t="inlineStr">
        <is>
          <t>PSA 8</t>
        </is>
      </c>
      <c r="F90" s="80" t="n">
        <v>85</v>
      </c>
    </row>
    <row r="91">
      <c r="A91" s="123" t="n">
        <v>46154</v>
      </c>
      <c r="B91" s="80" t="inlineStr">
        <is>
          <t>V916</t>
        </is>
      </c>
      <c r="C91" s="80" t="inlineStr">
        <is>
          <t>Zapdos Base Unlimited PSA 8</t>
        </is>
      </c>
      <c r="D91" s="80" t="inlineStr">
        <is>
          <t>Base Set</t>
        </is>
      </c>
      <c r="E91" s="80" t="inlineStr">
        <is>
          <t>PSA 8</t>
        </is>
      </c>
      <c r="F91" s="80" t="n">
        <v>75</v>
      </c>
    </row>
    <row r="92">
      <c r="A92" s="123" t="n">
        <v>46154</v>
      </c>
      <c r="B92" s="80" t="inlineStr">
        <is>
          <t>X201</t>
        </is>
      </c>
      <c r="C92" s="80" t="inlineStr">
        <is>
          <t>Calyrex VMAX Alt Art (CR)</t>
        </is>
      </c>
      <c r="D92" s="80" t="inlineStr">
        <is>
          <t>Chilling Reign</t>
        </is>
      </c>
      <c r="E92" s="80" t="inlineStr">
        <is>
          <t>PSA 10</t>
        </is>
      </c>
      <c r="F92" s="80" t="n">
        <v>140</v>
      </c>
    </row>
    <row r="93">
      <c r="A93" s="123" t="n">
        <v>46154</v>
      </c>
      <c r="B93" s="80" t="inlineStr">
        <is>
          <t>X202</t>
        </is>
      </c>
      <c r="C93" s="80" t="inlineStr">
        <is>
          <t>Galarian Slowking VMAX Alt</t>
        </is>
      </c>
      <c r="D93" s="80" t="inlineStr">
        <is>
          <t>Chilling Reign</t>
        </is>
      </c>
      <c r="E93" s="80" t="inlineStr">
        <is>
          <t>PSA 10</t>
        </is>
      </c>
      <c r="F93" s="80" t="n">
        <v>170</v>
      </c>
    </row>
    <row r="94">
      <c r="A94" s="123" t="n">
        <v>46154</v>
      </c>
      <c r="B94" s="80" t="inlineStr">
        <is>
          <t>X203</t>
        </is>
      </c>
      <c r="C94" s="80" t="inlineStr">
        <is>
          <t>Sylveon V Alt Art</t>
        </is>
      </c>
      <c r="D94" s="80" t="inlineStr">
        <is>
          <t>Evolving Skies</t>
        </is>
      </c>
      <c r="E94" s="80" t="inlineStr">
        <is>
          <t>PSA 10</t>
        </is>
      </c>
      <c r="F94" s="80" t="n">
        <v>195</v>
      </c>
    </row>
    <row r="95">
      <c r="A95" s="123" t="n">
        <v>46154</v>
      </c>
      <c r="B95" s="80" t="inlineStr">
        <is>
          <t>X204</t>
        </is>
      </c>
      <c r="C95" s="80" t="inlineStr">
        <is>
          <t>Espeon V Alt Art</t>
        </is>
      </c>
      <c r="D95" s="80" t="inlineStr">
        <is>
          <t>Evolving Skies</t>
        </is>
      </c>
      <c r="E95" s="80" t="inlineStr">
        <is>
          <t>PSA 10</t>
        </is>
      </c>
      <c r="F95" s="80" t="n">
        <v>180</v>
      </c>
    </row>
    <row r="96">
      <c r="A96" s="123" t="n">
        <v>46154</v>
      </c>
      <c r="B96" s="80" t="inlineStr">
        <is>
          <t>X205</t>
        </is>
      </c>
      <c r="C96" s="80" t="inlineStr">
        <is>
          <t>Leafeon V Alt Art</t>
        </is>
      </c>
      <c r="D96" s="80" t="inlineStr">
        <is>
          <t>Evolving Skies</t>
        </is>
      </c>
      <c r="E96" s="80" t="inlineStr">
        <is>
          <t>PSA 10</t>
        </is>
      </c>
      <c r="F96" s="80" t="n">
        <v>160</v>
      </c>
    </row>
    <row r="97">
      <c r="A97" s="123" t="n">
        <v>46154</v>
      </c>
      <c r="B97" s="80" t="inlineStr">
        <is>
          <t>X206</t>
        </is>
      </c>
      <c r="C97" s="80" t="inlineStr">
        <is>
          <t>Glaceon V Alt Art</t>
        </is>
      </c>
      <c r="D97" s="80" t="inlineStr">
        <is>
          <t>Evolving Skies</t>
        </is>
      </c>
      <c r="E97" s="80" t="inlineStr">
        <is>
          <t>PSA 10</t>
        </is>
      </c>
      <c r="F97" s="80" t="n">
        <v>165</v>
      </c>
    </row>
    <row r="98">
      <c r="A98" s="123" t="n">
        <v>46154</v>
      </c>
      <c r="B98" s="80" t="inlineStr">
        <is>
          <t>X207</t>
        </is>
      </c>
      <c r="C98" s="80" t="inlineStr">
        <is>
          <t>Jolteon V Alt Art</t>
        </is>
      </c>
      <c r="D98" s="80" t="inlineStr">
        <is>
          <t>Evolving Skies</t>
        </is>
      </c>
      <c r="E98" s="80" t="inlineStr">
        <is>
          <t>PSA 10</t>
        </is>
      </c>
      <c r="F98" s="80" t="n">
        <v>170</v>
      </c>
    </row>
    <row r="99">
      <c r="A99" s="123" t="n">
        <v>46154</v>
      </c>
      <c r="B99" s="80" t="inlineStr">
        <is>
          <t>X208</t>
        </is>
      </c>
      <c r="C99" s="80" t="inlineStr">
        <is>
          <t>Galarian Articuno V Alt (CZ)</t>
        </is>
      </c>
      <c r="D99" s="80" t="inlineStr">
        <is>
          <t>Crown Zenith</t>
        </is>
      </c>
      <c r="E99" s="80" t="inlineStr">
        <is>
          <t>PSA 10</t>
        </is>
      </c>
      <c r="F99" s="80" t="n">
        <v>140</v>
      </c>
    </row>
    <row r="100">
      <c r="A100" s="123" t="n">
        <v>46154</v>
      </c>
      <c r="B100" s="80" t="inlineStr">
        <is>
          <t>X209</t>
        </is>
      </c>
      <c r="C100" s="80" t="inlineStr">
        <is>
          <t>Galarian Moltres V Alt (CZ)</t>
        </is>
      </c>
      <c r="D100" s="80" t="inlineStr">
        <is>
          <t>Crown Zenith</t>
        </is>
      </c>
      <c r="E100" s="80" t="inlineStr">
        <is>
          <t>PSA 10</t>
        </is>
      </c>
      <c r="F100" s="80" t="n">
        <v>150</v>
      </c>
    </row>
    <row r="101">
      <c r="A101" s="123" t="n">
        <v>46154</v>
      </c>
      <c r="B101" s="80" t="inlineStr">
        <is>
          <t>X210</t>
        </is>
      </c>
      <c r="C101" s="80" t="inlineStr">
        <is>
          <t>Galarian Zapdos V Alt (CZ)</t>
        </is>
      </c>
      <c r="D101" s="80" t="inlineStr">
        <is>
          <t>Crown Zenith</t>
        </is>
      </c>
      <c r="E101" s="80" t="inlineStr">
        <is>
          <t>PSA 10</t>
        </is>
      </c>
      <c r="F101" s="80" t="n">
        <v>130</v>
      </c>
    </row>
    <row r="102">
      <c r="A102" s="123" t="n">
        <v>46154</v>
      </c>
      <c r="B102" s="80" t="inlineStr">
        <is>
          <t>X211</t>
        </is>
      </c>
      <c r="C102" s="80" t="inlineStr">
        <is>
          <t>Iono Trainer Gallery (PE)</t>
        </is>
      </c>
      <c r="D102" s="80" t="inlineStr">
        <is>
          <t>Paldea Evolved</t>
        </is>
      </c>
      <c r="E102" s="80" t="inlineStr">
        <is>
          <t>PSA 10</t>
        </is>
      </c>
      <c r="F102" s="80" t="n">
        <v>175</v>
      </c>
    </row>
    <row r="103">
      <c r="A103" s="123" t="n">
        <v>46154</v>
      </c>
      <c r="B103" s="80" t="inlineStr">
        <is>
          <t>X212</t>
        </is>
      </c>
      <c r="C103" s="80" t="inlineStr">
        <is>
          <t>Penny Trainer Gallery (PE)</t>
        </is>
      </c>
      <c r="D103" s="80" t="inlineStr">
        <is>
          <t>Paldea Evolved</t>
        </is>
      </c>
      <c r="E103" s="80" t="inlineStr">
        <is>
          <t>PSA 10</t>
        </is>
      </c>
      <c r="F103" s="80" t="n">
        <v>200</v>
      </c>
    </row>
    <row r="104">
      <c r="A104" s="123" t="n">
        <v>46154</v>
      </c>
      <c r="B104" s="80" t="inlineStr">
        <is>
          <t>X213</t>
        </is>
      </c>
      <c r="C104" s="80" t="inlineStr">
        <is>
          <t>Klara SIR (CR)</t>
        </is>
      </c>
      <c r="D104" s="80" t="inlineStr">
        <is>
          <t>Chilling Reign</t>
        </is>
      </c>
      <c r="E104" s="80" t="inlineStr">
        <is>
          <t>PSA 10</t>
        </is>
      </c>
      <c r="F104" s="80" t="n">
        <v>145</v>
      </c>
    </row>
    <row r="105">
      <c r="A105" s="123" t="n">
        <v>46154</v>
      </c>
      <c r="B105" s="80" t="inlineStr">
        <is>
          <t>X214</t>
        </is>
      </c>
      <c r="C105" s="80" t="inlineStr">
        <is>
          <t>Avery SIR (CR)</t>
        </is>
      </c>
      <c r="D105" s="80" t="inlineStr">
        <is>
          <t>Chilling Reign</t>
        </is>
      </c>
      <c r="E105" s="80" t="inlineStr">
        <is>
          <t>PSA 10</t>
        </is>
      </c>
      <c r="F105" s="80" t="n">
        <v>110</v>
      </c>
    </row>
    <row r="106">
      <c r="A106" s="123" t="n">
        <v>46154</v>
      </c>
      <c r="B106" s="80" t="inlineStr">
        <is>
          <t>X215</t>
        </is>
      </c>
      <c r="C106" s="80" t="inlineStr">
        <is>
          <t>Erika's Invitation SIR (151)</t>
        </is>
      </c>
      <c r="D106" s="80" t="inlineStr">
        <is>
          <t>151</t>
        </is>
      </c>
      <c r="E106" s="80" t="inlineStr">
        <is>
          <t>PSA 10</t>
        </is>
      </c>
      <c r="F106" s="80" t="n">
        <v>220</v>
      </c>
    </row>
    <row r="107">
      <c r="A107" s="123" t="n">
        <v>46154</v>
      </c>
      <c r="B107" s="80" t="inlineStr">
        <is>
          <t>X216</t>
        </is>
      </c>
      <c r="C107" s="80" t="inlineStr">
        <is>
          <t>Misty's Determination Full Art</t>
        </is>
      </c>
      <c r="D107" s="80" t="inlineStr">
        <is>
          <t>151 promo</t>
        </is>
      </c>
      <c r="E107" s="80" t="inlineStr">
        <is>
          <t>PSA 10</t>
        </is>
      </c>
      <c r="F107" s="80" t="n">
        <v>165</v>
      </c>
    </row>
    <row r="108">
      <c r="A108" s="123" t="n">
        <v>46154</v>
      </c>
      <c r="B108" s="80" t="inlineStr">
        <is>
          <t>X217</t>
        </is>
      </c>
      <c r="C108" s="80" t="inlineStr">
        <is>
          <t>Sabrina FA Trainer (151)</t>
        </is>
      </c>
      <c r="D108" s="80" t="inlineStr">
        <is>
          <t>151</t>
        </is>
      </c>
      <c r="E108" s="80" t="inlineStr">
        <is>
          <t>PSA 10</t>
        </is>
      </c>
      <c r="F108" s="80" t="n">
        <v>130</v>
      </c>
    </row>
    <row r="109">
      <c r="A109" s="123" t="n">
        <v>46154</v>
      </c>
      <c r="B109" s="80" t="inlineStr">
        <is>
          <t>X218</t>
        </is>
      </c>
      <c r="C109" s="80" t="inlineStr">
        <is>
          <t>Brock FA Trainer (151)</t>
        </is>
      </c>
      <c r="D109" s="80" t="inlineStr">
        <is>
          <t>151</t>
        </is>
      </c>
      <c r="E109" s="80" t="inlineStr">
        <is>
          <t>PSA 10</t>
        </is>
      </c>
      <c r="F109" s="80" t="n">
        <v>115</v>
      </c>
    </row>
    <row r="110">
      <c r="A110" s="123" t="n">
        <v>46154</v>
      </c>
      <c r="B110" s="80" t="inlineStr">
        <is>
          <t>X219</t>
        </is>
      </c>
      <c r="C110" s="80" t="inlineStr">
        <is>
          <t>Lt Surge FA Trainer (151)</t>
        </is>
      </c>
      <c r="D110" s="80" t="inlineStr">
        <is>
          <t>151</t>
        </is>
      </c>
      <c r="E110" s="80" t="inlineStr">
        <is>
          <t>PSA 10</t>
        </is>
      </c>
      <c r="F110" s="80" t="n">
        <v>100</v>
      </c>
    </row>
    <row r="111">
      <c r="A111" s="123" t="n">
        <v>46154</v>
      </c>
      <c r="B111" s="80" t="inlineStr">
        <is>
          <t>X220</t>
        </is>
      </c>
      <c r="C111" s="80" t="inlineStr">
        <is>
          <t>Giovanni FA Trainer (151)</t>
        </is>
      </c>
      <c r="D111" s="80" t="inlineStr">
        <is>
          <t>151</t>
        </is>
      </c>
      <c r="E111" s="80" t="inlineStr">
        <is>
          <t>PSA 10</t>
        </is>
      </c>
      <c r="F111" s="80" t="n">
        <v>145</v>
      </c>
    </row>
    <row r="112">
      <c r="A112" s="123" t="n">
        <v>46154</v>
      </c>
      <c r="B112" s="80" t="inlineStr">
        <is>
          <t>X221</t>
        </is>
      </c>
      <c r="C112" s="80" t="inlineStr">
        <is>
          <t>151 Booster Bundle</t>
        </is>
      </c>
      <c r="D112" s="80" t="inlineStr">
        <is>
          <t>151</t>
        </is>
      </c>
      <c r="E112" s="80" t="inlineStr">
        <is>
          <t>Sealed (6 packs)</t>
        </is>
      </c>
      <c r="F112" s="80" t="n">
        <v>175</v>
      </c>
    </row>
    <row r="113">
      <c r="A113" s="123" t="n">
        <v>46154</v>
      </c>
      <c r="B113" s="80" t="inlineStr">
        <is>
          <t>X222</t>
        </is>
      </c>
      <c r="C113" s="80" t="inlineStr">
        <is>
          <t>Hidden Fates Premium Powers Collection</t>
        </is>
      </c>
      <c r="D113" s="80" t="inlineStr">
        <is>
          <t>Hidden Fates</t>
        </is>
      </c>
      <c r="E113" s="80" t="inlineStr">
        <is>
          <t>Sealed</t>
        </is>
      </c>
      <c r="F113" s="80" t="n">
        <v>220</v>
      </c>
    </row>
    <row r="114">
      <c r="A114" s="123" t="n">
        <v>46154</v>
      </c>
      <c r="B114" s="80" t="inlineStr">
        <is>
          <t>X223</t>
        </is>
      </c>
      <c r="C114" s="80" t="inlineStr">
        <is>
          <t>Champion's Path Booster Bundle</t>
        </is>
      </c>
      <c r="D114" s="80" t="inlineStr">
        <is>
          <t>Champion's Path</t>
        </is>
      </c>
      <c r="E114" s="80" t="inlineStr">
        <is>
          <t>Sealed</t>
        </is>
      </c>
      <c r="F114" s="80" t="n">
        <v>105</v>
      </c>
    </row>
    <row r="115">
      <c r="A115" s="123" t="n">
        <v>46154</v>
      </c>
      <c r="B115" s="80" t="inlineStr">
        <is>
          <t>X224</t>
        </is>
      </c>
      <c r="C115" s="80" t="inlineStr">
        <is>
          <t>Shining Fates Booster Box</t>
        </is>
      </c>
      <c r="D115" s="80" t="inlineStr">
        <is>
          <t>Shining Fates</t>
        </is>
      </c>
      <c r="E115" s="80" t="inlineStr">
        <is>
          <t>Sealed</t>
        </is>
      </c>
      <c r="F115" s="80" t="n">
        <v>230</v>
      </c>
    </row>
    <row r="116">
      <c r="A116" s="123" t="n">
        <v>46154</v>
      </c>
      <c r="B116" s="80" t="inlineStr">
        <is>
          <t>X225</t>
        </is>
      </c>
      <c r="C116" s="80" t="inlineStr">
        <is>
          <t>Pokemon GO Premium Collection</t>
        </is>
      </c>
      <c r="D116" s="80" t="inlineStr">
        <is>
          <t>Pokemon GO</t>
        </is>
      </c>
      <c r="E116" s="80" t="inlineStr">
        <is>
          <t>Sealed</t>
        </is>
      </c>
      <c r="F116" s="80" t="n">
        <v>130</v>
      </c>
    </row>
    <row r="117">
      <c r="A117" s="123" t="n">
        <v>46154</v>
      </c>
      <c r="B117" s="80" t="inlineStr">
        <is>
          <t>X226</t>
        </is>
      </c>
      <c r="C117" s="80" t="inlineStr">
        <is>
          <t>Evolving Skies Mini Tin</t>
        </is>
      </c>
      <c r="D117" s="80" t="inlineStr">
        <is>
          <t>Evolving Skies</t>
        </is>
      </c>
      <c r="E117" s="80" t="inlineStr">
        <is>
          <t>Sealed</t>
        </is>
      </c>
      <c r="F117" s="80" t="n">
        <v>110</v>
      </c>
    </row>
    <row r="118">
      <c r="A118" s="123" t="n">
        <v>46154</v>
      </c>
      <c r="B118" s="80" t="inlineStr">
        <is>
          <t>X227</t>
        </is>
      </c>
      <c r="C118" s="80" t="inlineStr">
        <is>
          <t>Brilliant Stars Booster Box</t>
        </is>
      </c>
      <c r="D118" s="80" t="inlineStr">
        <is>
          <t>Brilliant Stars</t>
        </is>
      </c>
      <c r="E118" s="80" t="inlineStr">
        <is>
          <t>Sealed</t>
        </is>
      </c>
      <c r="F118" s="80" t="n">
        <v>220</v>
      </c>
    </row>
    <row r="119">
      <c r="A119" s="123" t="n">
        <v>46154</v>
      </c>
      <c r="B119" s="80" t="inlineStr">
        <is>
          <t>X228</t>
        </is>
      </c>
      <c r="C119" s="80" t="inlineStr">
        <is>
          <t>Lost Origin Booster Box</t>
        </is>
      </c>
      <c r="D119" s="80" t="inlineStr">
        <is>
          <t>Lost Origin</t>
        </is>
      </c>
      <c r="E119" s="80" t="inlineStr">
        <is>
          <t>Sealed</t>
        </is>
      </c>
      <c r="F119" s="80" t="n">
        <v>200</v>
      </c>
    </row>
    <row r="120">
      <c r="A120" s="123" t="n">
        <v>46154</v>
      </c>
      <c r="B120" s="80" t="inlineStr">
        <is>
          <t>X229</t>
        </is>
      </c>
      <c r="C120" s="80" t="inlineStr">
        <is>
          <t>Silver Tempest Booster Box</t>
        </is>
      </c>
      <c r="D120" s="80" t="inlineStr">
        <is>
          <t>Silver Tempest</t>
        </is>
      </c>
      <c r="E120" s="80" t="inlineStr">
        <is>
          <t>Sealed</t>
        </is>
      </c>
      <c r="F120" s="80" t="n">
        <v>190</v>
      </c>
    </row>
    <row r="121">
      <c r="A121" s="123" t="n">
        <v>46154</v>
      </c>
      <c r="B121" s="80" t="inlineStr">
        <is>
          <t>X230</t>
        </is>
      </c>
      <c r="C121" s="80" t="inlineStr">
        <is>
          <t>Astral Radiance Booster Box</t>
        </is>
      </c>
      <c r="D121" s="80" t="inlineStr">
        <is>
          <t>Astral Radiance</t>
        </is>
      </c>
      <c r="E121" s="80" t="inlineStr">
        <is>
          <t>Sealed</t>
        </is>
      </c>
      <c r="F121" s="80" t="n">
        <v>180</v>
      </c>
    </row>
    <row r="122">
      <c r="A122" s="123" t="n">
        <v>46154</v>
      </c>
      <c r="B122" s="80" t="inlineStr">
        <is>
          <t>X231</t>
        </is>
      </c>
      <c r="C122" s="80" t="inlineStr">
        <is>
          <t>Charizard Base Unlimited PSA 9</t>
        </is>
      </c>
      <c r="D122" s="80" t="inlineStr">
        <is>
          <t>Base Set</t>
        </is>
      </c>
      <c r="E122" s="80" t="inlineStr">
        <is>
          <t>PSA 9</t>
        </is>
      </c>
      <c r="F122" s="80" t="n">
        <v>1800</v>
      </c>
    </row>
    <row r="123">
      <c r="A123" s="123" t="n">
        <v>46154</v>
      </c>
      <c r="B123" s="80" t="inlineStr">
        <is>
          <t>X232</t>
        </is>
      </c>
      <c r="C123" s="80" t="inlineStr">
        <is>
          <t>Dragonite Fossil Unlimited PSA 9</t>
        </is>
      </c>
      <c r="D123" s="80" t="inlineStr">
        <is>
          <t>Fossil</t>
        </is>
      </c>
      <c r="E123" s="80" t="inlineStr">
        <is>
          <t>PSA 9</t>
        </is>
      </c>
      <c r="F123" s="80" t="n">
        <v>240</v>
      </c>
    </row>
    <row r="124">
      <c r="A124" s="123" t="n">
        <v>46154</v>
      </c>
      <c r="B124" s="80" t="inlineStr">
        <is>
          <t>X233</t>
        </is>
      </c>
      <c r="C124" s="80" t="inlineStr">
        <is>
          <t>Gengar Fossil Unlimited PSA 9</t>
        </is>
      </c>
      <c r="D124" s="80" t="inlineStr">
        <is>
          <t>Fossil</t>
        </is>
      </c>
      <c r="E124" s="80" t="inlineStr">
        <is>
          <t>PSA 9</t>
        </is>
      </c>
      <c r="F124" s="80" t="n">
        <v>220</v>
      </c>
    </row>
    <row r="125">
      <c r="A125" s="123" t="n">
        <v>46154</v>
      </c>
      <c r="B125" s="80" t="inlineStr">
        <is>
          <t>X234</t>
        </is>
      </c>
      <c r="C125" s="80" t="inlineStr">
        <is>
          <t>Articuno Fossil Unlimited PSA 9</t>
        </is>
      </c>
      <c r="D125" s="80" t="inlineStr">
        <is>
          <t>Fossil</t>
        </is>
      </c>
      <c r="E125" s="80" t="inlineStr">
        <is>
          <t>PSA 9</t>
        </is>
      </c>
      <c r="F125" s="80" t="n">
        <v>130</v>
      </c>
    </row>
    <row r="126">
      <c r="A126" s="123" t="n">
        <v>46154</v>
      </c>
      <c r="B126" s="80" t="inlineStr">
        <is>
          <t>X235</t>
        </is>
      </c>
      <c r="C126" s="80" t="inlineStr">
        <is>
          <t>Moltres Fossil Unlimited PSA 9</t>
        </is>
      </c>
      <c r="D126" s="80" t="inlineStr">
        <is>
          <t>Fossil</t>
        </is>
      </c>
      <c r="E126" s="80" t="inlineStr">
        <is>
          <t>PSA 9</t>
        </is>
      </c>
      <c r="F126" s="80" t="n">
        <v>140</v>
      </c>
    </row>
    <row r="127">
      <c r="A127" s="123" t="n">
        <v>46154</v>
      </c>
      <c r="B127" s="80" t="inlineStr">
        <is>
          <t>X236</t>
        </is>
      </c>
      <c r="C127" s="80" t="inlineStr">
        <is>
          <t>Zapdos Fossil Unlimited PSA 9</t>
        </is>
      </c>
      <c r="D127" s="80" t="inlineStr">
        <is>
          <t>Fossil</t>
        </is>
      </c>
      <c r="E127" s="80" t="inlineStr">
        <is>
          <t>PSA 9</t>
        </is>
      </c>
      <c r="F127" s="80" t="n">
        <v>130</v>
      </c>
    </row>
    <row r="128">
      <c r="A128" s="123" t="n">
        <v>46154</v>
      </c>
      <c r="B128" s="80" t="inlineStr">
        <is>
          <t>X237</t>
        </is>
      </c>
      <c r="C128" s="80" t="inlineStr">
        <is>
          <t>Mewtwo Fossil Unlimited PSA 9</t>
        </is>
      </c>
      <c r="D128" s="80" t="inlineStr">
        <is>
          <t>Fossil</t>
        </is>
      </c>
      <c r="E128" s="80" t="inlineStr">
        <is>
          <t>PSA 9</t>
        </is>
      </c>
      <c r="F128" s="80" t="n">
        <v>170</v>
      </c>
    </row>
    <row r="129">
      <c r="A129" s="123" t="n">
        <v>46154</v>
      </c>
      <c r="B129" s="80" t="inlineStr">
        <is>
          <t>X238</t>
        </is>
      </c>
      <c r="C129" s="80" t="inlineStr">
        <is>
          <t>Mew Holo Promo PSA 9</t>
        </is>
      </c>
      <c r="D129" s="80" t="inlineStr">
        <is>
          <t>Black Star Promo</t>
        </is>
      </c>
      <c r="E129" s="80" t="inlineStr">
        <is>
          <t>PSA 9</t>
        </is>
      </c>
      <c r="F129" s="80" t="n">
        <v>220</v>
      </c>
    </row>
    <row r="130">
      <c r="A130" s="123" t="n">
        <v>46154</v>
      </c>
      <c r="B130" s="80" t="inlineStr">
        <is>
          <t>X239</t>
        </is>
      </c>
      <c r="C130" s="80" t="inlineStr">
        <is>
          <t>Lugia Neo Genesis Unlimited PSA 9</t>
        </is>
      </c>
      <c r="D130" s="80" t="inlineStr">
        <is>
          <t>Neo Genesis</t>
        </is>
      </c>
      <c r="E130" s="80" t="inlineStr">
        <is>
          <t>PSA 9</t>
        </is>
      </c>
      <c r="F130" s="80" t="n">
        <v>1100</v>
      </c>
    </row>
    <row r="131">
      <c r="A131" s="123" t="n">
        <v>46154</v>
      </c>
      <c r="B131" s="80" t="inlineStr">
        <is>
          <t>X240</t>
        </is>
      </c>
      <c r="C131" s="80" t="inlineStr">
        <is>
          <t>Houndoom Neo Discovery PSA 9</t>
        </is>
      </c>
      <c r="D131" s="80" t="inlineStr">
        <is>
          <t>Neo Discovery</t>
        </is>
      </c>
      <c r="E131" s="80" t="inlineStr">
        <is>
          <t>PSA 9</t>
        </is>
      </c>
      <c r="F131" s="80" t="n">
        <v>180</v>
      </c>
    </row>
    <row r="132">
      <c r="A132" s="123" t="n">
        <v>46154</v>
      </c>
      <c r="B132" s="80" t="inlineStr">
        <is>
          <t>X241</t>
        </is>
      </c>
      <c r="C132" s="80" t="inlineStr">
        <is>
          <t>Jolteon Aquapolis Crystal</t>
        </is>
      </c>
      <c r="D132" s="80" t="inlineStr">
        <is>
          <t>Aquapolis</t>
        </is>
      </c>
      <c r="E132" s="80" t="inlineStr">
        <is>
          <t>PSA 8</t>
        </is>
      </c>
      <c r="F132" s="80" t="n">
        <v>240</v>
      </c>
    </row>
    <row r="133">
      <c r="A133" s="123" t="n">
        <v>46154</v>
      </c>
      <c r="B133" s="80" t="inlineStr">
        <is>
          <t>X242</t>
        </is>
      </c>
      <c r="C133" s="80" t="inlineStr">
        <is>
          <t>Crystal Kingdra Aquapolis PSA 8</t>
        </is>
      </c>
      <c r="D133" s="80" t="inlineStr">
        <is>
          <t>Aquapolis</t>
        </is>
      </c>
      <c r="E133" s="80" t="inlineStr">
        <is>
          <t>PSA 8</t>
        </is>
      </c>
      <c r="F133" s="80" t="n">
        <v>180</v>
      </c>
    </row>
    <row r="134">
      <c r="A134" s="123" t="n">
        <v>46154</v>
      </c>
      <c r="B134" s="80" t="inlineStr">
        <is>
          <t>X243</t>
        </is>
      </c>
      <c r="C134" s="80" t="inlineStr">
        <is>
          <t>Crystal Lugia Aquapolis PSA 8</t>
        </is>
      </c>
      <c r="D134" s="80" t="inlineStr">
        <is>
          <t>Aquapolis</t>
        </is>
      </c>
      <c r="E134" s="80" t="inlineStr">
        <is>
          <t>PSA 8</t>
        </is>
      </c>
      <c r="F134" s="80" t="n">
        <v>220</v>
      </c>
    </row>
    <row r="135">
      <c r="A135" s="123" t="n">
        <v>46154</v>
      </c>
      <c r="B135" s="80" t="inlineStr">
        <is>
          <t>X301</t>
        </is>
      </c>
      <c r="C135" s="80" t="inlineStr">
        <is>
          <t>Charizard VSTAR Rainbow (BRS) PSA 10</t>
        </is>
      </c>
      <c r="D135" s="80" t="inlineStr">
        <is>
          <t>Brilliant Stars</t>
        </is>
      </c>
      <c r="E135" s="80" t="inlineStr">
        <is>
          <t>PSA 10</t>
        </is>
      </c>
      <c r="F135" s="80" t="n">
        <v>480</v>
      </c>
    </row>
    <row r="136">
      <c r="A136" s="123" t="n">
        <v>46154</v>
      </c>
      <c r="B136" s="80" t="inlineStr">
        <is>
          <t>X302</t>
        </is>
      </c>
      <c r="C136" s="80" t="inlineStr">
        <is>
          <t>Lugia VSTAR Alt Art (ST) PSA 10</t>
        </is>
      </c>
      <c r="D136" s="80" t="inlineStr">
        <is>
          <t>Silver Tempest</t>
        </is>
      </c>
      <c r="E136" s="80" t="inlineStr">
        <is>
          <t>PSA 10</t>
        </is>
      </c>
      <c r="F136" s="80" t="n">
        <v>470</v>
      </c>
    </row>
    <row r="137">
      <c r="A137" s="123" t="n">
        <v>46154</v>
      </c>
      <c r="B137" s="80" t="inlineStr">
        <is>
          <t>X303</t>
        </is>
      </c>
      <c r="C137" s="80" t="inlineStr">
        <is>
          <t>Charizard ex SIR (OF) PSA 10</t>
        </is>
      </c>
      <c r="D137" s="80" t="inlineStr">
        <is>
          <t>Obsidian Flames</t>
        </is>
      </c>
      <c r="E137" s="80" t="inlineStr">
        <is>
          <t>PSA 10</t>
        </is>
      </c>
      <c r="F137" s="80" t="n">
        <v>320</v>
      </c>
    </row>
    <row r="138">
      <c r="A138" s="123" t="n">
        <v>46154</v>
      </c>
      <c r="B138" s="80" t="inlineStr">
        <is>
          <t>X304</t>
        </is>
      </c>
      <c r="C138" s="80" t="inlineStr">
        <is>
          <t>Greninja ex SIR (TWM) PSA 10</t>
        </is>
      </c>
      <c r="D138" s="80" t="inlineStr">
        <is>
          <t>Twilight Masquerade</t>
        </is>
      </c>
      <c r="E138" s="80" t="inlineStr">
        <is>
          <t>PSA 10</t>
        </is>
      </c>
      <c r="F138" s="80" t="n">
        <v>410</v>
      </c>
    </row>
    <row r="139">
      <c r="A139" s="123" t="n">
        <v>46154</v>
      </c>
      <c r="B139" s="80" t="inlineStr">
        <is>
          <t>X305</t>
        </is>
      </c>
      <c r="C139" s="80" t="inlineStr">
        <is>
          <t>Iono SIR (PE) PSA 10</t>
        </is>
      </c>
      <c r="D139" s="80" t="inlineStr">
        <is>
          <t>Paldea Evolved</t>
        </is>
      </c>
      <c r="E139" s="80" t="inlineStr">
        <is>
          <t>PSA 10</t>
        </is>
      </c>
      <c r="F139" s="80" t="n">
        <v>410</v>
      </c>
    </row>
    <row r="140">
      <c r="A140" s="123" t="n">
        <v>46154</v>
      </c>
      <c r="B140" s="80" t="inlineStr">
        <is>
          <t>X306</t>
        </is>
      </c>
      <c r="C140" s="80" t="inlineStr">
        <is>
          <t>Marnie SIR (JT) PSA 10</t>
        </is>
      </c>
      <c r="D140" s="80" t="inlineStr">
        <is>
          <t>Journey Together</t>
        </is>
      </c>
      <c r="E140" s="80" t="inlineStr">
        <is>
          <t>PSA 10</t>
        </is>
      </c>
      <c r="F140" s="80" t="n">
        <v>360</v>
      </c>
    </row>
    <row r="141">
      <c r="A141" s="123" t="n">
        <v>46154</v>
      </c>
      <c r="B141" s="80" t="inlineStr">
        <is>
          <t>X307</t>
        </is>
      </c>
      <c r="C141" s="80" t="inlineStr">
        <is>
          <t>Charizard ex SIR (151) PSA 10</t>
        </is>
      </c>
      <c r="D141" s="80" t="inlineStr">
        <is>
          <t>151</t>
        </is>
      </c>
      <c r="E141" s="80" t="inlineStr">
        <is>
          <t>PSA 10</t>
        </is>
      </c>
      <c r="F141" s="80" t="n">
        <v>480</v>
      </c>
    </row>
    <row r="142">
      <c r="A142" s="123" t="n">
        <v>46154</v>
      </c>
      <c r="B142" s="80" t="inlineStr">
        <is>
          <t>X308</t>
        </is>
      </c>
      <c r="C142" s="80" t="inlineStr">
        <is>
          <t>Charizard ex 199 Alt (151) PSA 10</t>
        </is>
      </c>
      <c r="D142" s="80" t="inlineStr">
        <is>
          <t>151</t>
        </is>
      </c>
      <c r="E142" s="80" t="inlineStr">
        <is>
          <t>PSA 10</t>
        </is>
      </c>
      <c r="F142" s="80" t="n">
        <v>350</v>
      </c>
    </row>
    <row r="143">
      <c r="A143" s="123" t="n">
        <v>46154</v>
      </c>
      <c r="B143" s="80" t="inlineStr">
        <is>
          <t>X309</t>
        </is>
      </c>
      <c r="C143" s="80" t="inlineStr">
        <is>
          <t>Mew ex SIR (151) PSA 10</t>
        </is>
      </c>
      <c r="D143" s="80" t="inlineStr">
        <is>
          <t>151</t>
        </is>
      </c>
      <c r="E143" s="80" t="inlineStr">
        <is>
          <t>PSA 10</t>
        </is>
      </c>
      <c r="F143" s="80" t="n">
        <v>340</v>
      </c>
    </row>
    <row r="144">
      <c r="A144" s="123" t="n">
        <v>46154</v>
      </c>
      <c r="B144" s="80" t="inlineStr">
        <is>
          <t>X310</t>
        </is>
      </c>
      <c r="C144" s="80" t="inlineStr">
        <is>
          <t>Marnie Sword &amp; Shield Full Art PSA 10</t>
        </is>
      </c>
      <c r="D144" s="80" t="inlineStr">
        <is>
          <t>Sword &amp; Shield</t>
        </is>
      </c>
      <c r="E144" s="80" t="inlineStr">
        <is>
          <t>PSA 10</t>
        </is>
      </c>
      <c r="F144" s="80" t="n">
        <v>320</v>
      </c>
    </row>
    <row r="145">
      <c r="A145" s="123" t="n">
        <v>46154</v>
      </c>
      <c r="B145" s="80" t="inlineStr">
        <is>
          <t>X311</t>
        </is>
      </c>
      <c r="C145" s="80" t="inlineStr">
        <is>
          <t>Cynthia Full Art (UP) PSA 10</t>
        </is>
      </c>
      <c r="D145" s="80" t="inlineStr">
        <is>
          <t>Ultra Prism</t>
        </is>
      </c>
      <c r="E145" s="80" t="inlineStr">
        <is>
          <t>PSA 10</t>
        </is>
      </c>
      <c r="F145" s="80" t="n">
        <v>460</v>
      </c>
    </row>
    <row r="146">
      <c r="A146" s="123" t="n">
        <v>46154</v>
      </c>
      <c r="B146" s="80" t="inlineStr">
        <is>
          <t>X312</t>
        </is>
      </c>
      <c r="C146" s="80" t="inlineStr">
        <is>
          <t>Charizard VMAX Rainbow CP PSA 10</t>
        </is>
      </c>
      <c r="D146" s="80" t="inlineStr">
        <is>
          <t>Champion's Path</t>
        </is>
      </c>
      <c r="E146" s="80" t="inlineStr">
        <is>
          <t>PSA 10</t>
        </is>
      </c>
      <c r="F146" s="80" t="n">
        <v>320</v>
      </c>
    </row>
    <row r="147">
      <c r="A147" s="123" t="n">
        <v>46154</v>
      </c>
      <c r="B147" s="80" t="inlineStr">
        <is>
          <t>X313</t>
        </is>
      </c>
      <c r="C147" s="80" t="inlineStr">
        <is>
          <t>151 ETB</t>
        </is>
      </c>
      <c r="D147" s="80" t="inlineStr">
        <is>
          <t>151</t>
        </is>
      </c>
      <c r="E147" s="80" t="inlineStr">
        <is>
          <t>Sealed</t>
        </is>
      </c>
      <c r="F147" s="80" t="n">
        <v>280</v>
      </c>
    </row>
    <row r="148">
      <c r="A148" s="123" t="n">
        <v>46154</v>
      </c>
      <c r="B148" s="80" t="inlineStr">
        <is>
          <t>X314</t>
        </is>
      </c>
      <c r="C148" s="80" t="inlineStr">
        <is>
          <t>151 Ultra Premium Collection</t>
        </is>
      </c>
      <c r="D148" s="80" t="inlineStr">
        <is>
          <t>151</t>
        </is>
      </c>
      <c r="E148" s="80" t="inlineStr">
        <is>
          <t>Sealed</t>
        </is>
      </c>
      <c r="F148" s="80" t="n">
        <v>380</v>
      </c>
    </row>
    <row r="149">
      <c r="A149" s="123" t="n">
        <v>46154</v>
      </c>
      <c r="B149" s="80" t="inlineStr">
        <is>
          <t>X315</t>
        </is>
      </c>
      <c r="C149" s="80" t="inlineStr">
        <is>
          <t>Hidden Fates Booster Box</t>
        </is>
      </c>
      <c r="D149" s="80" t="inlineStr">
        <is>
          <t>Hidden Fates</t>
        </is>
      </c>
      <c r="E149" s="80" t="inlineStr">
        <is>
          <t>Sealed</t>
        </is>
      </c>
      <c r="F149" s="80" t="n">
        <v>380</v>
      </c>
    </row>
    <row r="150">
      <c r="A150" s="123" t="n">
        <v>46154</v>
      </c>
      <c r="B150" s="80" t="inlineStr">
        <is>
          <t>X316</t>
        </is>
      </c>
      <c r="C150" s="80" t="inlineStr">
        <is>
          <t>Shining Fates Premium Collection</t>
        </is>
      </c>
      <c r="D150" s="80" t="inlineStr">
        <is>
          <t>Shining Fates</t>
        </is>
      </c>
      <c r="E150" s="80" t="inlineStr">
        <is>
          <t>Sealed</t>
        </is>
      </c>
      <c r="F150" s="80" t="n">
        <v>290</v>
      </c>
    </row>
    <row r="151">
      <c r="A151" s="123" t="n">
        <v>46154</v>
      </c>
      <c r="B151" s="80" t="inlineStr">
        <is>
          <t>X317</t>
        </is>
      </c>
      <c r="C151" s="80" t="inlineStr">
        <is>
          <t>Crown Zenith Booster Box</t>
        </is>
      </c>
      <c r="D151" s="80" t="inlineStr">
        <is>
          <t>Crown Zenith</t>
        </is>
      </c>
      <c r="E151" s="80" t="inlineStr">
        <is>
          <t>Sealed</t>
        </is>
      </c>
      <c r="F151" s="80" t="n">
        <v>320</v>
      </c>
    </row>
    <row r="152">
      <c r="A152" s="123" t="n">
        <v>46154</v>
      </c>
      <c r="B152" s="80" t="inlineStr">
        <is>
          <t>X318</t>
        </is>
      </c>
      <c r="C152" s="80" t="inlineStr">
        <is>
          <t>Pokemon GO Booster Box</t>
        </is>
      </c>
      <c r="D152" s="80" t="inlineStr">
        <is>
          <t>Pokemon GO</t>
        </is>
      </c>
      <c r="E152" s="80" t="inlineStr">
        <is>
          <t>Sealed</t>
        </is>
      </c>
      <c r="F152" s="80" t="n">
        <v>290</v>
      </c>
    </row>
    <row r="153">
      <c r="A153" s="123" t="n">
        <v>46154</v>
      </c>
      <c r="B153" s="80" t="inlineStr">
        <is>
          <t>X319</t>
        </is>
      </c>
      <c r="C153" s="80" t="inlineStr">
        <is>
          <t>Champion's Path ETB</t>
        </is>
      </c>
      <c r="D153" s="80" t="inlineStr">
        <is>
          <t>Champion's Path</t>
        </is>
      </c>
      <c r="E153" s="80" t="inlineStr">
        <is>
          <t>Sealed</t>
        </is>
      </c>
      <c r="F153" s="80" t="n">
        <v>270</v>
      </c>
    </row>
    <row r="154">
      <c r="A154" s="123" t="n">
        <v>46154</v>
      </c>
      <c r="B154" s="80" t="inlineStr">
        <is>
          <t>X320</t>
        </is>
      </c>
      <c r="C154" s="80" t="inlineStr">
        <is>
          <t>Evolving Skies Premium Collection</t>
        </is>
      </c>
      <c r="D154" s="80" t="inlineStr">
        <is>
          <t>Evolving Skies</t>
        </is>
      </c>
      <c r="E154" s="80" t="inlineStr">
        <is>
          <t>Sealed</t>
        </is>
      </c>
      <c r="F154" s="80" t="n">
        <v>360</v>
      </c>
    </row>
    <row r="155">
      <c r="A155" s="123" t="n">
        <v>46154</v>
      </c>
      <c r="B155" s="80" t="inlineStr">
        <is>
          <t>X321</t>
        </is>
      </c>
      <c r="C155" s="80" t="inlineStr">
        <is>
          <t>Charizard Base Shadowless PSA 8</t>
        </is>
      </c>
      <c r="D155" s="80" t="inlineStr">
        <is>
          <t>Base Set Shadowless</t>
        </is>
      </c>
      <c r="E155" s="80" t="inlineStr">
        <is>
          <t>PSA 8</t>
        </is>
      </c>
      <c r="F155" s="80" t="n">
        <v>480</v>
      </c>
    </row>
    <row r="156">
      <c r="A156" s="123" t="n">
        <v>46154</v>
      </c>
      <c r="B156" s="80" t="inlineStr">
        <is>
          <t>X322</t>
        </is>
      </c>
      <c r="C156" s="80" t="inlineStr">
        <is>
          <t>Blastoise Base Shadowless PSA 8</t>
        </is>
      </c>
      <c r="D156" s="80" t="inlineStr">
        <is>
          <t>Base Set Shadowless</t>
        </is>
      </c>
      <c r="E156" s="80" t="inlineStr">
        <is>
          <t>PSA 8</t>
        </is>
      </c>
      <c r="F156" s="80" t="n">
        <v>290</v>
      </c>
    </row>
    <row r="157">
      <c r="A157" s="123" t="n">
        <v>46154</v>
      </c>
      <c r="B157" s="80" t="inlineStr">
        <is>
          <t>X323</t>
        </is>
      </c>
      <c r="C157" s="80" t="inlineStr">
        <is>
          <t>Charizard 1st Edition PSA 7</t>
        </is>
      </c>
      <c r="D157" s="80" t="inlineStr">
        <is>
          <t>Base Set 1st Edition</t>
        </is>
      </c>
      <c r="E157" s="80" t="inlineStr">
        <is>
          <t>PSA 7</t>
        </is>
      </c>
      <c r="F157" s="80" t="n">
        <v>380</v>
      </c>
    </row>
    <row r="158">
      <c r="A158" s="123" t="n">
        <v>46154</v>
      </c>
      <c r="B158" s="80" t="inlineStr">
        <is>
          <t>X324</t>
        </is>
      </c>
      <c r="C158" s="80" t="inlineStr">
        <is>
          <t>Pikachu Promo Birthday PSA 8</t>
        </is>
      </c>
      <c r="D158" s="80" t="inlineStr">
        <is>
          <t>Black Star Promo</t>
        </is>
      </c>
      <c r="E158" s="80" t="inlineStr">
        <is>
          <t>PSA 8</t>
        </is>
      </c>
      <c r="F158" s="80" t="n">
        <v>270</v>
      </c>
    </row>
    <row r="159">
      <c r="A159" s="123" t="n">
        <v>46154</v>
      </c>
      <c r="B159" s="80" t="inlineStr">
        <is>
          <t>X325</t>
        </is>
      </c>
      <c r="C159" s="80" t="inlineStr">
        <is>
          <t>Charizard Base 2 PSA 9</t>
        </is>
      </c>
      <c r="D159" s="80" t="inlineStr">
        <is>
          <t>Base Set 2</t>
        </is>
      </c>
      <c r="E159" s="80" t="inlineStr">
        <is>
          <t>PSA 9</t>
        </is>
      </c>
      <c r="F159" s="80" t="n">
        <v>340</v>
      </c>
    </row>
    <row r="160">
      <c r="A160" s="123" t="n">
        <v>46154</v>
      </c>
      <c r="B160" s="80" t="inlineStr">
        <is>
          <t>X326</t>
        </is>
      </c>
      <c r="C160" s="80" t="inlineStr">
        <is>
          <t>Shining Charizard Neo Destiny PSA 8</t>
        </is>
      </c>
      <c r="D160" s="80" t="inlineStr">
        <is>
          <t>Neo Destiny</t>
        </is>
      </c>
      <c r="E160" s="80" t="inlineStr">
        <is>
          <t>PSA 8</t>
        </is>
      </c>
      <c r="F160" s="80" t="n">
        <v>480</v>
      </c>
    </row>
    <row r="161">
      <c r="A161" s="123" t="n">
        <v>46154</v>
      </c>
      <c r="B161" s="80" t="inlineStr">
        <is>
          <t>X327</t>
        </is>
      </c>
      <c r="C161" s="80" t="inlineStr">
        <is>
          <t>Shining Magikarp Neo Revelation</t>
        </is>
      </c>
      <c r="D161" s="80" t="inlineStr">
        <is>
          <t>Neo Revelation</t>
        </is>
      </c>
      <c r="E161" s="80" t="inlineStr">
        <is>
          <t>PSA 9</t>
        </is>
      </c>
      <c r="F161" s="80" t="n">
        <v>320</v>
      </c>
    </row>
    <row r="162">
      <c r="A162" s="123" t="n">
        <v>46154</v>
      </c>
      <c r="B162" s="80" t="inlineStr">
        <is>
          <t>X328</t>
        </is>
      </c>
      <c r="C162" s="80" t="inlineStr">
        <is>
          <t>Shining Gyarados Neo Revelation PSA 9</t>
        </is>
      </c>
      <c r="D162" s="80" t="inlineStr">
        <is>
          <t>Neo Revelation</t>
        </is>
      </c>
      <c r="E162" s="80" t="inlineStr">
        <is>
          <t>PSA 9</t>
        </is>
      </c>
      <c r="F162" s="80" t="n">
        <v>410</v>
      </c>
    </row>
    <row r="163">
      <c r="A163" s="123" t="n">
        <v>46154</v>
      </c>
      <c r="B163" s="80" t="inlineStr">
        <is>
          <t>X329</t>
        </is>
      </c>
      <c r="C163" s="80" t="inlineStr">
        <is>
          <t>Crystal Charizard Skyridge PSA 7</t>
        </is>
      </c>
      <c r="D163" s="80" t="inlineStr">
        <is>
          <t>Skyridge</t>
        </is>
      </c>
      <c r="E163" s="80" t="inlineStr">
        <is>
          <t>PSA 7</t>
        </is>
      </c>
      <c r="F163" s="80" t="n">
        <v>380</v>
      </c>
    </row>
    <row r="164">
      <c r="A164" s="123" t="n">
        <v>46154</v>
      </c>
      <c r="B164" s="80" t="inlineStr">
        <is>
          <t>X401</t>
        </is>
      </c>
      <c r="C164" s="80" t="inlineStr">
        <is>
          <t>Moonbreon Alt Art PSA 9</t>
        </is>
      </c>
      <c r="D164" s="80" t="inlineStr">
        <is>
          <t>Evolving Skies</t>
        </is>
      </c>
      <c r="E164" s="80" t="inlineStr">
        <is>
          <t>PSA 9</t>
        </is>
      </c>
      <c r="F164" s="80" t="n">
        <v>720</v>
      </c>
    </row>
    <row r="165">
      <c r="A165" s="123" t="n">
        <v>46154</v>
      </c>
      <c r="B165" s="80" t="inlineStr">
        <is>
          <t>X402</t>
        </is>
      </c>
      <c r="C165" s="80" t="inlineStr">
        <is>
          <t>Rayquaza VMAX Alt PSA 9</t>
        </is>
      </c>
      <c r="D165" s="80" t="inlineStr">
        <is>
          <t>Evolving Skies</t>
        </is>
      </c>
      <c r="E165" s="80" t="inlineStr">
        <is>
          <t>PSA 9</t>
        </is>
      </c>
      <c r="F165" s="80" t="n">
        <v>580</v>
      </c>
    </row>
    <row r="166">
      <c r="A166" s="123" t="n">
        <v>46154</v>
      </c>
      <c r="B166" s="80" t="inlineStr">
        <is>
          <t>X403</t>
        </is>
      </c>
      <c r="C166" s="80" t="inlineStr">
        <is>
          <t>Charizard ex SIR (151) PSA 10 — duplicate of M034 alt</t>
        </is>
      </c>
      <c r="D166" s="80" t="inlineStr">
        <is>
          <t>151</t>
        </is>
      </c>
      <c r="E166" s="80" t="inlineStr">
        <is>
          <t>PSA 10 BGS 9.5</t>
        </is>
      </c>
      <c r="F166" s="80" t="n">
        <v>950</v>
      </c>
    </row>
    <row r="167">
      <c r="A167" s="123" t="n">
        <v>46154</v>
      </c>
      <c r="B167" s="80" t="inlineStr">
        <is>
          <t>X404</t>
        </is>
      </c>
      <c r="C167" s="80" t="inlineStr">
        <is>
          <t>Lillie's Determination SIR (ME01) PSA 10</t>
        </is>
      </c>
      <c r="D167" s="80" t="inlineStr">
        <is>
          <t>Mega Evolution</t>
        </is>
      </c>
      <c r="E167" s="80" t="inlineStr">
        <is>
          <t>PSA 10</t>
        </is>
      </c>
      <c r="F167" s="80" t="n">
        <v>520</v>
      </c>
    </row>
    <row r="168">
      <c r="A168" s="123" t="n">
        <v>46154</v>
      </c>
      <c r="B168" s="80" t="inlineStr">
        <is>
          <t>X405</t>
        </is>
      </c>
      <c r="C168" s="80" t="inlineStr">
        <is>
          <t>Pikachu V-Union Set PSA 10</t>
        </is>
      </c>
      <c r="D168" s="80" t="inlineStr">
        <is>
          <t>SWSH Promos</t>
        </is>
      </c>
      <c r="E168" s="80" t="inlineStr">
        <is>
          <t>PSA 10 set of 4</t>
        </is>
      </c>
      <c r="F168" s="80" t="n">
        <v>580</v>
      </c>
    </row>
    <row r="169">
      <c r="A169" s="123" t="n">
        <v>46154</v>
      </c>
      <c r="B169" s="80" t="inlineStr">
        <is>
          <t>X411</t>
        </is>
      </c>
      <c r="C169" s="80" t="inlineStr">
        <is>
          <t>Charizard Base Unlimited PSA 9</t>
        </is>
      </c>
      <c r="D169" s="80" t="inlineStr">
        <is>
          <t>Base Set</t>
        </is>
      </c>
      <c r="E169" s="80" t="inlineStr">
        <is>
          <t>PSA 9</t>
        </is>
      </c>
      <c r="F169" s="80" t="n">
        <v>880</v>
      </c>
    </row>
    <row r="170">
      <c r="A170" s="123" t="n">
        <v>46154</v>
      </c>
      <c r="B170" s="80" t="inlineStr">
        <is>
          <t>X412</t>
        </is>
      </c>
      <c r="C170" s="80" t="inlineStr">
        <is>
          <t>Charizard Base Shadowless PSA 8</t>
        </is>
      </c>
      <c r="D170" s="80" t="inlineStr">
        <is>
          <t>Base Set Shadowless</t>
        </is>
      </c>
      <c r="E170" s="80" t="inlineStr">
        <is>
          <t>PSA 8</t>
        </is>
      </c>
      <c r="F170" s="80" t="n">
        <v>980</v>
      </c>
    </row>
    <row r="171">
      <c r="A171" s="123" t="n">
        <v>46154</v>
      </c>
      <c r="B171" s="80" t="inlineStr">
        <is>
          <t>X413</t>
        </is>
      </c>
      <c r="C171" s="80" t="inlineStr">
        <is>
          <t>Charizard 1st Edition PSA 8</t>
        </is>
      </c>
      <c r="D171" s="80" t="inlineStr">
        <is>
          <t>Base Set 1st Edition</t>
        </is>
      </c>
      <c r="E171" s="80" t="inlineStr">
        <is>
          <t>PSA 8</t>
        </is>
      </c>
      <c r="F171" s="80" t="n">
        <v>920</v>
      </c>
    </row>
    <row r="172">
      <c r="A172" s="123" t="n">
        <v>46154</v>
      </c>
      <c r="B172" s="80" t="inlineStr">
        <is>
          <t>X414</t>
        </is>
      </c>
      <c r="C172" s="80" t="inlineStr">
        <is>
          <t>Espeon Gold Star PSA 9</t>
        </is>
      </c>
      <c r="D172" s="80" t="inlineStr">
        <is>
          <t>POP Series 5</t>
        </is>
      </c>
      <c r="E172" s="80" t="inlineStr">
        <is>
          <t>PSA 9</t>
        </is>
      </c>
      <c r="F172" s="80" t="n">
        <v>720</v>
      </c>
    </row>
    <row r="173">
      <c r="A173" s="123" t="n">
        <v>46154</v>
      </c>
      <c r="B173" s="80" t="inlineStr">
        <is>
          <t>X415</t>
        </is>
      </c>
      <c r="C173" s="80" t="inlineStr">
        <is>
          <t>Rayquaza Gold Star EX Deoxys</t>
        </is>
      </c>
      <c r="D173" s="80" t="inlineStr">
        <is>
          <t>EX Deoxys</t>
        </is>
      </c>
      <c r="E173" s="80" t="inlineStr">
        <is>
          <t>PSA 8</t>
        </is>
      </c>
      <c r="F173" s="80" t="n">
        <v>940</v>
      </c>
    </row>
    <row r="174">
      <c r="A174" s="123" t="n">
        <v>46154</v>
      </c>
      <c r="B174" s="80" t="inlineStr">
        <is>
          <t>X416</t>
        </is>
      </c>
      <c r="C174" s="80" t="inlineStr">
        <is>
          <t>Mew Gold Star EX Holon</t>
        </is>
      </c>
      <c r="D174" s="80" t="inlineStr">
        <is>
          <t>EX Holon Phantoms</t>
        </is>
      </c>
      <c r="E174" s="80" t="inlineStr">
        <is>
          <t>PSA 8</t>
        </is>
      </c>
      <c r="F174" s="80" t="n">
        <v>580</v>
      </c>
    </row>
    <row r="175">
      <c r="A175" s="123" t="n">
        <v>46154</v>
      </c>
      <c r="B175" s="80" t="inlineStr">
        <is>
          <t>X417</t>
        </is>
      </c>
      <c r="C175" s="80" t="inlineStr">
        <is>
          <t>Glaceon Gold Star DP38 PSA 8</t>
        </is>
      </c>
      <c r="D175" s="80" t="inlineStr">
        <is>
          <t>DP Promo</t>
        </is>
      </c>
      <c r="E175" s="80" t="inlineStr">
        <is>
          <t>PSA 8</t>
        </is>
      </c>
      <c r="F175" s="80" t="n">
        <v>580</v>
      </c>
    </row>
    <row r="176">
      <c r="A176" s="123" t="n">
        <v>46154</v>
      </c>
      <c r="B176" s="80" t="inlineStr">
        <is>
          <t>X418</t>
        </is>
      </c>
      <c r="C176" s="80" t="inlineStr">
        <is>
          <t>Leafeon Gold Star DP37 PSA 8</t>
        </is>
      </c>
      <c r="D176" s="80" t="inlineStr">
        <is>
          <t>DP Promo</t>
        </is>
      </c>
      <c r="E176" s="80" t="inlineStr">
        <is>
          <t>PSA 8</t>
        </is>
      </c>
      <c r="F176" s="80" t="n">
        <v>520</v>
      </c>
    </row>
    <row r="177">
      <c r="A177" s="123" t="n">
        <v>46154</v>
      </c>
      <c r="B177" s="80" t="inlineStr">
        <is>
          <t>X419</t>
        </is>
      </c>
      <c r="C177" s="80" t="inlineStr">
        <is>
          <t>Lugia Neo Genesis 1st Ed PSA 8</t>
        </is>
      </c>
      <c r="D177" s="80" t="inlineStr">
        <is>
          <t>Neo Genesis</t>
        </is>
      </c>
      <c r="E177" s="80" t="inlineStr">
        <is>
          <t>PSA 8</t>
        </is>
      </c>
      <c r="F177" s="80" t="n">
        <v>750</v>
      </c>
    </row>
    <row r="178">
      <c r="A178" s="123" t="n">
        <v>46154</v>
      </c>
      <c r="B178" s="80" t="inlineStr">
        <is>
          <t>X420</t>
        </is>
      </c>
      <c r="C178" s="80" t="inlineStr">
        <is>
          <t>Crystal Charizard Skyridge PSA 8</t>
        </is>
      </c>
      <c r="D178" s="80" t="inlineStr">
        <is>
          <t>Skyridge</t>
        </is>
      </c>
      <c r="E178" s="80" t="inlineStr">
        <is>
          <t>PSA 8</t>
        </is>
      </c>
      <c r="F178" s="80" t="n">
        <v>760</v>
      </c>
    </row>
    <row r="179">
      <c r="A179" s="123" t="n">
        <v>46154</v>
      </c>
      <c r="B179" s="80" t="inlineStr">
        <is>
          <t>X431</t>
        </is>
      </c>
      <c r="C179" s="80" t="inlineStr">
        <is>
          <t>Evolving Skies Booster Box</t>
        </is>
      </c>
      <c r="D179" s="80" t="inlineStr">
        <is>
          <t>Evolving Skies</t>
        </is>
      </c>
      <c r="E179" s="80" t="inlineStr">
        <is>
          <t>Sealed (36 packs)</t>
        </is>
      </c>
      <c r="F179" s="80" t="n">
        <v>580</v>
      </c>
    </row>
    <row r="180">
      <c r="A180" s="123" t="n">
        <v>46154</v>
      </c>
      <c r="B180" s="80" t="inlineStr">
        <is>
          <t>X432</t>
        </is>
      </c>
      <c r="C180" s="80" t="inlineStr">
        <is>
          <t>Hidden Fates ETB</t>
        </is>
      </c>
      <c r="D180" s="80" t="inlineStr">
        <is>
          <t>Hidden Fates</t>
        </is>
      </c>
      <c r="E180" s="80" t="inlineStr">
        <is>
          <t>Sealed</t>
        </is>
      </c>
      <c r="F180" s="80" t="n">
        <v>580</v>
      </c>
    </row>
    <row r="181">
      <c r="A181" s="123" t="n">
        <v>46154</v>
      </c>
      <c r="B181" s="80" t="inlineStr">
        <is>
          <t>X433</t>
        </is>
      </c>
      <c r="C181" s="80" t="inlineStr">
        <is>
          <t>Crown Zenith Premium Trainer Collection</t>
        </is>
      </c>
      <c r="D181" s="80" t="inlineStr">
        <is>
          <t>Crown Zenith</t>
        </is>
      </c>
      <c r="E181" s="80" t="inlineStr">
        <is>
          <t>Sealed</t>
        </is>
      </c>
      <c r="F181" s="80" t="n">
        <v>520</v>
      </c>
    </row>
    <row r="182">
      <c r="A182" s="123" t="n">
        <v>46154</v>
      </c>
      <c r="B182" s="80" t="inlineStr">
        <is>
          <t>X434</t>
        </is>
      </c>
      <c r="C182" s="80" t="inlineStr">
        <is>
          <t>Champion's Path Booster Box</t>
        </is>
      </c>
      <c r="D182" s="80" t="inlineStr">
        <is>
          <t>Champion's Path</t>
        </is>
      </c>
      <c r="E182" s="80" t="inlineStr">
        <is>
          <t>Sealed</t>
        </is>
      </c>
      <c r="F182" s="80" t="n">
        <v>850</v>
      </c>
    </row>
    <row r="183">
      <c r="A183" s="123" t="n">
        <v>46154</v>
      </c>
      <c r="B183" s="80" t="inlineStr">
        <is>
          <t>X435</t>
        </is>
      </c>
      <c r="C183" s="80" t="inlineStr">
        <is>
          <t>Shining Fates Booster Box</t>
        </is>
      </c>
      <c r="D183" s="80" t="inlineStr">
        <is>
          <t>Shining Fates</t>
        </is>
      </c>
      <c r="E183" s="80" t="inlineStr">
        <is>
          <t>Sealed</t>
        </is>
      </c>
      <c r="F183" s="80" t="n">
        <v>750</v>
      </c>
    </row>
    <row r="184">
      <c r="A184" s="123" t="n">
        <v>46154</v>
      </c>
      <c r="B184" s="80" t="inlineStr">
        <is>
          <t>X501</t>
        </is>
      </c>
      <c r="C184" s="80" t="inlineStr">
        <is>
          <t>Charizard 1st Ed Shadowless PSA 8</t>
        </is>
      </c>
      <c r="D184" s="80" t="inlineStr">
        <is>
          <t>Base Set 1st Edition Shadowless</t>
        </is>
      </c>
      <c r="E184" s="80" t="inlineStr">
        <is>
          <t>PSA 8</t>
        </is>
      </c>
      <c r="F184" s="80" t="n">
        <v>9500</v>
      </c>
    </row>
    <row r="185">
      <c r="A185" s="123" t="n">
        <v>46154</v>
      </c>
      <c r="B185" s="80" t="inlineStr">
        <is>
          <t>X502</t>
        </is>
      </c>
      <c r="C185" s="80" t="inlineStr">
        <is>
          <t>Charizard 1st Ed Shadowless BGS 9</t>
        </is>
      </c>
      <c r="D185" s="80" t="inlineStr">
        <is>
          <t>Base Set 1st Edition</t>
        </is>
      </c>
      <c r="E185" s="80" t="inlineStr">
        <is>
          <t>BGS 9</t>
        </is>
      </c>
      <c r="F185" s="80" t="n">
        <v>16000</v>
      </c>
    </row>
    <row r="186">
      <c r="A186" s="123" t="n">
        <v>46154</v>
      </c>
      <c r="B186" s="80" t="inlineStr">
        <is>
          <t>X503</t>
        </is>
      </c>
      <c r="C186" s="80" t="inlineStr">
        <is>
          <t>Lugia Neo Genesis 1st Ed PSA 10</t>
        </is>
      </c>
      <c r="D186" s="80" t="inlineStr">
        <is>
          <t>Neo Genesis</t>
        </is>
      </c>
      <c r="E186" s="80" t="inlineStr">
        <is>
          <t>PSA 10</t>
        </is>
      </c>
      <c r="F186" s="80" t="n">
        <v>22000</v>
      </c>
    </row>
    <row r="187">
      <c r="A187" s="123" t="n">
        <v>46154</v>
      </c>
      <c r="B187" s="80" t="inlineStr">
        <is>
          <t>X504</t>
        </is>
      </c>
      <c r="C187" s="80" t="inlineStr">
        <is>
          <t>Crystal Charizard Skyridge PSA 10</t>
        </is>
      </c>
      <c r="D187" s="80" t="inlineStr">
        <is>
          <t>Skyridge</t>
        </is>
      </c>
      <c r="E187" s="80" t="inlineStr">
        <is>
          <t>PSA 10</t>
        </is>
      </c>
      <c r="F187" s="80" t="n">
        <v>38000</v>
      </c>
    </row>
    <row r="188">
      <c r="A188" s="123" t="n">
        <v>46154</v>
      </c>
      <c r="B188" s="80" t="inlineStr">
        <is>
          <t>X505</t>
        </is>
      </c>
      <c r="C188" s="80" t="inlineStr">
        <is>
          <t>Charizard Gold Star PSA 10</t>
        </is>
      </c>
      <c r="D188" s="80" t="inlineStr">
        <is>
          <t>EX Dragon Frontiers</t>
        </is>
      </c>
      <c r="E188" s="80" t="inlineStr">
        <is>
          <t>PSA 10</t>
        </is>
      </c>
      <c r="F188" s="80" t="n">
        <v>18000</v>
      </c>
    </row>
    <row r="189">
      <c r="A189" s="123" t="n">
        <v>46154</v>
      </c>
      <c r="B189" s="80" t="inlineStr">
        <is>
          <t>X506</t>
        </is>
      </c>
      <c r="C189" s="80" t="inlineStr">
        <is>
          <t>Espeon Gold Star PSA 10</t>
        </is>
      </c>
      <c r="D189" s="80" t="inlineStr">
        <is>
          <t>POP Series 5</t>
        </is>
      </c>
      <c r="E189" s="80" t="inlineStr">
        <is>
          <t>PSA 10</t>
        </is>
      </c>
      <c r="F189" s="80" t="n">
        <v>16000</v>
      </c>
    </row>
    <row r="190">
      <c r="A190" s="123" t="n">
        <v>46154</v>
      </c>
      <c r="B190" s="80" t="inlineStr">
        <is>
          <t>X507</t>
        </is>
      </c>
      <c r="C190" s="80" t="inlineStr">
        <is>
          <t>Umbreon Gold Star PSA 10</t>
        </is>
      </c>
      <c r="D190" s="80" t="inlineStr">
        <is>
          <t>POP Series 5</t>
        </is>
      </c>
      <c r="E190" s="80" t="inlineStr">
        <is>
          <t>PSA 10</t>
        </is>
      </c>
      <c r="F190" s="80" t="n">
        <v>22000</v>
      </c>
    </row>
    <row r="191">
      <c r="A191" s="123" t="n">
        <v>46154</v>
      </c>
      <c r="B191" s="80" t="inlineStr">
        <is>
          <t>X508</t>
        </is>
      </c>
      <c r="C191" s="80" t="inlineStr">
        <is>
          <t>Pikachu Illustrator PSA 7</t>
        </is>
      </c>
      <c r="D191" s="80" t="inlineStr">
        <is>
          <t>Trophy</t>
        </is>
      </c>
      <c r="E191" s="80" t="inlineStr">
        <is>
          <t>PSA 7</t>
        </is>
      </c>
      <c r="F191" s="80" t="n">
        <v>450000</v>
      </c>
    </row>
    <row r="192">
      <c r="A192" s="123" t="n">
        <v>46154</v>
      </c>
      <c r="B192" s="80" t="inlineStr">
        <is>
          <t>X509</t>
        </is>
      </c>
      <c r="C192" s="80" t="inlineStr">
        <is>
          <t>No.1 Trainer 1999 PSA 8</t>
        </is>
      </c>
      <c r="D192" s="80" t="inlineStr">
        <is>
          <t>Trophy WC 1999</t>
        </is>
      </c>
      <c r="E192" s="80" t="inlineStr">
        <is>
          <t>PSA 8</t>
        </is>
      </c>
      <c r="F192" s="80" t="n">
        <v>320000</v>
      </c>
    </row>
    <row r="193">
      <c r="A193" s="123" t="n">
        <v>46154</v>
      </c>
      <c r="B193" s="80" t="inlineStr">
        <is>
          <t>X510</t>
        </is>
      </c>
      <c r="C193" s="80" t="inlineStr">
        <is>
          <t>Charizard 1st Ed Shadowless PSA 10</t>
        </is>
      </c>
      <c r="D193" s="80" t="inlineStr">
        <is>
          <t>Base Set 1st Edition Shadowless</t>
        </is>
      </c>
      <c r="E193" s="80" t="inlineStr">
        <is>
          <t>PSA 10</t>
        </is>
      </c>
      <c r="F193" s="80" t="n">
        <v>200000</v>
      </c>
    </row>
    <row r="194">
      <c r="A194" s="123" t="n">
        <v>46154</v>
      </c>
      <c r="B194" s="80" t="inlineStr">
        <is>
          <t>X511</t>
        </is>
      </c>
      <c r="C194" s="80" t="inlineStr">
        <is>
          <t>Shining Charizard Neo Destiny PSA 10</t>
        </is>
      </c>
      <c r="D194" s="80" t="inlineStr">
        <is>
          <t>Neo Destiny</t>
        </is>
      </c>
      <c r="E194" s="80" t="inlineStr">
        <is>
          <t>PSA 10</t>
        </is>
      </c>
      <c r="F194" s="80" t="n">
        <v>5800</v>
      </c>
    </row>
    <row r="195">
      <c r="A195" s="123" t="n">
        <v>46154</v>
      </c>
      <c r="B195" s="80" t="inlineStr">
        <is>
          <t>X512</t>
        </is>
      </c>
      <c r="C195" s="80" t="inlineStr">
        <is>
          <t>Charizard EX Dragon Frontiers 105 PSA 10</t>
        </is>
      </c>
      <c r="D195" s="80" t="inlineStr">
        <is>
          <t>EX Dragon Frontiers</t>
        </is>
      </c>
      <c r="E195" s="80" t="inlineStr">
        <is>
          <t>PSA 10</t>
        </is>
      </c>
      <c r="F195" s="80" t="n">
        <v>4200</v>
      </c>
    </row>
    <row r="196">
      <c r="A196" s="123" t="n">
        <v>46154</v>
      </c>
      <c r="B196" s="80" t="inlineStr">
        <is>
          <t>X521</t>
        </is>
      </c>
      <c r="C196" s="80" t="inlineStr">
        <is>
          <t>Evolving Skies Booster Box (case)</t>
        </is>
      </c>
      <c r="D196" s="80" t="inlineStr">
        <is>
          <t>Evolving Skies</t>
        </is>
      </c>
      <c r="E196" s="80" t="inlineStr">
        <is>
          <t>Sealed</t>
        </is>
      </c>
      <c r="F196" s="80" t="n">
        <v>3400</v>
      </c>
    </row>
    <row r="197">
      <c r="A197" s="123" t="n">
        <v>46154</v>
      </c>
      <c r="B197" s="80" t="inlineStr">
        <is>
          <t>X522</t>
        </is>
      </c>
      <c r="C197" s="80" t="inlineStr">
        <is>
          <t>Champion's Path Premium Collection</t>
        </is>
      </c>
      <c r="D197" s="80" t="inlineStr">
        <is>
          <t>Champion's Path</t>
        </is>
      </c>
      <c r="E197" s="80" t="inlineStr">
        <is>
          <t>Sealed</t>
        </is>
      </c>
      <c r="F197" s="80" t="n">
        <v>1100</v>
      </c>
    </row>
    <row r="198">
      <c r="A198" s="123" t="n">
        <v>46154</v>
      </c>
      <c r="B198" s="80" t="inlineStr">
        <is>
          <t>X523</t>
        </is>
      </c>
      <c r="C198" s="80" t="inlineStr">
        <is>
          <t>Hidden Fates Premium Collection</t>
        </is>
      </c>
      <c r="D198" s="80" t="inlineStr">
        <is>
          <t>Hidden Fates</t>
        </is>
      </c>
      <c r="E198" s="80" t="inlineStr">
        <is>
          <t>Sealed</t>
        </is>
      </c>
      <c r="F198" s="80" t="n">
        <v>1200</v>
      </c>
    </row>
    <row r="199">
      <c r="A199" s="123" t="n">
        <v>46154</v>
      </c>
      <c r="B199" s="80" t="inlineStr">
        <is>
          <t>X524</t>
        </is>
      </c>
      <c r="C199" s="80" t="inlineStr">
        <is>
          <t>Pokemon GO Elite Trainer Bundle</t>
        </is>
      </c>
      <c r="D199" s="80" t="inlineStr">
        <is>
          <t>Pokemon GO</t>
        </is>
      </c>
      <c r="E199" s="80" t="inlineStr">
        <is>
          <t>Sealed</t>
        </is>
      </c>
      <c r="F199" s="80" t="n">
        <v>1300</v>
      </c>
    </row>
    <row r="200">
      <c r="A200" s="123" t="n">
        <v>46154</v>
      </c>
      <c r="B200" s="80" t="inlineStr">
        <is>
          <t>X525</t>
        </is>
      </c>
      <c r="C200" s="80" t="inlineStr">
        <is>
          <t>Hidden Fates Booster Box</t>
        </is>
      </c>
      <c r="D200" s="80" t="inlineStr">
        <is>
          <t>Hidden Fates</t>
        </is>
      </c>
      <c r="E200" s="80" t="inlineStr">
        <is>
          <t>Sealed</t>
        </is>
      </c>
      <c r="F200" s="80" t="n">
        <v>2400</v>
      </c>
    </row>
    <row r="201">
      <c r="A201" s="123" t="n">
        <v>46154</v>
      </c>
      <c r="B201" s="80" t="inlineStr">
        <is>
          <t>X526</t>
        </is>
      </c>
      <c r="C201" s="80" t="inlineStr">
        <is>
          <t>Champion's Path Booster Box (case)</t>
        </is>
      </c>
      <c r="D201" s="80" t="inlineStr">
        <is>
          <t>Champion's Path</t>
        </is>
      </c>
      <c r="E201" s="80" t="inlineStr">
        <is>
          <t>Sealed</t>
        </is>
      </c>
      <c r="F201" s="80" t="n">
        <v>6500</v>
      </c>
    </row>
    <row r="202">
      <c r="A202" s="123" t="n">
        <v>46154</v>
      </c>
      <c r="B202" s="80" t="inlineStr">
        <is>
          <t>X531</t>
        </is>
      </c>
      <c r="C202" s="80" t="inlineStr">
        <is>
          <t>Base Set Booster Box Unlimited (sealed)</t>
        </is>
      </c>
      <c r="D202" s="80" t="inlineStr">
        <is>
          <t>Base Set</t>
        </is>
      </c>
      <c r="E202" s="80" t="inlineStr">
        <is>
          <t>Sealed</t>
        </is>
      </c>
      <c r="F202" s="80" t="n">
        <v>45000</v>
      </c>
    </row>
    <row r="203">
      <c r="A203" s="123" t="n">
        <v>46154</v>
      </c>
      <c r="B203" s="80" t="inlineStr">
        <is>
          <t>X532</t>
        </is>
      </c>
      <c r="C203" s="80" t="inlineStr">
        <is>
          <t>Jungle Booster Box Unlimited (sealed)</t>
        </is>
      </c>
      <c r="D203" s="80" t="inlineStr">
        <is>
          <t>Jungle</t>
        </is>
      </c>
      <c r="E203" s="80" t="inlineStr">
        <is>
          <t>Sealed</t>
        </is>
      </c>
      <c r="F203" s="80" t="n">
        <v>18000</v>
      </c>
    </row>
    <row r="204">
      <c r="A204" s="123" t="n">
        <v>46154</v>
      </c>
      <c r="B204" s="80" t="inlineStr">
        <is>
          <t>X533</t>
        </is>
      </c>
      <c r="C204" s="80" t="inlineStr">
        <is>
          <t>Fossil Booster Box Unlimited (sealed)</t>
        </is>
      </c>
      <c r="D204" s="80" t="inlineStr">
        <is>
          <t>Fossil</t>
        </is>
      </c>
      <c r="E204" s="80" t="inlineStr">
        <is>
          <t>Sealed</t>
        </is>
      </c>
      <c r="F204" s="80" t="n">
        <v>17000</v>
      </c>
    </row>
    <row r="205">
      <c r="A205" s="123" t="n">
        <v>46154</v>
      </c>
      <c r="B205" s="80" t="inlineStr">
        <is>
          <t>X534</t>
        </is>
      </c>
      <c r="C205" s="80" t="inlineStr">
        <is>
          <t>Neo Genesis Booster Box Unlimited (sealed)</t>
        </is>
      </c>
      <c r="D205" s="80" t="inlineStr">
        <is>
          <t>Neo Genesis</t>
        </is>
      </c>
      <c r="E205" s="80" t="inlineStr">
        <is>
          <t>Sealed</t>
        </is>
      </c>
      <c r="F205" s="80" t="n">
        <v>14000</v>
      </c>
    </row>
    <row r="206">
      <c r="A206" s="123" t="n">
        <v>46154</v>
      </c>
      <c r="B206" s="80" t="inlineStr">
        <is>
          <t>X535</t>
        </is>
      </c>
      <c r="C206" s="80" t="inlineStr">
        <is>
          <t>Team Rocket Booster Box Unlimited (sealed)</t>
        </is>
      </c>
      <c r="D206" s="80" t="inlineStr">
        <is>
          <t>Team Rocket</t>
        </is>
      </c>
      <c r="E206" s="80" t="inlineStr">
        <is>
          <t>Sealed</t>
        </is>
      </c>
      <c r="F206" s="80" t="n">
        <v>15000</v>
      </c>
    </row>
    <row r="207">
      <c r="A207" s="123" t="n">
        <v>46154</v>
      </c>
      <c r="B207" s="80" t="inlineStr">
        <is>
          <t>Z001</t>
        </is>
      </c>
      <c r="C207" s="80" t="inlineStr">
        <is>
          <t>Lugia</t>
        </is>
      </c>
      <c r="D207" s="80" t="inlineStr">
        <is>
          <t>Neo Genesis</t>
        </is>
      </c>
      <c r="E207" s="80" t="inlineStr">
        <is>
          <t>PSA 10</t>
        </is>
      </c>
      <c r="F207" s="80" t="n">
        <v>12500</v>
      </c>
    </row>
    <row r="208">
      <c r="A208" s="123" t="n">
        <v>46154</v>
      </c>
      <c r="B208" s="80" t="inlineStr">
        <is>
          <t>Z002</t>
        </is>
      </c>
      <c r="C208" s="80" t="inlineStr">
        <is>
          <t>Lugia</t>
        </is>
      </c>
      <c r="D208" s="80" t="inlineStr">
        <is>
          <t>Neo Genesis</t>
        </is>
      </c>
      <c r="E208" s="80" t="inlineStr">
        <is>
          <t>PSA 9</t>
        </is>
      </c>
      <c r="F208" s="80" t="n">
        <v>2200</v>
      </c>
    </row>
    <row r="209">
      <c r="A209" s="123" t="n">
        <v>46154</v>
      </c>
      <c r="B209" s="80" t="inlineStr">
        <is>
          <t>Z003</t>
        </is>
      </c>
      <c r="C209" s="80" t="inlineStr">
        <is>
          <t>Lugia</t>
        </is>
      </c>
      <c r="D209" s="80" t="inlineStr">
        <is>
          <t>Neo Genesis</t>
        </is>
      </c>
      <c r="E209" s="80" t="inlineStr">
        <is>
          <t>PSA 8</t>
        </is>
      </c>
      <c r="F209" s="80" t="n">
        <v>650</v>
      </c>
    </row>
    <row r="210">
      <c r="A210" s="123" t="n">
        <v>46154</v>
      </c>
      <c r="B210" s="80" t="inlineStr">
        <is>
          <t>Z004</t>
        </is>
      </c>
      <c r="C210" s="80" t="inlineStr">
        <is>
          <t>Lugia 1st Ed</t>
        </is>
      </c>
      <c r="D210" s="80" t="inlineStr">
        <is>
          <t>Neo Genesis 1st Edition</t>
        </is>
      </c>
      <c r="E210" s="80" t="inlineStr">
        <is>
          <t>PSA 9</t>
        </is>
      </c>
      <c r="F210" s="80" t="n">
        <v>8500</v>
      </c>
    </row>
    <row r="211">
      <c r="A211" s="123" t="n">
        <v>46154</v>
      </c>
      <c r="B211" s="80" t="inlineStr">
        <is>
          <t>Z005</t>
        </is>
      </c>
      <c r="C211" s="80" t="inlineStr">
        <is>
          <t>Typhlosion 1st Ed</t>
        </is>
      </c>
      <c r="D211" s="80" t="inlineStr">
        <is>
          <t>Neo Genesis 1st Edition</t>
        </is>
      </c>
      <c r="E211" s="80" t="inlineStr">
        <is>
          <t>PSA 10</t>
        </is>
      </c>
      <c r="F211" s="80" t="n">
        <v>1800</v>
      </c>
    </row>
    <row r="212">
      <c r="A212" s="123" t="n">
        <v>46154</v>
      </c>
      <c r="B212" s="80" t="inlineStr">
        <is>
          <t>Z006</t>
        </is>
      </c>
      <c r="C212" s="80" t="inlineStr">
        <is>
          <t>Meganium 1st Ed</t>
        </is>
      </c>
      <c r="D212" s="80" t="inlineStr">
        <is>
          <t>Neo Genesis 1st Edition</t>
        </is>
      </c>
      <c r="E212" s="80" t="inlineStr">
        <is>
          <t>PSA 10</t>
        </is>
      </c>
      <c r="F212" s="80" t="n">
        <v>1400</v>
      </c>
    </row>
    <row r="213">
      <c r="A213" s="123" t="n">
        <v>46154</v>
      </c>
      <c r="B213" s="80" t="inlineStr">
        <is>
          <t>Z007</t>
        </is>
      </c>
      <c r="C213" s="80" t="inlineStr">
        <is>
          <t>Feraligatr 1st Ed</t>
        </is>
      </c>
      <c r="D213" s="80" t="inlineStr">
        <is>
          <t>Neo Genesis 1st Edition</t>
        </is>
      </c>
      <c r="E213" s="80" t="inlineStr">
        <is>
          <t>PSA 10</t>
        </is>
      </c>
      <c r="F213" s="80" t="n">
        <v>1600</v>
      </c>
    </row>
    <row r="214">
      <c r="A214" s="123" t="n">
        <v>46154</v>
      </c>
      <c r="B214" s="80" t="inlineStr">
        <is>
          <t>Z010</t>
        </is>
      </c>
      <c r="C214" s="80" t="inlineStr">
        <is>
          <t>Espeon</t>
        </is>
      </c>
      <c r="D214" s="80" t="inlineStr">
        <is>
          <t>Neo Discovery</t>
        </is>
      </c>
      <c r="E214" s="80" t="inlineStr">
        <is>
          <t>PSA 10</t>
        </is>
      </c>
      <c r="F214" s="80" t="n">
        <v>1900</v>
      </c>
    </row>
    <row r="215">
      <c r="A215" s="123" t="n">
        <v>46154</v>
      </c>
      <c r="B215" s="80" t="inlineStr">
        <is>
          <t>Z011</t>
        </is>
      </c>
      <c r="C215" s="80" t="inlineStr">
        <is>
          <t>Umbreon</t>
        </is>
      </c>
      <c r="D215" s="80" t="inlineStr">
        <is>
          <t>Neo Discovery</t>
        </is>
      </c>
      <c r="E215" s="80" t="inlineStr">
        <is>
          <t>PSA 10</t>
        </is>
      </c>
      <c r="F215" s="80" t="n">
        <v>1700</v>
      </c>
    </row>
    <row r="216">
      <c r="A216" s="123" t="n">
        <v>46154</v>
      </c>
      <c r="B216" s="80" t="inlineStr">
        <is>
          <t>Z012</t>
        </is>
      </c>
      <c r="C216" s="80" t="inlineStr">
        <is>
          <t>Espeon 1st Ed</t>
        </is>
      </c>
      <c r="D216" s="80" t="inlineStr">
        <is>
          <t>Neo Discovery 1st Edition</t>
        </is>
      </c>
      <c r="E216" s="80" t="inlineStr">
        <is>
          <t>PSA 10</t>
        </is>
      </c>
      <c r="F216" s="80" t="n">
        <v>6500</v>
      </c>
    </row>
    <row r="217">
      <c r="A217" s="123" t="n">
        <v>46154</v>
      </c>
      <c r="B217" s="80" t="inlineStr">
        <is>
          <t>Z013</t>
        </is>
      </c>
      <c r="C217" s="80" t="inlineStr">
        <is>
          <t>Umbreon 1st Ed</t>
        </is>
      </c>
      <c r="D217" s="80" t="inlineStr">
        <is>
          <t>Neo Discovery 1st Edition</t>
        </is>
      </c>
      <c r="E217" s="80" t="inlineStr">
        <is>
          <t>PSA 10</t>
        </is>
      </c>
      <c r="F217" s="80" t="n">
        <v>5500</v>
      </c>
    </row>
    <row r="218">
      <c r="A218" s="123" t="n">
        <v>46154</v>
      </c>
      <c r="B218" s="80" t="inlineStr">
        <is>
          <t>Z020</t>
        </is>
      </c>
      <c r="C218" s="80" t="inlineStr">
        <is>
          <t>Shining Charizard</t>
        </is>
      </c>
      <c r="D218" s="80" t="inlineStr">
        <is>
          <t>Neo Revelation</t>
        </is>
      </c>
      <c r="E218" s="80" t="inlineStr">
        <is>
          <t>PSA 10</t>
        </is>
      </c>
      <c r="F218" s="80" t="n">
        <v>4200</v>
      </c>
    </row>
    <row r="219">
      <c r="A219" s="123" t="n">
        <v>46154</v>
      </c>
      <c r="B219" s="80" t="inlineStr">
        <is>
          <t>Z021</t>
        </is>
      </c>
      <c r="C219" s="80" t="inlineStr">
        <is>
          <t>Shining Charizard</t>
        </is>
      </c>
      <c r="D219" s="80" t="inlineStr">
        <is>
          <t>Neo Revelation</t>
        </is>
      </c>
      <c r="E219" s="80" t="inlineStr">
        <is>
          <t>PSA 9</t>
        </is>
      </c>
      <c r="F219" s="80" t="n">
        <v>1100</v>
      </c>
    </row>
    <row r="220">
      <c r="A220" s="123" t="n">
        <v>46154</v>
      </c>
      <c r="B220" s="80" t="inlineStr">
        <is>
          <t>Z022</t>
        </is>
      </c>
      <c r="C220" s="80" t="inlineStr">
        <is>
          <t>Shining Magikarp</t>
        </is>
      </c>
      <c r="D220" s="80" t="inlineStr">
        <is>
          <t>Neo Revelation</t>
        </is>
      </c>
      <c r="E220" s="80" t="inlineStr">
        <is>
          <t>PSA 10</t>
        </is>
      </c>
      <c r="F220" s="80" t="n">
        <v>900</v>
      </c>
    </row>
    <row r="221">
      <c r="A221" s="123" t="n">
        <v>46154</v>
      </c>
      <c r="B221" s="80" t="inlineStr">
        <is>
          <t>Z023</t>
        </is>
      </c>
      <c r="C221" s="80" t="inlineStr">
        <is>
          <t>Shining Gyarados</t>
        </is>
      </c>
      <c r="D221" s="80" t="inlineStr">
        <is>
          <t>Neo Revelation</t>
        </is>
      </c>
      <c r="E221" s="80" t="inlineStr">
        <is>
          <t>PSA 10</t>
        </is>
      </c>
      <c r="F221" s="80" t="n">
        <v>950</v>
      </c>
    </row>
    <row r="222">
      <c r="A222" s="123" t="n">
        <v>46154</v>
      </c>
      <c r="B222" s="80" t="inlineStr">
        <is>
          <t>Z024</t>
        </is>
      </c>
      <c r="C222" s="80" t="inlineStr">
        <is>
          <t>Ho-Oh</t>
        </is>
      </c>
      <c r="D222" s="80" t="inlineStr">
        <is>
          <t>Neo Revelation</t>
        </is>
      </c>
      <c r="E222" s="80" t="inlineStr">
        <is>
          <t>PSA 10</t>
        </is>
      </c>
      <c r="F222" s="80" t="n">
        <v>1600</v>
      </c>
    </row>
    <row r="223">
      <c r="A223" s="123" t="n">
        <v>46154</v>
      </c>
      <c r="B223" s="80" t="inlineStr">
        <is>
          <t>Z030</t>
        </is>
      </c>
      <c r="C223" s="80" t="inlineStr">
        <is>
          <t>Shining Mewtwo</t>
        </is>
      </c>
      <c r="D223" s="80" t="inlineStr">
        <is>
          <t>Neo Destiny</t>
        </is>
      </c>
      <c r="E223" s="80" t="inlineStr">
        <is>
          <t>PSA 10</t>
        </is>
      </c>
      <c r="F223" s="80" t="n">
        <v>3800</v>
      </c>
    </row>
    <row r="224">
      <c r="A224" s="123" t="n">
        <v>46154</v>
      </c>
      <c r="B224" s="80" t="inlineStr">
        <is>
          <t>Z031</t>
        </is>
      </c>
      <c r="C224" s="80" t="inlineStr">
        <is>
          <t>Dark Charizard</t>
        </is>
      </c>
      <c r="D224" s="80" t="inlineStr">
        <is>
          <t>Neo Destiny</t>
        </is>
      </c>
      <c r="E224" s="80" t="inlineStr">
        <is>
          <t>PSA 10</t>
        </is>
      </c>
      <c r="F224" s="80" t="n">
        <v>2200</v>
      </c>
    </row>
    <row r="225">
      <c r="A225" s="123" t="n">
        <v>46154</v>
      </c>
      <c r="B225" s="80" t="inlineStr">
        <is>
          <t>Z032</t>
        </is>
      </c>
      <c r="C225" s="80" t="inlineStr">
        <is>
          <t>Light Dragonite</t>
        </is>
      </c>
      <c r="D225" s="80" t="inlineStr">
        <is>
          <t>Neo Destiny</t>
        </is>
      </c>
      <c r="E225" s="80" t="inlineStr">
        <is>
          <t>PSA 10</t>
        </is>
      </c>
      <c r="F225" s="80" t="n">
        <v>1100</v>
      </c>
    </row>
    <row r="226">
      <c r="A226" s="123" t="n">
        <v>46154</v>
      </c>
      <c r="B226" s="80" t="inlineStr">
        <is>
          <t>Z033</t>
        </is>
      </c>
      <c r="C226" s="80" t="inlineStr">
        <is>
          <t>Shining Tyranitar</t>
        </is>
      </c>
      <c r="D226" s="80" t="inlineStr">
        <is>
          <t>Neo Destiny</t>
        </is>
      </c>
      <c r="E226" s="80" t="inlineStr">
        <is>
          <t>PSA 10</t>
        </is>
      </c>
      <c r="F226" s="80" t="n">
        <v>2900</v>
      </c>
    </row>
    <row r="227">
      <c r="A227" s="123" t="n">
        <v>46154</v>
      </c>
      <c r="B227" s="80" t="inlineStr">
        <is>
          <t>Z034</t>
        </is>
      </c>
      <c r="C227" s="80" t="inlineStr">
        <is>
          <t>Shining Steelix</t>
        </is>
      </c>
      <c r="D227" s="80" t="inlineStr">
        <is>
          <t>Neo Destiny</t>
        </is>
      </c>
      <c r="E227" s="80" t="inlineStr">
        <is>
          <t>PSA 10</t>
        </is>
      </c>
      <c r="F227" s="80" t="n">
        <v>1800</v>
      </c>
    </row>
    <row r="228">
      <c r="A228" s="123" t="n">
        <v>46154</v>
      </c>
      <c r="B228" s="80" t="inlineStr">
        <is>
          <t>Z040</t>
        </is>
      </c>
      <c r="C228" s="80" t="inlineStr">
        <is>
          <t>Misty's Tentacruel</t>
        </is>
      </c>
      <c r="D228" s="80" t="inlineStr">
        <is>
          <t>Gym Heroes</t>
        </is>
      </c>
      <c r="E228" s="80" t="inlineStr">
        <is>
          <t>PSA 10</t>
        </is>
      </c>
      <c r="F228" s="80" t="n">
        <v>1200</v>
      </c>
    </row>
    <row r="229">
      <c r="A229" s="123" t="n">
        <v>46154</v>
      </c>
      <c r="B229" s="80" t="inlineStr">
        <is>
          <t>Z041</t>
        </is>
      </c>
      <c r="C229" s="80" t="inlineStr">
        <is>
          <t>Erika's Dragonair</t>
        </is>
      </c>
      <c r="D229" s="80" t="inlineStr">
        <is>
          <t>Gym Heroes</t>
        </is>
      </c>
      <c r="E229" s="80" t="inlineStr">
        <is>
          <t>PSA 10</t>
        </is>
      </c>
      <c r="F229" s="80" t="n">
        <v>1100</v>
      </c>
    </row>
    <row r="230">
      <c r="A230" s="123" t="n">
        <v>46154</v>
      </c>
      <c r="B230" s="80" t="inlineStr">
        <is>
          <t>Z042</t>
        </is>
      </c>
      <c r="C230" s="80" t="inlineStr">
        <is>
          <t>Rocket's Zapdos</t>
        </is>
      </c>
      <c r="D230" s="80" t="inlineStr">
        <is>
          <t>Gym Challenge</t>
        </is>
      </c>
      <c r="E230" s="80" t="inlineStr">
        <is>
          <t>PSA 10</t>
        </is>
      </c>
      <c r="F230" s="80" t="n">
        <v>1700</v>
      </c>
    </row>
    <row r="231">
      <c r="A231" s="123" t="n">
        <v>46154</v>
      </c>
      <c r="B231" s="80" t="inlineStr">
        <is>
          <t>Z043</t>
        </is>
      </c>
      <c r="C231" s="80" t="inlineStr">
        <is>
          <t>Giovanni's Gyarados</t>
        </is>
      </c>
      <c r="D231" s="80" t="inlineStr">
        <is>
          <t>Gym Challenge</t>
        </is>
      </c>
      <c r="E231" s="80" t="inlineStr">
        <is>
          <t>PSA 10</t>
        </is>
      </c>
      <c r="F231" s="80" t="n">
        <v>1500</v>
      </c>
    </row>
    <row r="232">
      <c r="A232" s="123" t="n">
        <v>46154</v>
      </c>
      <c r="B232" s="80" t="inlineStr">
        <is>
          <t>Z044</t>
        </is>
      </c>
      <c r="C232" s="80" t="inlineStr">
        <is>
          <t>Blaine's Charizard</t>
        </is>
      </c>
      <c r="D232" s="80" t="inlineStr">
        <is>
          <t>Gym Challenge</t>
        </is>
      </c>
      <c r="E232" s="80" t="inlineStr">
        <is>
          <t>PSA 10</t>
        </is>
      </c>
      <c r="F232" s="80" t="n">
        <v>3500</v>
      </c>
    </row>
    <row r="233">
      <c r="A233" s="123" t="n">
        <v>46154</v>
      </c>
      <c r="B233" s="80" t="inlineStr">
        <is>
          <t>Z045</t>
        </is>
      </c>
      <c r="C233" s="80" t="inlineStr">
        <is>
          <t>Blaine's Charizard</t>
        </is>
      </c>
      <c r="D233" s="80" t="inlineStr">
        <is>
          <t>Gym Challenge</t>
        </is>
      </c>
      <c r="E233" s="80" t="inlineStr">
        <is>
          <t>PSA 9</t>
        </is>
      </c>
      <c r="F233" s="80" t="n">
        <v>850</v>
      </c>
    </row>
    <row r="234">
      <c r="A234" s="123" t="n">
        <v>46154</v>
      </c>
      <c r="B234" s="80" t="inlineStr">
        <is>
          <t>Z046</t>
        </is>
      </c>
      <c r="C234" s="80" t="inlineStr">
        <is>
          <t>Rocket's Mewtwo 1st Ed</t>
        </is>
      </c>
      <c r="D234" s="80" t="inlineStr">
        <is>
          <t>Gym Challenge 1st Edition</t>
        </is>
      </c>
      <c r="E234" s="80" t="inlineStr">
        <is>
          <t>PSA 10</t>
        </is>
      </c>
      <c r="F234" s="80" t="n">
        <v>4200</v>
      </c>
    </row>
    <row r="235">
      <c r="A235" s="123" t="n">
        <v>46154</v>
      </c>
      <c r="B235" s="80" t="inlineStr">
        <is>
          <t>Z050</t>
        </is>
      </c>
      <c r="C235" s="80" t="inlineStr">
        <is>
          <t>Charizard Crystal</t>
        </is>
      </c>
      <c r="D235" s="80" t="inlineStr">
        <is>
          <t>Skyridge</t>
        </is>
      </c>
      <c r="E235" s="80" t="inlineStr">
        <is>
          <t>PSA 10</t>
        </is>
      </c>
      <c r="F235" s="80" t="n">
        <v>18500</v>
      </c>
    </row>
    <row r="236">
      <c r="A236" s="123" t="n">
        <v>46154</v>
      </c>
      <c r="B236" s="80" t="inlineStr">
        <is>
          <t>Z051</t>
        </is>
      </c>
      <c r="C236" s="80" t="inlineStr">
        <is>
          <t>Charizard Crystal</t>
        </is>
      </c>
      <c r="D236" s="80" t="inlineStr">
        <is>
          <t>Skyridge</t>
        </is>
      </c>
      <c r="E236" s="80" t="inlineStr">
        <is>
          <t>PSA 9</t>
        </is>
      </c>
      <c r="F236" s="80" t="n">
        <v>5500</v>
      </c>
    </row>
    <row r="237">
      <c r="A237" s="123" t="n">
        <v>46154</v>
      </c>
      <c r="B237" s="80" t="inlineStr">
        <is>
          <t>Z052</t>
        </is>
      </c>
      <c r="C237" s="80" t="inlineStr">
        <is>
          <t>Crystal Lugia</t>
        </is>
      </c>
      <c r="D237" s="80" t="inlineStr">
        <is>
          <t>Aquapolis</t>
        </is>
      </c>
      <c r="E237" s="80" t="inlineStr">
        <is>
          <t>PSA 10</t>
        </is>
      </c>
      <c r="F237" s="80" t="n">
        <v>6500</v>
      </c>
    </row>
    <row r="238">
      <c r="A238" s="123" t="n">
        <v>46154</v>
      </c>
      <c r="B238" s="80" t="inlineStr">
        <is>
          <t>Z053</t>
        </is>
      </c>
      <c r="C238" s="80" t="inlineStr">
        <is>
          <t>Crystal Charizard</t>
        </is>
      </c>
      <c r="D238" s="80" t="inlineStr">
        <is>
          <t>Expedition</t>
        </is>
      </c>
      <c r="E238" s="80" t="inlineStr">
        <is>
          <t>PSA 10</t>
        </is>
      </c>
      <c r="F238" s="80" t="n">
        <v>1800</v>
      </c>
    </row>
    <row r="239">
      <c r="A239" s="123" t="n">
        <v>46154</v>
      </c>
      <c r="B239" s="80" t="inlineStr">
        <is>
          <t>Z054</t>
        </is>
      </c>
      <c r="C239" s="80" t="inlineStr">
        <is>
          <t>Mewtwo</t>
        </is>
      </c>
      <c r="D239" s="80" t="inlineStr">
        <is>
          <t>Expedition</t>
        </is>
      </c>
      <c r="E239" s="80" t="inlineStr">
        <is>
          <t>PSA 10</t>
        </is>
      </c>
      <c r="F239" s="80" t="n">
        <v>950</v>
      </c>
    </row>
    <row r="240">
      <c r="A240" s="123" t="n">
        <v>46154</v>
      </c>
      <c r="B240" s="80" t="inlineStr">
        <is>
          <t>Q005</t>
        </is>
      </c>
      <c r="C240" s="80" t="inlineStr">
        <is>
          <t>Greninja ex SIR</t>
        </is>
      </c>
      <c r="D240" s="80" t="inlineStr">
        <is>
          <t>Twilight Masquerade</t>
        </is>
      </c>
      <c r="E240" s="80" t="inlineStr">
        <is>
          <t>Raw NM</t>
        </is>
      </c>
      <c r="F240" s="80" t="n">
        <v>95</v>
      </c>
    </row>
    <row r="241">
      <c r="A241" s="123" t="n">
        <v>46154</v>
      </c>
      <c r="B241" s="80" t="inlineStr">
        <is>
          <t>Q006</t>
        </is>
      </c>
      <c r="C241" s="80" t="inlineStr">
        <is>
          <t>Greninja ex SIR</t>
        </is>
      </c>
      <c r="D241" s="80" t="inlineStr">
        <is>
          <t>Twilight Masquerade</t>
        </is>
      </c>
      <c r="E241" s="80" t="inlineStr">
        <is>
          <t>PSA 10</t>
        </is>
      </c>
      <c r="F241" s="80" t="n">
        <v>285</v>
      </c>
    </row>
    <row r="242">
      <c r="A242" s="123" t="n">
        <v>46154</v>
      </c>
      <c r="B242" s="80" t="inlineStr">
        <is>
          <t>Q007</t>
        </is>
      </c>
      <c r="C242" s="80" t="inlineStr">
        <is>
          <t>Bloodmoon Ursaluna ex SIR</t>
        </is>
      </c>
      <c r="D242" s="80" t="inlineStr">
        <is>
          <t>Twilight Masquerade</t>
        </is>
      </c>
      <c r="E242" s="80" t="inlineStr">
        <is>
          <t>Raw NM</t>
        </is>
      </c>
      <c r="F242" s="80" t="n">
        <v>55</v>
      </c>
    </row>
    <row r="243">
      <c r="A243" s="123" t="n">
        <v>46154</v>
      </c>
      <c r="B243" s="80" t="inlineStr">
        <is>
          <t>Q008</t>
        </is>
      </c>
      <c r="C243" s="80" t="inlineStr">
        <is>
          <t>Pecharunt ex SIR</t>
        </is>
      </c>
      <c r="D243" s="80" t="inlineStr">
        <is>
          <t>Shrouded Fable</t>
        </is>
      </c>
      <c r="E243" s="80" t="inlineStr">
        <is>
          <t>Raw NM</t>
        </is>
      </c>
      <c r="F243" s="80" t="n">
        <v>28</v>
      </c>
    </row>
    <row r="244">
      <c r="A244" s="123" t="n">
        <v>46154</v>
      </c>
      <c r="B244" s="80" t="inlineStr">
        <is>
          <t>Q009</t>
        </is>
      </c>
      <c r="C244" s="80" t="inlineStr">
        <is>
          <t>Iono SIR</t>
        </is>
      </c>
      <c r="D244" s="80" t="inlineStr">
        <is>
          <t>Paldea Evolved</t>
        </is>
      </c>
      <c r="E244" s="80" t="inlineStr">
        <is>
          <t>PSA 10</t>
        </is>
      </c>
      <c r="F244" s="80" t="n">
        <v>850</v>
      </c>
    </row>
    <row r="245">
      <c r="A245" s="123" t="n">
        <v>46154</v>
      </c>
      <c r="B245" s="80" t="inlineStr">
        <is>
          <t>Q010</t>
        </is>
      </c>
      <c r="C245" s="80" t="inlineStr">
        <is>
          <t>Iono SIR</t>
        </is>
      </c>
      <c r="D245" s="80" t="inlineStr">
        <is>
          <t>Paldea Evolved</t>
        </is>
      </c>
      <c r="E245" s="80" t="inlineStr">
        <is>
          <t>Raw NM</t>
        </is>
      </c>
      <c r="F245" s="80" t="n">
        <v>220</v>
      </c>
    </row>
    <row r="246">
      <c r="A246" s="123" t="n">
        <v>46154</v>
      </c>
      <c r="B246" s="80" t="inlineStr">
        <is>
          <t>Q011</t>
        </is>
      </c>
      <c r="C246" s="80" t="inlineStr">
        <is>
          <t>Roaring Moon ex SIR</t>
        </is>
      </c>
      <c r="D246" s="80" t="inlineStr">
        <is>
          <t>Paradox Rift</t>
        </is>
      </c>
      <c r="E246" s="80" t="inlineStr">
        <is>
          <t>PSA 10</t>
        </is>
      </c>
      <c r="F246" s="80" t="n">
        <v>320</v>
      </c>
    </row>
    <row r="247">
      <c r="A247" s="123" t="n">
        <v>46154</v>
      </c>
      <c r="B247" s="80" t="inlineStr">
        <is>
          <t>Q012</t>
        </is>
      </c>
      <c r="C247" s="80" t="inlineStr">
        <is>
          <t>Iron Valiant ex SIR</t>
        </is>
      </c>
      <c r="D247" s="80" t="inlineStr">
        <is>
          <t>Paradox Rift</t>
        </is>
      </c>
      <c r="E247" s="80" t="inlineStr">
        <is>
          <t>PSA 10</t>
        </is>
      </c>
      <c r="F247" s="80" t="n">
        <v>280</v>
      </c>
    </row>
    <row r="248">
      <c r="A248" s="123" t="n">
        <v>46154</v>
      </c>
      <c r="B248" s="80" t="inlineStr">
        <is>
          <t>Q013</t>
        </is>
      </c>
      <c r="C248" s="80" t="inlineStr">
        <is>
          <t>Walking Wake ex SIR</t>
        </is>
      </c>
      <c r="D248" s="80" t="inlineStr">
        <is>
          <t>Temporal Forces</t>
        </is>
      </c>
      <c r="E248" s="80" t="inlineStr">
        <is>
          <t>PSA 10</t>
        </is>
      </c>
      <c r="F248" s="80" t="n">
        <v>225</v>
      </c>
    </row>
    <row r="249">
      <c r="A249" s="123" t="n">
        <v>46154</v>
      </c>
      <c r="B249" s="80" t="inlineStr">
        <is>
          <t>Q014</t>
        </is>
      </c>
      <c r="C249" s="80" t="inlineStr">
        <is>
          <t>Iron Leaves ex SIR</t>
        </is>
      </c>
      <c r="D249" s="80" t="inlineStr">
        <is>
          <t>Temporal Forces</t>
        </is>
      </c>
      <c r="E249" s="80" t="inlineStr">
        <is>
          <t>PSA 10</t>
        </is>
      </c>
      <c r="F249" s="80" t="n">
        <v>195</v>
      </c>
    </row>
    <row r="250">
      <c r="A250" s="123" t="n">
        <v>46154</v>
      </c>
      <c r="B250" s="80" t="inlineStr">
        <is>
          <t>Y001</t>
        </is>
      </c>
      <c r="C250" s="80" t="inlineStr">
        <is>
          <t>Pikachu V Special Set (JP)</t>
        </is>
      </c>
      <c r="D250" s="80" t="inlineStr">
        <is>
          <t>S-P Promo 270</t>
        </is>
      </c>
      <c r="E250" s="80" t="inlineStr">
        <is>
          <t>Raw NM</t>
        </is>
      </c>
      <c r="F250" s="80" t="n">
        <v>95</v>
      </c>
    </row>
    <row r="251">
      <c r="A251" s="123" t="n">
        <v>46154</v>
      </c>
      <c r="B251" s="80" t="inlineStr">
        <is>
          <t>Y002</t>
        </is>
      </c>
      <c r="C251" s="80" t="inlineStr">
        <is>
          <t>Charizard V (Promo)</t>
        </is>
      </c>
      <c r="D251" s="80" t="inlineStr">
        <is>
          <t>Sword &amp; Shield Promo SWSH050</t>
        </is>
      </c>
      <c r="E251" s="80" t="inlineStr">
        <is>
          <t>Raw NM</t>
        </is>
      </c>
      <c r="F251" s="80" t="n">
        <v>285</v>
      </c>
    </row>
    <row r="252">
      <c r="A252" s="123" t="n">
        <v>46154</v>
      </c>
      <c r="B252" s="80" t="inlineStr">
        <is>
          <t>Y003</t>
        </is>
      </c>
      <c r="C252" s="80" t="inlineStr">
        <is>
          <t>Mew V Special Art (JP)</t>
        </is>
      </c>
      <c r="D252" s="80" t="inlineStr">
        <is>
          <t>S12a Vstar Universe</t>
        </is>
      </c>
      <c r="E252" s="80" t="inlineStr">
        <is>
          <t>Raw NM</t>
        </is>
      </c>
      <c r="F252" s="80" t="n">
        <v>165</v>
      </c>
    </row>
    <row r="253">
      <c r="A253" s="123" t="n">
        <v>46154</v>
      </c>
      <c r="B253" s="80" t="inlineStr">
        <is>
          <t>Y004</t>
        </is>
      </c>
      <c r="C253" s="80" t="inlineStr">
        <is>
          <t>Charizard VStar Universe SAR (JP)</t>
        </is>
      </c>
      <c r="D253" s="80" t="inlineStr">
        <is>
          <t>S12a Vstar Universe</t>
        </is>
      </c>
      <c r="E253" s="80" t="inlineStr">
        <is>
          <t>Raw NM</t>
        </is>
      </c>
      <c r="F253" s="80" t="n">
        <v>285</v>
      </c>
    </row>
    <row r="254">
      <c r="A254" s="123" t="n">
        <v>46154</v>
      </c>
      <c r="B254" s="80" t="inlineStr">
        <is>
          <t>Y005</t>
        </is>
      </c>
      <c r="C254" s="80" t="inlineStr">
        <is>
          <t>Umbreon VMAX Alt Art (JP)</t>
        </is>
      </c>
      <c r="D254" s="80" t="inlineStr">
        <is>
          <t>S6a Eevee Heroes</t>
        </is>
      </c>
      <c r="E254" s="80" t="inlineStr">
        <is>
          <t>Raw NM</t>
        </is>
      </c>
      <c r="F254" s="80" t="n">
        <v>4200</v>
      </c>
    </row>
    <row r="255">
      <c r="A255" s="123" t="n">
        <v>46154</v>
      </c>
      <c r="B255" s="80" t="inlineStr">
        <is>
          <t>Y006</t>
        </is>
      </c>
      <c r="C255" s="80" t="inlineStr">
        <is>
          <t>Sylveon VMAX Alt Art (JP)</t>
        </is>
      </c>
      <c r="D255" s="80" t="inlineStr">
        <is>
          <t>S6a Eevee Heroes</t>
        </is>
      </c>
      <c r="E255" s="80" t="inlineStr">
        <is>
          <t>Raw NM</t>
        </is>
      </c>
      <c r="F255" s="80" t="n">
        <v>850</v>
      </c>
    </row>
    <row r="256">
      <c r="A256" s="123" t="n">
        <v>46154</v>
      </c>
      <c r="B256" s="80" t="inlineStr">
        <is>
          <t>Y007</t>
        </is>
      </c>
      <c r="C256" s="80" t="inlineStr">
        <is>
          <t>Espeon VMAX Alt Art (JP)</t>
        </is>
      </c>
      <c r="D256" s="80" t="inlineStr">
        <is>
          <t>S6a Eevee Heroes</t>
        </is>
      </c>
      <c r="E256" s="80" t="inlineStr">
        <is>
          <t>Raw NM</t>
        </is>
      </c>
      <c r="F256" s="80" t="n">
        <v>950</v>
      </c>
    </row>
    <row r="257">
      <c r="A257" s="123" t="n">
        <v>46154</v>
      </c>
      <c r="B257" s="80" t="inlineStr">
        <is>
          <t>Y008</t>
        </is>
      </c>
      <c r="C257" s="80" t="inlineStr">
        <is>
          <t>Glaceon VMAX Alt Art (JP)</t>
        </is>
      </c>
      <c r="D257" s="80" t="inlineStr">
        <is>
          <t>S6a Eevee Heroes</t>
        </is>
      </c>
      <c r="E257" s="80" t="inlineStr">
        <is>
          <t>Raw NM</t>
        </is>
      </c>
      <c r="F257" s="80" t="n">
        <v>480</v>
      </c>
    </row>
    <row r="258">
      <c r="A258" s="123" t="n">
        <v>46154</v>
      </c>
      <c r="B258" s="80" t="inlineStr">
        <is>
          <t>Y009</t>
        </is>
      </c>
      <c r="C258" s="80" t="inlineStr">
        <is>
          <t>Leafeon VMAX Alt Art (JP)</t>
        </is>
      </c>
      <c r="D258" s="80" t="inlineStr">
        <is>
          <t>S6a Eevee Heroes</t>
        </is>
      </c>
      <c r="E258" s="80" t="inlineStr">
        <is>
          <t>Raw NM</t>
        </is>
      </c>
      <c r="F258" s="80" t="n">
        <v>420</v>
      </c>
    </row>
    <row r="259">
      <c r="A259" s="123" t="n">
        <v>46154</v>
      </c>
      <c r="B259" s="80" t="inlineStr">
        <is>
          <t>Y010</t>
        </is>
      </c>
      <c r="C259" s="80" t="inlineStr">
        <is>
          <t>Cynthia &amp; Garchomp GX SR (JP)</t>
        </is>
      </c>
      <c r="D259" s="80" t="inlineStr">
        <is>
          <t>SM12a Tag All Stars</t>
        </is>
      </c>
      <c r="E259" s="80" t="inlineStr">
        <is>
          <t>Raw NM</t>
        </is>
      </c>
      <c r="F259" s="80" t="n">
        <v>950</v>
      </c>
    </row>
    <row r="260">
      <c r="A260" s="123" t="n">
        <v>46154</v>
      </c>
      <c r="B260" s="80" t="inlineStr">
        <is>
          <t>Y011</t>
        </is>
      </c>
      <c r="C260" s="80" t="inlineStr">
        <is>
          <t>Erika's Hospitality Trainer Gallery</t>
        </is>
      </c>
      <c r="D260" s="80" t="inlineStr">
        <is>
          <t>Trainer Gallery (JP)</t>
        </is>
      </c>
      <c r="E260" s="80" t="inlineStr">
        <is>
          <t>Raw NM</t>
        </is>
      </c>
      <c r="F260" s="80" t="n">
        <v>425</v>
      </c>
    </row>
    <row r="261">
      <c r="A261" s="123" t="n">
        <v>46154</v>
      </c>
      <c r="B261" s="80" t="inlineStr">
        <is>
          <t>Y012</t>
        </is>
      </c>
      <c r="C261" s="80" t="inlineStr">
        <is>
          <t>Lillie's Poké Doll Trainer Promo (JP)</t>
        </is>
      </c>
      <c r="D261" s="80" t="inlineStr">
        <is>
          <t>Special Promo 407</t>
        </is>
      </c>
      <c r="E261" s="80" t="inlineStr">
        <is>
          <t>Raw NM</t>
        </is>
      </c>
      <c r="F261" s="80" t="n">
        <v>285</v>
      </c>
    </row>
    <row r="262">
      <c r="A262" s="123" t="n">
        <v>46154</v>
      </c>
      <c r="B262" s="80" t="inlineStr">
        <is>
          <t>Y013</t>
        </is>
      </c>
      <c r="C262" s="80" t="inlineStr">
        <is>
          <t>Marnie Full Art (JP)</t>
        </is>
      </c>
      <c r="D262" s="80" t="inlineStr">
        <is>
          <t>S1a VMAX Climax</t>
        </is>
      </c>
      <c r="E262" s="80" t="inlineStr">
        <is>
          <t>Raw NM</t>
        </is>
      </c>
      <c r="F262" s="80" t="n">
        <v>165</v>
      </c>
    </row>
    <row r="263">
      <c r="A263" s="123" t="n">
        <v>46154</v>
      </c>
      <c r="B263" s="80" t="inlineStr">
        <is>
          <t>Y014</t>
        </is>
      </c>
      <c r="C263" s="80" t="inlineStr">
        <is>
          <t>Lillie's Poke Doll SR (JP)</t>
        </is>
      </c>
      <c r="D263" s="80" t="inlineStr">
        <is>
          <t>S6a Eevee Heroes</t>
        </is>
      </c>
      <c r="E263" s="80" t="inlineStr">
        <is>
          <t>Raw NM</t>
        </is>
      </c>
      <c r="F263" s="80" t="n">
        <v>950</v>
      </c>
    </row>
    <row r="264">
      <c r="A264" s="123" t="n">
        <v>46154</v>
      </c>
      <c r="B264" s="80" t="inlineStr">
        <is>
          <t>M201</t>
        </is>
      </c>
      <c r="C264" s="80" t="inlineStr">
        <is>
          <t>Garchomp ex SIR</t>
        </is>
      </c>
      <c r="D264" s="80" t="inlineStr">
        <is>
          <t>Stellar Crown</t>
        </is>
      </c>
      <c r="E264" s="80" t="inlineStr">
        <is>
          <t>PSA 10</t>
        </is>
      </c>
      <c r="F264" s="80" t="n">
        <v>165</v>
      </c>
    </row>
    <row r="265">
      <c r="A265" s="123" t="n">
        <v>46154</v>
      </c>
      <c r="B265" s="80" t="inlineStr">
        <is>
          <t>M202</t>
        </is>
      </c>
      <c r="C265" s="80" t="inlineStr">
        <is>
          <t>Hydreigon ex SIR</t>
        </is>
      </c>
      <c r="D265" s="80" t="inlineStr">
        <is>
          <t>Surging Sparks</t>
        </is>
      </c>
      <c r="E265" s="80" t="inlineStr">
        <is>
          <t>PSA 10</t>
        </is>
      </c>
      <c r="F265" s="80" t="n">
        <v>175</v>
      </c>
    </row>
    <row r="266">
      <c r="A266" s="123" t="n">
        <v>46154</v>
      </c>
      <c r="B266" s="80" t="inlineStr">
        <is>
          <t>M203</t>
        </is>
      </c>
      <c r="C266" s="80" t="inlineStr">
        <is>
          <t>Latias ex SIR</t>
        </is>
      </c>
      <c r="D266" s="80" t="inlineStr">
        <is>
          <t>Surging Sparks</t>
        </is>
      </c>
      <c r="E266" s="80" t="inlineStr">
        <is>
          <t>PSA 10</t>
        </is>
      </c>
      <c r="F266" s="80" t="n">
        <v>185</v>
      </c>
    </row>
    <row r="267">
      <c r="A267" s="123" t="n">
        <v>46154</v>
      </c>
      <c r="B267" s="80" t="inlineStr">
        <is>
          <t>M204</t>
        </is>
      </c>
      <c r="C267" s="80" t="inlineStr">
        <is>
          <t>Eevee Special Art PSA 10</t>
        </is>
      </c>
      <c r="D267" s="80" t="inlineStr">
        <is>
          <t>Prismatic Evolutions</t>
        </is>
      </c>
      <c r="E267" s="80" t="inlineStr">
        <is>
          <t>PSA 10</t>
        </is>
      </c>
      <c r="F267" s="80" t="n">
        <v>425</v>
      </c>
    </row>
    <row r="268">
      <c r="A268" s="123" t="n">
        <v>46154</v>
      </c>
      <c r="B268" s="80" t="inlineStr">
        <is>
          <t>M205</t>
        </is>
      </c>
      <c r="C268" s="80" t="inlineStr">
        <is>
          <t>Mewtwo Special Art PSA 10</t>
        </is>
      </c>
      <c r="D268" s="80" t="inlineStr">
        <is>
          <t>Prismatic Evolutions</t>
        </is>
      </c>
      <c r="E268" s="80" t="inlineStr">
        <is>
          <t>PSA 10</t>
        </is>
      </c>
      <c r="F268" s="80" t="n">
        <v>485</v>
      </c>
    </row>
    <row r="269">
      <c r="A269" s="123" t="n">
        <v>46154</v>
      </c>
      <c r="B269" s="80" t="inlineStr">
        <is>
          <t>M206</t>
        </is>
      </c>
      <c r="C269" s="80" t="inlineStr">
        <is>
          <t>Pikachu Special Art PSA 10</t>
        </is>
      </c>
      <c r="D269" s="80" t="inlineStr">
        <is>
          <t>Prismatic Evolutions</t>
        </is>
      </c>
      <c r="E269" s="80" t="inlineStr">
        <is>
          <t>PSA 10</t>
        </is>
      </c>
      <c r="F269" s="80" t="n">
        <v>395</v>
      </c>
    </row>
    <row r="270">
      <c r="A270" s="123" t="n">
        <v>46154</v>
      </c>
      <c r="B270" s="80" t="inlineStr">
        <is>
          <t>M207</t>
        </is>
      </c>
      <c r="C270" s="80" t="inlineStr">
        <is>
          <t>Ditto Special Art PSA 10</t>
        </is>
      </c>
      <c r="D270" s="80" t="inlineStr">
        <is>
          <t>Prismatic Evolutions</t>
        </is>
      </c>
      <c r="E270" s="80" t="inlineStr">
        <is>
          <t>PSA 10</t>
        </is>
      </c>
      <c r="F270" s="80" t="n">
        <v>345</v>
      </c>
    </row>
    <row r="271">
      <c r="A271" s="123" t="n">
        <v>46154</v>
      </c>
      <c r="B271" s="80" t="inlineStr">
        <is>
          <t>M208</t>
        </is>
      </c>
      <c r="C271" s="80" t="inlineStr">
        <is>
          <t>Sylveon ex Special Art PSA 10</t>
        </is>
      </c>
      <c r="D271" s="80" t="inlineStr">
        <is>
          <t>Prismatic Evolutions</t>
        </is>
      </c>
      <c r="E271" s="80" t="inlineStr">
        <is>
          <t>PSA 10</t>
        </is>
      </c>
      <c r="F271" s="80" t="n">
        <v>165</v>
      </c>
    </row>
    <row r="272">
      <c r="A272" s="123" t="n">
        <v>46154</v>
      </c>
      <c r="B272" s="80" t="inlineStr">
        <is>
          <t>M209</t>
        </is>
      </c>
      <c r="C272" s="80" t="inlineStr">
        <is>
          <t>Umbreon ex Special Art PSA 10</t>
        </is>
      </c>
      <c r="D272" s="80" t="inlineStr">
        <is>
          <t>Prismatic Evolutions</t>
        </is>
      </c>
      <c r="E272" s="80" t="inlineStr">
        <is>
          <t>PSA 10</t>
        </is>
      </c>
      <c r="F272" s="80" t="n">
        <v>285</v>
      </c>
    </row>
    <row r="273">
      <c r="A273" s="123" t="n">
        <v>46154</v>
      </c>
      <c r="B273" s="80" t="inlineStr">
        <is>
          <t>M210</t>
        </is>
      </c>
      <c r="C273" s="80" t="inlineStr">
        <is>
          <t>Espeon ex Special Art PSA 10</t>
        </is>
      </c>
      <c r="D273" s="80" t="inlineStr">
        <is>
          <t>Prismatic Evolutions</t>
        </is>
      </c>
      <c r="E273" s="80" t="inlineStr">
        <is>
          <t>PSA 10</t>
        </is>
      </c>
      <c r="F273" s="80" t="n">
        <v>165</v>
      </c>
    </row>
    <row r="274">
      <c r="A274" s="123" t="n">
        <v>46154</v>
      </c>
      <c r="B274" s="80" t="inlineStr">
        <is>
          <t>M220</t>
        </is>
      </c>
      <c r="C274" s="80" t="inlineStr">
        <is>
          <t>Charizard ex SIR PSA 10</t>
        </is>
      </c>
      <c r="D274" s="80" t="inlineStr">
        <is>
          <t>Obsidian Flames</t>
        </is>
      </c>
      <c r="E274" s="80" t="inlineStr">
        <is>
          <t>PSA 10</t>
        </is>
      </c>
      <c r="F274" s="80" t="n">
        <v>425</v>
      </c>
    </row>
    <row r="275">
      <c r="A275" s="123" t="n">
        <v>46154</v>
      </c>
      <c r="B275" s="80" t="inlineStr">
        <is>
          <t>M221</t>
        </is>
      </c>
      <c r="C275" s="80" t="inlineStr">
        <is>
          <t>Pikachu ex SIR PSA 10</t>
        </is>
      </c>
      <c r="D275" s="80" t="inlineStr">
        <is>
          <t>Surging Sparks</t>
        </is>
      </c>
      <c r="E275" s="80" t="inlineStr">
        <is>
          <t>PSA 10</t>
        </is>
      </c>
      <c r="F275" s="80" t="n">
        <v>485</v>
      </c>
    </row>
    <row r="276">
      <c r="A276" s="123" t="n">
        <v>46154</v>
      </c>
      <c r="B276" s="80" t="inlineStr">
        <is>
          <t>M222</t>
        </is>
      </c>
      <c r="C276" s="80" t="inlineStr">
        <is>
          <t>Iono SIR PSA 10 (PE)</t>
        </is>
      </c>
      <c r="D276" s="80" t="inlineStr">
        <is>
          <t>Prismatic Evolutions</t>
        </is>
      </c>
      <c r="E276" s="80" t="inlineStr">
        <is>
          <t>PSA 10</t>
        </is>
      </c>
      <c r="F276" s="80" t="n">
        <v>425</v>
      </c>
    </row>
    <row r="277">
      <c r="A277" s="123" t="n">
        <v>46154</v>
      </c>
      <c r="B277" s="80" t="inlineStr">
        <is>
          <t>M223</t>
        </is>
      </c>
      <c r="C277" s="80" t="inlineStr">
        <is>
          <t>Terapagos ex SIR PSA 10</t>
        </is>
      </c>
      <c r="D277" s="80" t="inlineStr">
        <is>
          <t>Stellar Crown</t>
        </is>
      </c>
      <c r="E277" s="80" t="inlineStr">
        <is>
          <t>PSA 10</t>
        </is>
      </c>
      <c r="F277" s="80" t="n">
        <v>395</v>
      </c>
    </row>
    <row r="278">
      <c r="A278" s="123" t="n">
        <v>46154</v>
      </c>
      <c r="B278" s="80" t="inlineStr">
        <is>
          <t>M240</t>
        </is>
      </c>
      <c r="C278" s="80" t="inlineStr">
        <is>
          <t>Charizard VMAX Rainbow Rare PSA 10</t>
        </is>
      </c>
      <c r="D278" s="80" t="inlineStr">
        <is>
          <t>Darkness Ablaze</t>
        </is>
      </c>
      <c r="E278" s="80" t="inlineStr">
        <is>
          <t>PSA 10</t>
        </is>
      </c>
      <c r="F278" s="80" t="n">
        <v>685</v>
      </c>
    </row>
    <row r="279">
      <c r="A279" s="123" t="n">
        <v>46154</v>
      </c>
      <c r="B279" s="80" t="inlineStr">
        <is>
          <t>M241</t>
        </is>
      </c>
      <c r="C279" s="80" t="inlineStr">
        <is>
          <t>Charizard VSTAR Rainbow Rare PSA 10</t>
        </is>
      </c>
      <c r="D279" s="80" t="inlineStr">
        <is>
          <t>Brilliant Stars</t>
        </is>
      </c>
      <c r="E279" s="80" t="inlineStr">
        <is>
          <t>PSA 10</t>
        </is>
      </c>
      <c r="F279" s="80" t="n">
        <v>545</v>
      </c>
    </row>
    <row r="280">
      <c r="A280" s="123" t="n">
        <v>46154</v>
      </c>
      <c r="B280" s="80" t="inlineStr">
        <is>
          <t>M242</t>
        </is>
      </c>
      <c r="C280" s="80" t="inlineStr">
        <is>
          <t>Giratina V Alt Art PSA 10</t>
        </is>
      </c>
      <c r="D280" s="80" t="inlineStr">
        <is>
          <t>Lost Origin</t>
        </is>
      </c>
      <c r="E280" s="80" t="inlineStr">
        <is>
          <t>PSA 10</t>
        </is>
      </c>
      <c r="F280" s="80" t="n">
        <v>850</v>
      </c>
    </row>
    <row r="281">
      <c r="A281" s="123" t="n">
        <v>46154</v>
      </c>
      <c r="B281" s="80" t="inlineStr">
        <is>
          <t>M243</t>
        </is>
      </c>
      <c r="C281" s="80" t="inlineStr">
        <is>
          <t>Lugia V Alt Art PSA 10</t>
        </is>
      </c>
      <c r="D281" s="80" t="inlineStr">
        <is>
          <t>Silver Tempest</t>
        </is>
      </c>
      <c r="E281" s="80" t="inlineStr">
        <is>
          <t>PSA 10</t>
        </is>
      </c>
      <c r="F281" s="80" t="n">
        <v>750</v>
      </c>
    </row>
    <row r="282">
      <c r="A282" s="123" t="n">
        <v>46154</v>
      </c>
      <c r="B282" s="80" t="inlineStr">
        <is>
          <t>M244</t>
        </is>
      </c>
      <c r="C282" s="80" t="inlineStr">
        <is>
          <t>Rayquaza VMAX Alt Art PSA 10</t>
        </is>
      </c>
      <c r="D282" s="80" t="inlineStr">
        <is>
          <t>Evolving Skies</t>
        </is>
      </c>
      <c r="E282" s="80" t="inlineStr">
        <is>
          <t>PSA 10</t>
        </is>
      </c>
      <c r="F282" s="80" t="n">
        <v>850</v>
      </c>
    </row>
    <row r="283">
      <c r="A283" s="123" t="n">
        <v>46154</v>
      </c>
      <c r="B283" s="80" t="inlineStr">
        <is>
          <t>V100</t>
        </is>
      </c>
      <c r="C283" s="80" t="inlineStr">
        <is>
          <t>Pikachu Illustrator Promo</t>
        </is>
      </c>
      <c r="D283" s="80" t="inlineStr">
        <is>
          <t>Trophy Promo</t>
        </is>
      </c>
      <c r="E283" s="80" t="inlineStr">
        <is>
          <t>PSA 7</t>
        </is>
      </c>
      <c r="F283" s="80" t="n">
        <v>85000</v>
      </c>
    </row>
    <row r="284">
      <c r="A284" s="123" t="n">
        <v>46154</v>
      </c>
      <c r="B284" s="80" t="inlineStr">
        <is>
          <t>V101</t>
        </is>
      </c>
      <c r="C284" s="80" t="inlineStr">
        <is>
          <t>Trainer No. 3 Trophy</t>
        </is>
      </c>
      <c r="D284" s="80" t="inlineStr">
        <is>
          <t>Trophy Promo</t>
        </is>
      </c>
      <c r="E284" s="80" t="inlineStr">
        <is>
          <t>PSA 9</t>
        </is>
      </c>
      <c r="F284" s="80" t="n">
        <v>65000</v>
      </c>
    </row>
    <row r="285">
      <c r="A285" s="123" t="n">
        <v>46154</v>
      </c>
      <c r="B285" s="80" t="inlineStr">
        <is>
          <t>V102</t>
        </is>
      </c>
      <c r="C285" s="80" t="inlineStr">
        <is>
          <t>Snap Pikachu Mountain Promo</t>
        </is>
      </c>
      <c r="D285" s="80" t="inlineStr">
        <is>
          <t>Snap Promo</t>
        </is>
      </c>
      <c r="E285" s="80" t="inlineStr">
        <is>
          <t>PSA 10</t>
        </is>
      </c>
      <c r="F285" s="80" t="n">
        <v>4500</v>
      </c>
    </row>
    <row r="286">
      <c r="A286" s="123" t="n">
        <v>46154</v>
      </c>
      <c r="B286" s="80" t="inlineStr">
        <is>
          <t>V103</t>
        </is>
      </c>
      <c r="C286" s="80" t="inlineStr">
        <is>
          <t>Tropical Mega Battle Trainer</t>
        </is>
      </c>
      <c r="D286" s="80" t="inlineStr">
        <is>
          <t>Tropical Mega Battle</t>
        </is>
      </c>
      <c r="E286" s="80" t="inlineStr">
        <is>
          <t>PSA 9</t>
        </is>
      </c>
      <c r="F286" s="80" t="n">
        <v>18500</v>
      </c>
    </row>
    <row r="287">
      <c r="A287" s="123" t="n">
        <v>46154</v>
      </c>
      <c r="B287" s="80" t="inlineStr">
        <is>
          <t>V104</t>
        </is>
      </c>
      <c r="C287" s="80" t="inlineStr">
        <is>
          <t>Master Key Promo</t>
        </is>
      </c>
      <c r="D287" s="80" t="inlineStr">
        <is>
          <t>Trophy</t>
        </is>
      </c>
      <c r="E287" s="80" t="inlineStr">
        <is>
          <t>PSA 9</t>
        </is>
      </c>
      <c r="F287" s="80" t="n">
        <v>12500</v>
      </c>
    </row>
    <row r="288">
      <c r="A288" s="123" t="n">
        <v>46154</v>
      </c>
      <c r="B288" s="80" t="inlineStr">
        <is>
          <t>D101</t>
        </is>
      </c>
      <c r="C288" s="80" t="inlineStr">
        <is>
          <t>Pokemon Base Set Booster Box (Unlimited)</t>
        </is>
      </c>
      <c r="D288" s="80" t="inlineStr">
        <is>
          <t>Base Set Unlimited</t>
        </is>
      </c>
      <c r="E288" s="80" t="inlineStr">
        <is>
          <t>Sealed</t>
        </is>
      </c>
      <c r="F288" s="80" t="n">
        <v>15000</v>
      </c>
    </row>
    <row r="289">
      <c r="A289" s="123" t="n">
        <v>46154</v>
      </c>
      <c r="B289" s="80" t="inlineStr">
        <is>
          <t>D102</t>
        </is>
      </c>
      <c r="C289" s="80" t="inlineStr">
        <is>
          <t>Pokemon Base Set 1st Ed Booster Box</t>
        </is>
      </c>
      <c r="D289" s="80" t="inlineStr">
        <is>
          <t>Base Set 1st Edition</t>
        </is>
      </c>
      <c r="E289" s="80" t="inlineStr">
        <is>
          <t>Sealed</t>
        </is>
      </c>
      <c r="F289" s="80" t="n">
        <v>425000</v>
      </c>
    </row>
    <row r="290">
      <c r="A290" s="123" t="n">
        <v>46154</v>
      </c>
      <c r="B290" s="80" t="inlineStr">
        <is>
          <t>D103</t>
        </is>
      </c>
      <c r="C290" s="80" t="inlineStr">
        <is>
          <t>Pokemon Jungle Booster Box (Unlimited)</t>
        </is>
      </c>
      <c r="D290" s="80" t="inlineStr">
        <is>
          <t>Jungle Unlimited</t>
        </is>
      </c>
      <c r="E290" s="80" t="inlineStr">
        <is>
          <t>Sealed</t>
        </is>
      </c>
      <c r="F290" s="80" t="n">
        <v>5500</v>
      </c>
    </row>
    <row r="291">
      <c r="A291" s="123" t="n">
        <v>46154</v>
      </c>
      <c r="B291" s="80" t="inlineStr">
        <is>
          <t>D104</t>
        </is>
      </c>
      <c r="C291" s="80" t="inlineStr">
        <is>
          <t>Pokemon Fossil Booster Box (Unlimited)</t>
        </is>
      </c>
      <c r="D291" s="80" t="inlineStr">
        <is>
          <t>Fossil Unlimited</t>
        </is>
      </c>
      <c r="E291" s="80" t="inlineStr">
        <is>
          <t>Sealed</t>
        </is>
      </c>
      <c r="F291" s="80" t="n">
        <v>4800</v>
      </c>
    </row>
    <row r="292">
      <c r="A292" s="123" t="n">
        <v>46154</v>
      </c>
      <c r="B292" s="80" t="inlineStr">
        <is>
          <t>D105</t>
        </is>
      </c>
      <c r="C292" s="80" t="inlineStr">
        <is>
          <t>Pokemon Team Rocket Booster Box (Unlimited)</t>
        </is>
      </c>
      <c r="D292" s="80" t="inlineStr">
        <is>
          <t>Team Rocket</t>
        </is>
      </c>
      <c r="E292" s="80" t="inlineStr">
        <is>
          <t>Sealed</t>
        </is>
      </c>
      <c r="F292" s="80" t="n">
        <v>6500</v>
      </c>
    </row>
    <row r="293">
      <c r="A293" s="123" t="n">
        <v>46154</v>
      </c>
      <c r="B293" s="80" t="inlineStr">
        <is>
          <t>D106</t>
        </is>
      </c>
      <c r="C293" s="80" t="inlineStr">
        <is>
          <t>Pokemon Gym Heroes Booster Box (Unlimited)</t>
        </is>
      </c>
      <c r="D293" s="80" t="inlineStr">
        <is>
          <t>Gym Heroes</t>
        </is>
      </c>
      <c r="E293" s="80" t="inlineStr">
        <is>
          <t>Sealed</t>
        </is>
      </c>
      <c r="F293" s="80" t="n">
        <v>5200</v>
      </c>
    </row>
    <row r="294">
      <c r="A294" s="123" t="n">
        <v>46154</v>
      </c>
      <c r="B294" s="80" t="inlineStr">
        <is>
          <t>D107</t>
        </is>
      </c>
      <c r="C294" s="80" t="inlineStr">
        <is>
          <t>Pokemon Neo Genesis Booster Box (Unlimited)</t>
        </is>
      </c>
      <c r="D294" s="80" t="inlineStr">
        <is>
          <t>Neo Genesis</t>
        </is>
      </c>
      <c r="E294" s="80" t="inlineStr">
        <is>
          <t>Sealed</t>
        </is>
      </c>
      <c r="F294" s="80" t="n">
        <v>11500</v>
      </c>
    </row>
    <row r="295">
      <c r="A295" s="123" t="n">
        <v>46154</v>
      </c>
      <c r="B295" s="80" t="inlineStr">
        <is>
          <t>D108</t>
        </is>
      </c>
      <c r="C295" s="80" t="inlineStr">
        <is>
          <t>Pokemon Evolutions Booster Box</t>
        </is>
      </c>
      <c r="D295" s="80" t="inlineStr">
        <is>
          <t>Evolutions</t>
        </is>
      </c>
      <c r="E295" s="80" t="inlineStr">
        <is>
          <t>Sealed</t>
        </is>
      </c>
      <c r="F295" s="80" t="n">
        <v>950</v>
      </c>
    </row>
    <row r="296">
      <c r="A296" s="123" t="n">
        <v>46154</v>
      </c>
      <c r="B296" s="80" t="inlineStr">
        <is>
          <t>D109</t>
        </is>
      </c>
      <c r="C296" s="80" t="inlineStr">
        <is>
          <t>Pokemon Hidden Fates ETB</t>
        </is>
      </c>
      <c r="D296" s="80" t="inlineStr">
        <is>
          <t>Hidden Fates</t>
        </is>
      </c>
      <c r="E296" s="80" t="inlineStr">
        <is>
          <t>Sealed</t>
        </is>
      </c>
      <c r="F296" s="80" t="n">
        <v>425</v>
      </c>
    </row>
    <row r="297">
      <c r="A297" s="123" t="n">
        <v>46154</v>
      </c>
      <c r="B297" s="80" t="inlineStr">
        <is>
          <t>D110</t>
        </is>
      </c>
      <c r="C297" s="80" t="inlineStr">
        <is>
          <t>Pokemon Hidden Fates Booster Box</t>
        </is>
      </c>
      <c r="D297" s="80" t="inlineStr">
        <is>
          <t>Hidden Fates</t>
        </is>
      </c>
      <c r="E297" s="80" t="inlineStr">
        <is>
          <t>Sealed</t>
        </is>
      </c>
      <c r="F297" s="80" t="n">
        <v>1850</v>
      </c>
    </row>
    <row r="298">
      <c r="A298" s="123" t="n">
        <v>46154</v>
      </c>
      <c r="B298" s="80" t="inlineStr">
        <is>
          <t>D111</t>
        </is>
      </c>
      <c r="C298" s="80" t="inlineStr">
        <is>
          <t>Pokemon Shining Fates ETB</t>
        </is>
      </c>
      <c r="D298" s="80" t="inlineStr">
        <is>
          <t>Shining Fates</t>
        </is>
      </c>
      <c r="E298" s="80" t="inlineStr">
        <is>
          <t>Sealed</t>
        </is>
      </c>
      <c r="F298" s="80" t="n">
        <v>245</v>
      </c>
    </row>
    <row r="299">
      <c r="A299" s="123" t="n">
        <v>46154</v>
      </c>
      <c r="B299" s="80" t="inlineStr">
        <is>
          <t>D112</t>
        </is>
      </c>
      <c r="C299" s="80" t="inlineStr">
        <is>
          <t>Pokemon Champion's Path ETB</t>
        </is>
      </c>
      <c r="D299" s="80" t="inlineStr">
        <is>
          <t>Champion's Path</t>
        </is>
      </c>
      <c r="E299" s="80" t="inlineStr">
        <is>
          <t>Sealed</t>
        </is>
      </c>
      <c r="F299" s="80" t="n">
        <v>385</v>
      </c>
    </row>
    <row r="300">
      <c r="A300" s="123" t="n">
        <v>46154</v>
      </c>
      <c r="B300" s="80" t="inlineStr">
        <is>
          <t>D113</t>
        </is>
      </c>
      <c r="C300" s="80" t="inlineStr">
        <is>
          <t>Pokemon Crown Zenith ETB</t>
        </is>
      </c>
      <c r="D300" s="80" t="inlineStr">
        <is>
          <t>Crown Zenith</t>
        </is>
      </c>
      <c r="E300" s="80" t="inlineStr">
        <is>
          <t>Sealed</t>
        </is>
      </c>
      <c r="F300" s="80" t="n">
        <v>145</v>
      </c>
    </row>
    <row r="301">
      <c r="A301" s="123" t="n">
        <v>46154</v>
      </c>
      <c r="B301" s="80" t="inlineStr">
        <is>
          <t>D114</t>
        </is>
      </c>
      <c r="C301" s="80" t="inlineStr">
        <is>
          <t>Pokemon Crown Zenith Booster Bundle</t>
        </is>
      </c>
      <c r="D301" s="80" t="inlineStr">
        <is>
          <t>Crown Zenith</t>
        </is>
      </c>
      <c r="E301" s="80" t="inlineStr">
        <is>
          <t>Sealed</t>
        </is>
      </c>
      <c r="F301" s="80" t="n">
        <v>65</v>
      </c>
    </row>
    <row r="302">
      <c r="A302" s="123" t="n">
        <v>46154</v>
      </c>
      <c r="B302" s="80" t="inlineStr">
        <is>
          <t>D115</t>
        </is>
      </c>
      <c r="C302" s="80" t="inlineStr">
        <is>
          <t>Pokemon 151 ETB</t>
        </is>
      </c>
      <c r="D302" s="80" t="inlineStr">
        <is>
          <t>Pokemon 151</t>
        </is>
      </c>
      <c r="E302" s="80" t="inlineStr">
        <is>
          <t>Sealed</t>
        </is>
      </c>
      <c r="F302" s="80" t="n">
        <v>175</v>
      </c>
    </row>
    <row r="303">
      <c r="A303" s="123" t="n">
        <v>46154</v>
      </c>
      <c r="B303" s="80" t="inlineStr">
        <is>
          <t>D116</t>
        </is>
      </c>
      <c r="C303" s="80" t="inlineStr">
        <is>
          <t>Pokemon Prismatic Evolutions ETB</t>
        </is>
      </c>
      <c r="D303" s="80" t="inlineStr">
        <is>
          <t>Prismatic Evolutions</t>
        </is>
      </c>
      <c r="E303" s="80" t="inlineStr">
        <is>
          <t>Sealed</t>
        </is>
      </c>
      <c r="F303" s="80" t="n">
        <v>285</v>
      </c>
    </row>
    <row r="304">
      <c r="A304" s="123" t="n">
        <v>46154</v>
      </c>
      <c r="B304" s="80" t="inlineStr">
        <is>
          <t>D117</t>
        </is>
      </c>
      <c r="C304" s="80" t="inlineStr">
        <is>
          <t>Pokemon Surging Sparks Booster Box</t>
        </is>
      </c>
      <c r="D304" s="80" t="inlineStr">
        <is>
          <t>Surging Sparks</t>
        </is>
      </c>
      <c r="E304" s="80" t="inlineStr">
        <is>
          <t>Sealed</t>
        </is>
      </c>
      <c r="F304" s="80" t="n">
        <v>285</v>
      </c>
    </row>
    <row r="305">
      <c r="A305" s="123" t="n">
        <v>46154</v>
      </c>
      <c r="B305" s="80" t="inlineStr">
        <is>
          <t>D118</t>
        </is>
      </c>
      <c r="C305" s="80" t="inlineStr">
        <is>
          <t>Pokemon Mega Evolution ME01 Booster Box</t>
        </is>
      </c>
      <c r="D305" s="80" t="inlineStr">
        <is>
          <t>Mega Evolution ME01</t>
        </is>
      </c>
      <c r="E305" s="80" t="inlineStr">
        <is>
          <t>Sealed</t>
        </is>
      </c>
      <c r="F305" s="80" t="n">
        <v>195</v>
      </c>
    </row>
    <row r="306">
      <c r="A306" s="123" t="n">
        <v>46154</v>
      </c>
      <c r="B306" s="80" t="inlineStr">
        <is>
          <t>D119</t>
        </is>
      </c>
      <c r="C306" s="80" t="inlineStr">
        <is>
          <t>Pokemon Mega Evolution ME01 ETB</t>
        </is>
      </c>
      <c r="D306" s="80" t="inlineStr">
        <is>
          <t>Mega Evolution ME01</t>
        </is>
      </c>
      <c r="E306" s="80" t="inlineStr">
        <is>
          <t>Sealed</t>
        </is>
      </c>
      <c r="F306" s="80" t="n">
        <v>75</v>
      </c>
    </row>
    <row r="307">
      <c r="A307" s="123" t="n">
        <v>46154</v>
      </c>
      <c r="B307" s="80" t="inlineStr">
        <is>
          <t>V200</t>
        </is>
      </c>
      <c r="C307" s="80" t="inlineStr">
        <is>
          <t>Iono's Pikachu IR</t>
        </is>
      </c>
      <c r="D307" s="80" t="inlineStr">
        <is>
          <t>Journey Together</t>
        </is>
      </c>
      <c r="E307" s="80" t="inlineStr">
        <is>
          <t>Raw NM</t>
        </is>
      </c>
      <c r="F307" s="80" t="n">
        <v>12</v>
      </c>
    </row>
    <row r="308">
      <c r="A308" s="123" t="n">
        <v>46154</v>
      </c>
      <c r="B308" s="80" t="inlineStr">
        <is>
          <t>V201</t>
        </is>
      </c>
      <c r="C308" s="80" t="inlineStr">
        <is>
          <t>N's Castform IR</t>
        </is>
      </c>
      <c r="D308" s="80" t="inlineStr">
        <is>
          <t>Journey Together</t>
        </is>
      </c>
      <c r="E308" s="80" t="inlineStr">
        <is>
          <t>Raw NM</t>
        </is>
      </c>
      <c r="F308" s="80" t="n">
        <v>4</v>
      </c>
    </row>
    <row r="309">
      <c r="A309" s="123" t="n">
        <v>46154</v>
      </c>
      <c r="B309" s="80" t="inlineStr">
        <is>
          <t>V202</t>
        </is>
      </c>
      <c r="C309" s="80" t="inlineStr">
        <is>
          <t>Hilbert's Reshiram</t>
        </is>
      </c>
      <c r="D309" s="80" t="inlineStr">
        <is>
          <t>Journey Together</t>
        </is>
      </c>
      <c r="E309" s="80" t="inlineStr">
        <is>
          <t>Raw NM</t>
        </is>
      </c>
      <c r="F309" s="80" t="n">
        <v>8</v>
      </c>
    </row>
    <row r="310">
      <c r="A310" s="123" t="n">
        <v>46154</v>
      </c>
      <c r="B310" s="80" t="inlineStr">
        <is>
          <t>V203</t>
        </is>
      </c>
      <c r="C310" s="80" t="inlineStr">
        <is>
          <t>Iris's Hydreigon IR</t>
        </is>
      </c>
      <c r="D310" s="80" t="inlineStr">
        <is>
          <t>Journey Together</t>
        </is>
      </c>
      <c r="E310" s="80" t="inlineStr">
        <is>
          <t>Raw NM</t>
        </is>
      </c>
      <c r="F310" s="80" t="n">
        <v>11</v>
      </c>
    </row>
    <row r="311">
      <c r="A311" s="123" t="n">
        <v>46154</v>
      </c>
      <c r="B311" s="80" t="inlineStr">
        <is>
          <t>V204</t>
        </is>
      </c>
      <c r="C311" s="80" t="inlineStr">
        <is>
          <t>Cheren's Watchog IR</t>
        </is>
      </c>
      <c r="D311" s="80" t="inlineStr">
        <is>
          <t>Journey Together</t>
        </is>
      </c>
      <c r="E311" s="80" t="inlineStr">
        <is>
          <t>Raw NM</t>
        </is>
      </c>
      <c r="F311" s="80" t="n">
        <v>3</v>
      </c>
    </row>
    <row r="312">
      <c r="A312" s="123" t="n">
        <v>46154</v>
      </c>
      <c r="B312" s="80" t="inlineStr">
        <is>
          <t>V205</t>
        </is>
      </c>
      <c r="C312" s="80" t="inlineStr">
        <is>
          <t>Latios ex SIR (raw)</t>
        </is>
      </c>
      <c r="D312" s="80" t="inlineStr">
        <is>
          <t>Temporal Forces</t>
        </is>
      </c>
      <c r="E312" s="80" t="inlineStr">
        <is>
          <t>Raw NM</t>
        </is>
      </c>
      <c r="F312" s="80" t="n">
        <v>14</v>
      </c>
    </row>
    <row r="313">
      <c r="A313" s="123" t="n">
        <v>46154</v>
      </c>
      <c r="B313" s="80" t="inlineStr">
        <is>
          <t>V206</t>
        </is>
      </c>
      <c r="C313" s="80" t="inlineStr">
        <is>
          <t>Latias ex SIR (raw)</t>
        </is>
      </c>
      <c r="D313" s="80" t="inlineStr">
        <is>
          <t>Temporal Forces</t>
        </is>
      </c>
      <c r="E313" s="80" t="inlineStr">
        <is>
          <t>Raw NM</t>
        </is>
      </c>
      <c r="F313" s="80" t="n">
        <v>12</v>
      </c>
    </row>
    <row r="314">
      <c r="A314" s="123" t="n">
        <v>46154</v>
      </c>
      <c r="B314" s="80" t="inlineStr">
        <is>
          <t>V207</t>
        </is>
      </c>
      <c r="C314" s="80" t="inlineStr">
        <is>
          <t>Iron Hands ex SIR (raw)</t>
        </is>
      </c>
      <c r="D314" s="80" t="inlineStr">
        <is>
          <t>Paradox Rift</t>
        </is>
      </c>
      <c r="E314" s="80" t="inlineStr">
        <is>
          <t>Raw NM</t>
        </is>
      </c>
      <c r="F314" s="80" t="n">
        <v>8</v>
      </c>
    </row>
    <row r="315">
      <c r="A315" s="123" t="n">
        <v>46154</v>
      </c>
      <c r="B315" s="80" t="inlineStr">
        <is>
          <t>V208</t>
        </is>
      </c>
      <c r="C315" s="80" t="inlineStr">
        <is>
          <t>Gholdengo ex SIR (raw)</t>
        </is>
      </c>
      <c r="D315" s="80" t="inlineStr">
        <is>
          <t>Paradox Rift</t>
        </is>
      </c>
      <c r="E315" s="80" t="inlineStr">
        <is>
          <t>Raw NM</t>
        </is>
      </c>
      <c r="F315" s="80" t="n">
        <v>9</v>
      </c>
    </row>
    <row r="316">
      <c r="A316" s="123" t="n">
        <v>46154</v>
      </c>
      <c r="B316" s="80" t="inlineStr">
        <is>
          <t>V209</t>
        </is>
      </c>
      <c r="C316" s="80" t="inlineStr">
        <is>
          <t>Charizard ex Holo</t>
        </is>
      </c>
      <c r="D316" s="80" t="inlineStr">
        <is>
          <t>Obsidian Flames</t>
        </is>
      </c>
      <c r="E316" s="80" t="inlineStr">
        <is>
          <t>Raw NM</t>
        </is>
      </c>
      <c r="F316" s="80" t="n">
        <v>8</v>
      </c>
    </row>
    <row r="317">
      <c r="A317" s="123" t="n">
        <v>46154</v>
      </c>
      <c r="B317" s="80" t="inlineStr">
        <is>
          <t>V210</t>
        </is>
      </c>
      <c r="C317" s="80" t="inlineStr">
        <is>
          <t>Iono Holo Trainer</t>
        </is>
      </c>
      <c r="D317" s="80" t="inlineStr">
        <is>
          <t>Paldea Evolved</t>
        </is>
      </c>
      <c r="E317" s="80" t="inlineStr">
        <is>
          <t>Raw NM</t>
        </is>
      </c>
      <c r="F317" s="80" t="n">
        <v>14</v>
      </c>
    </row>
    <row r="318">
      <c r="A318" s="123" t="n">
        <v>46154</v>
      </c>
      <c r="B318" s="80" t="inlineStr">
        <is>
          <t>V211</t>
        </is>
      </c>
      <c r="C318" s="80" t="inlineStr">
        <is>
          <t>Geeta Full Art</t>
        </is>
      </c>
      <c r="D318" s="80" t="inlineStr">
        <is>
          <t>Stellar Crown</t>
        </is>
      </c>
      <c r="E318" s="80" t="inlineStr">
        <is>
          <t>Raw NM</t>
        </is>
      </c>
      <c r="F318" s="80" t="n">
        <v>7</v>
      </c>
    </row>
    <row r="319">
      <c r="A319" s="123" t="n">
        <v>46154</v>
      </c>
      <c r="B319" s="80" t="inlineStr">
        <is>
          <t>V212</t>
        </is>
      </c>
      <c r="C319" s="80" t="inlineStr">
        <is>
          <t>Penny Full Art</t>
        </is>
      </c>
      <c r="D319" s="80" t="inlineStr">
        <is>
          <t>Paradox Rift</t>
        </is>
      </c>
      <c r="E319" s="80" t="inlineStr">
        <is>
          <t>Raw NM</t>
        </is>
      </c>
      <c r="F319" s="80" t="n">
        <v>5</v>
      </c>
    </row>
    <row r="320">
      <c r="A320" s="123" t="n">
        <v>46154</v>
      </c>
      <c r="B320" s="80" t="inlineStr">
        <is>
          <t>V213</t>
        </is>
      </c>
      <c r="C320" s="80" t="inlineStr">
        <is>
          <t>Hassel Full Art</t>
        </is>
      </c>
      <c r="D320" s="80" t="inlineStr">
        <is>
          <t>Stellar Crown</t>
        </is>
      </c>
      <c r="E320" s="80" t="inlineStr">
        <is>
          <t>Raw NM</t>
        </is>
      </c>
      <c r="F320" s="80" t="n">
        <v>4</v>
      </c>
    </row>
    <row r="321">
      <c r="A321" s="123" t="n">
        <v>46154</v>
      </c>
      <c r="B321" s="80" t="inlineStr">
        <is>
          <t>V214</t>
        </is>
      </c>
      <c r="C321" s="80" t="inlineStr">
        <is>
          <t>Atticus Full Art</t>
        </is>
      </c>
      <c r="D321" s="80" t="inlineStr">
        <is>
          <t>Twilight Masquerade</t>
        </is>
      </c>
      <c r="E321" s="80" t="inlineStr">
        <is>
          <t>Raw NM</t>
        </is>
      </c>
      <c r="F321" s="80" t="n">
        <v>6</v>
      </c>
    </row>
    <row r="322">
      <c r="A322" s="123" t="n">
        <v>46154</v>
      </c>
      <c r="B322" s="80" t="inlineStr">
        <is>
          <t>V215</t>
        </is>
      </c>
      <c r="C322" s="80" t="inlineStr">
        <is>
          <t>Carmine Full Art</t>
        </is>
      </c>
      <c r="D322" s="80" t="inlineStr">
        <is>
          <t>Twilight Masquerade</t>
        </is>
      </c>
      <c r="E322" s="80" t="inlineStr">
        <is>
          <t>Raw NM</t>
        </is>
      </c>
      <c r="F322" s="80" t="n">
        <v>8</v>
      </c>
    </row>
    <row r="323">
      <c r="A323" s="123" t="n">
        <v>46154</v>
      </c>
      <c r="B323" s="80" t="inlineStr">
        <is>
          <t>V216</t>
        </is>
      </c>
      <c r="C323" s="80" t="inlineStr">
        <is>
          <t>Kieran Full Art</t>
        </is>
      </c>
      <c r="D323" s="80" t="inlineStr">
        <is>
          <t>Twilight Masquerade</t>
        </is>
      </c>
      <c r="E323" s="80" t="inlineStr">
        <is>
          <t>Raw NM</t>
        </is>
      </c>
      <c r="F323" s="80" t="n">
        <v>7</v>
      </c>
    </row>
    <row r="324">
      <c r="A324" s="123" t="n">
        <v>46154</v>
      </c>
      <c r="B324" s="80" t="inlineStr">
        <is>
          <t>V217</t>
        </is>
      </c>
      <c r="C324" s="80" t="inlineStr">
        <is>
          <t>Briar Full Art</t>
        </is>
      </c>
      <c r="D324" s="80" t="inlineStr">
        <is>
          <t>Twilight Masquerade</t>
        </is>
      </c>
      <c r="E324" s="80" t="inlineStr">
        <is>
          <t>Raw NM</t>
        </is>
      </c>
      <c r="F324" s="80" t="n">
        <v>9</v>
      </c>
    </row>
    <row r="325">
      <c r="A325" s="123" t="n">
        <v>46154</v>
      </c>
      <c r="B325" s="80" t="inlineStr">
        <is>
          <t>V218</t>
        </is>
      </c>
      <c r="C325" s="80" t="inlineStr">
        <is>
          <t>Ogerpon ex Teal Mask SIR (raw)</t>
        </is>
      </c>
      <c r="D325" s="80" t="inlineStr">
        <is>
          <t>Twilight Masquerade</t>
        </is>
      </c>
      <c r="E325" s="80" t="inlineStr">
        <is>
          <t>Raw NM</t>
        </is>
      </c>
      <c r="F325" s="80" t="n">
        <v>14</v>
      </c>
    </row>
    <row r="326">
      <c r="A326" s="123" t="n">
        <v>46154</v>
      </c>
      <c r="B326" s="80" t="inlineStr">
        <is>
          <t>V219</t>
        </is>
      </c>
      <c r="C326" s="80" t="inlineStr">
        <is>
          <t>Ogerpon ex Hearthflame SIR (raw)</t>
        </is>
      </c>
      <c r="D326" s="80" t="inlineStr">
        <is>
          <t>Twilight Masquerade</t>
        </is>
      </c>
      <c r="E326" s="80" t="inlineStr">
        <is>
          <t>Raw NM</t>
        </is>
      </c>
      <c r="F326" s="80" t="n">
        <v>12</v>
      </c>
    </row>
    <row r="327">
      <c r="A327" s="123" t="n">
        <v>46154</v>
      </c>
      <c r="B327" s="80" t="inlineStr">
        <is>
          <t>V220</t>
        </is>
      </c>
      <c r="C327" s="80" t="inlineStr">
        <is>
          <t>Ogerpon ex Cornerstone SIR (raw)</t>
        </is>
      </c>
      <c r="D327" s="80" t="inlineStr">
        <is>
          <t>Twilight Masquerade</t>
        </is>
      </c>
      <c r="E327" s="80" t="inlineStr">
        <is>
          <t>Raw NM</t>
        </is>
      </c>
      <c r="F327" s="80" t="n">
        <v>11</v>
      </c>
    </row>
    <row r="328">
      <c r="A328" s="123" t="n">
        <v>46154</v>
      </c>
      <c r="B328" s="80" t="inlineStr">
        <is>
          <t>V250</t>
        </is>
      </c>
      <c r="C328" s="80" t="inlineStr">
        <is>
          <t>Blastoise</t>
        </is>
      </c>
      <c r="D328" s="80" t="inlineStr">
        <is>
          <t>Base Set Unlimited</t>
        </is>
      </c>
      <c r="E328" s="80" t="inlineStr">
        <is>
          <t>PSA 9</t>
        </is>
      </c>
      <c r="F328" s="80" t="n">
        <v>285</v>
      </c>
    </row>
    <row r="329">
      <c r="A329" s="123" t="n">
        <v>46154</v>
      </c>
      <c r="B329" s="80" t="inlineStr">
        <is>
          <t>V251</t>
        </is>
      </c>
      <c r="C329" s="80" t="inlineStr">
        <is>
          <t>Venusaur</t>
        </is>
      </c>
      <c r="D329" s="80" t="inlineStr">
        <is>
          <t>Base Set Unlimited</t>
        </is>
      </c>
      <c r="E329" s="80" t="inlineStr">
        <is>
          <t>PSA 9</t>
        </is>
      </c>
      <c r="F329" s="80" t="n">
        <v>245</v>
      </c>
    </row>
    <row r="330">
      <c r="A330" s="123" t="n">
        <v>46154</v>
      </c>
      <c r="B330" s="80" t="inlineStr">
        <is>
          <t>V252</t>
        </is>
      </c>
      <c r="C330" s="80" t="inlineStr">
        <is>
          <t>Charizard</t>
        </is>
      </c>
      <c r="D330" s="80" t="inlineStr">
        <is>
          <t>Base Set Unlimited</t>
        </is>
      </c>
      <c r="E330" s="80" t="inlineStr">
        <is>
          <t>PSA 9</t>
        </is>
      </c>
      <c r="F330" s="80" t="n">
        <v>1850</v>
      </c>
    </row>
    <row r="331">
      <c r="A331" s="123" t="n">
        <v>46154</v>
      </c>
      <c r="B331" s="80" t="inlineStr">
        <is>
          <t>V253</t>
        </is>
      </c>
      <c r="C331" s="80" t="inlineStr">
        <is>
          <t>Charizard</t>
        </is>
      </c>
      <c r="D331" s="80" t="inlineStr">
        <is>
          <t>Base Set Unlimited</t>
        </is>
      </c>
      <c r="E331" s="80" t="inlineStr">
        <is>
          <t>PSA 8</t>
        </is>
      </c>
      <c r="F331" s="80" t="n">
        <v>525</v>
      </c>
    </row>
    <row r="332">
      <c r="A332" s="123" t="n">
        <v>46154</v>
      </c>
      <c r="B332" s="80" t="inlineStr">
        <is>
          <t>V254</t>
        </is>
      </c>
      <c r="C332" s="80" t="inlineStr">
        <is>
          <t>Mewtwo</t>
        </is>
      </c>
      <c r="D332" s="80" t="inlineStr">
        <is>
          <t>Base Set Unlimited</t>
        </is>
      </c>
      <c r="E332" s="80" t="inlineStr">
        <is>
          <t>PSA 9</t>
        </is>
      </c>
      <c r="F332" s="80" t="n">
        <v>195</v>
      </c>
    </row>
    <row r="333">
      <c r="A333" s="123" t="n">
        <v>46154</v>
      </c>
      <c r="B333" s="80" t="inlineStr">
        <is>
          <t>V255</t>
        </is>
      </c>
      <c r="C333" s="80" t="inlineStr">
        <is>
          <t>Alakazam</t>
        </is>
      </c>
      <c r="D333" s="80" t="inlineStr">
        <is>
          <t>Base Set Unlimited</t>
        </is>
      </c>
      <c r="E333" s="80" t="inlineStr">
        <is>
          <t>PSA 9</t>
        </is>
      </c>
      <c r="F333" s="80" t="n">
        <v>145</v>
      </c>
    </row>
    <row r="334">
      <c r="A334" s="123" t="n">
        <v>46154</v>
      </c>
      <c r="B334" s="80" t="inlineStr">
        <is>
          <t>V256</t>
        </is>
      </c>
      <c r="C334" s="80" t="inlineStr">
        <is>
          <t>Gyarados</t>
        </is>
      </c>
      <c r="D334" s="80" t="inlineStr">
        <is>
          <t>Base Set Unlimited</t>
        </is>
      </c>
      <c r="E334" s="80" t="inlineStr">
        <is>
          <t>PSA 9</t>
        </is>
      </c>
      <c r="F334" s="80" t="n">
        <v>165</v>
      </c>
    </row>
    <row r="335">
      <c r="A335" s="123" t="n">
        <v>46154</v>
      </c>
      <c r="B335" s="80" t="inlineStr">
        <is>
          <t>V257</t>
        </is>
      </c>
      <c r="C335" s="80" t="inlineStr">
        <is>
          <t>Ninetales</t>
        </is>
      </c>
      <c r="D335" s="80" t="inlineStr">
        <is>
          <t>Base Set Unlimited</t>
        </is>
      </c>
      <c r="E335" s="80" t="inlineStr">
        <is>
          <t>PSA 9</t>
        </is>
      </c>
      <c r="F335" s="80" t="n">
        <v>125</v>
      </c>
    </row>
    <row r="336">
      <c r="A336" s="123" t="n">
        <v>46154</v>
      </c>
      <c r="B336" s="80" t="inlineStr">
        <is>
          <t>V258</t>
        </is>
      </c>
      <c r="C336" s="80" t="inlineStr">
        <is>
          <t>Zapdos</t>
        </is>
      </c>
      <c r="D336" s="80" t="inlineStr">
        <is>
          <t>Fossil</t>
        </is>
      </c>
      <c r="E336" s="80" t="inlineStr">
        <is>
          <t>PSA 9</t>
        </is>
      </c>
      <c r="F336" s="80" t="n">
        <v>185</v>
      </c>
    </row>
    <row r="337">
      <c r="A337" s="123" t="n">
        <v>46154</v>
      </c>
      <c r="B337" s="80" t="inlineStr">
        <is>
          <t>V259</t>
        </is>
      </c>
      <c r="C337" s="80" t="inlineStr">
        <is>
          <t>Articuno</t>
        </is>
      </c>
      <c r="D337" s="80" t="inlineStr">
        <is>
          <t>Fossil</t>
        </is>
      </c>
      <c r="E337" s="80" t="inlineStr">
        <is>
          <t>PSA 9</t>
        </is>
      </c>
      <c r="F337" s="80" t="n">
        <v>165</v>
      </c>
    </row>
    <row r="338">
      <c r="A338" s="123" t="n">
        <v>46154</v>
      </c>
      <c r="B338" s="80" t="inlineStr">
        <is>
          <t>V260</t>
        </is>
      </c>
      <c r="C338" s="80" t="inlineStr">
        <is>
          <t>Moltres</t>
        </is>
      </c>
      <c r="D338" s="80" t="inlineStr">
        <is>
          <t>Fossil</t>
        </is>
      </c>
      <c r="E338" s="80" t="inlineStr">
        <is>
          <t>PSA 9</t>
        </is>
      </c>
      <c r="F338" s="80" t="n">
        <v>155</v>
      </c>
    </row>
    <row r="339">
      <c r="A339" s="123" t="n">
        <v>46154</v>
      </c>
      <c r="B339" s="80" t="inlineStr">
        <is>
          <t>V261</t>
        </is>
      </c>
      <c r="C339" s="80" t="inlineStr">
        <is>
          <t>Pikachu Red Cheeks</t>
        </is>
      </c>
      <c r="D339" s="80" t="inlineStr">
        <is>
          <t>Base Set Unlimited</t>
        </is>
      </c>
      <c r="E339" s="80" t="inlineStr">
        <is>
          <t>PSA 10</t>
        </is>
      </c>
      <c r="F339" s="80" t="n">
        <v>1450</v>
      </c>
    </row>
    <row r="340">
      <c r="A340" s="123" t="n">
        <v>46154</v>
      </c>
      <c r="B340" s="80" t="inlineStr">
        <is>
          <t>V262</t>
        </is>
      </c>
      <c r="C340" s="80" t="inlineStr">
        <is>
          <t>Pikachu Yellow Cheeks</t>
        </is>
      </c>
      <c r="D340" s="80" t="inlineStr">
        <is>
          <t>Base Set Unlimited</t>
        </is>
      </c>
      <c r="E340" s="80" t="inlineStr">
        <is>
          <t>PSA 10</t>
        </is>
      </c>
      <c r="F340" s="80" t="n">
        <v>285</v>
      </c>
    </row>
    <row r="341">
      <c r="A341" s="123" t="n">
        <v>46154</v>
      </c>
      <c r="B341" s="80" t="inlineStr">
        <is>
          <t>V270</t>
        </is>
      </c>
      <c r="C341" s="80" t="inlineStr">
        <is>
          <t>Blastoise PSA 10</t>
        </is>
      </c>
      <c r="D341" s="80" t="inlineStr">
        <is>
          <t>Base Set Unlimited</t>
        </is>
      </c>
      <c r="E341" s="80" t="inlineStr">
        <is>
          <t>PSA 10</t>
        </is>
      </c>
      <c r="F341" s="80" t="n">
        <v>1850</v>
      </c>
    </row>
    <row r="342">
      <c r="A342" s="123" t="n">
        <v>46154</v>
      </c>
      <c r="B342" s="80" t="inlineStr">
        <is>
          <t>V271</t>
        </is>
      </c>
      <c r="C342" s="80" t="inlineStr">
        <is>
          <t>Venusaur PSA 10</t>
        </is>
      </c>
      <c r="D342" s="80" t="inlineStr">
        <is>
          <t>Base Set Unlimited</t>
        </is>
      </c>
      <c r="E342" s="80" t="inlineStr">
        <is>
          <t>PSA 10</t>
        </is>
      </c>
      <c r="F342" s="80" t="n">
        <v>1550</v>
      </c>
    </row>
    <row r="343">
      <c r="A343" s="123" t="n">
        <v>46154</v>
      </c>
      <c r="B343" s="80" t="inlineStr">
        <is>
          <t>V272</t>
        </is>
      </c>
      <c r="C343" s="80" t="inlineStr">
        <is>
          <t>Mewtwo PSA 10</t>
        </is>
      </c>
      <c r="D343" s="80" t="inlineStr">
        <is>
          <t>Base Set Unlimited</t>
        </is>
      </c>
      <c r="E343" s="80" t="inlineStr">
        <is>
          <t>PSA 10</t>
        </is>
      </c>
      <c r="F343" s="80" t="n">
        <v>1450</v>
      </c>
    </row>
    <row r="344">
      <c r="A344" s="123" t="n">
        <v>46154</v>
      </c>
      <c r="B344" s="80" t="inlineStr">
        <is>
          <t>V273</t>
        </is>
      </c>
      <c r="C344" s="80" t="inlineStr">
        <is>
          <t>Alakazam PSA 10</t>
        </is>
      </c>
      <c r="D344" s="80" t="inlineStr">
        <is>
          <t>Base Set Unlimited</t>
        </is>
      </c>
      <c r="E344" s="80" t="inlineStr">
        <is>
          <t>PSA 10</t>
        </is>
      </c>
      <c r="F344" s="80" t="n">
        <v>950</v>
      </c>
    </row>
    <row r="345">
      <c r="A345" s="123" t="n">
        <v>46154</v>
      </c>
      <c r="B345" s="80" t="inlineStr">
        <is>
          <t>V274</t>
        </is>
      </c>
      <c r="C345" s="80" t="inlineStr">
        <is>
          <t>Gyarados PSA 10</t>
        </is>
      </c>
      <c r="D345" s="80" t="inlineStr">
        <is>
          <t>Base Set Unlimited</t>
        </is>
      </c>
      <c r="E345" s="80" t="inlineStr">
        <is>
          <t>PSA 10</t>
        </is>
      </c>
      <c r="F345" s="80" t="n">
        <v>850</v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9C7B5B"/>
    <outlinePr summaryBelow="1" summaryRight="1"/>
    <pageSetUpPr fitToPage="0"/>
  </sheetPr>
  <dimension ref="B2:I2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" customWidth="1" style="80" min="1" max="1"/>
    <col width="10" customWidth="1" style="80" min="2" max="2"/>
    <col width="30" customWidth="1" style="80" min="3" max="3"/>
    <col width="14" customWidth="1" style="80" min="4" max="6"/>
    <col width="10" customWidth="1" style="80" min="7" max="7"/>
    <col width="14" customWidth="1" style="80" min="8" max="8"/>
    <col width="50" customWidth="1" style="80" min="9" max="9"/>
  </cols>
  <sheetData>
    <row r="2" ht="21.75" customHeight="1" s="81">
      <c r="B2" s="86" t="inlineStr">
        <is>
          <t>eBay SOLD COMPS — Real Transaction Prices</t>
        </is>
      </c>
    </row>
    <row r="3" ht="15" customHeight="1" s="81">
      <c r="B3" s="87" t="inlineStr">
        <is>
          <t>Populated by ebay_solds.py companion script. Avg of last 30 days actual closed sales per CardID.</t>
        </is>
      </c>
    </row>
    <row r="5" ht="27.75" customHeight="1" s="81">
      <c r="B5" s="91" t="inlineStr">
        <is>
          <t>CardID</t>
        </is>
      </c>
      <c r="C5" s="91" t="inlineStr">
        <is>
          <t>Card Name</t>
        </is>
      </c>
      <c r="D5" s="91" t="inlineStr">
        <is>
          <t>Avg Sold (30D)</t>
        </is>
      </c>
      <c r="E5" s="91" t="inlineStr">
        <is>
          <t>Min Sold</t>
        </is>
      </c>
      <c r="F5" s="91" t="inlineStr">
        <is>
          <t>Max Sold</t>
        </is>
      </c>
      <c r="G5" s="91" t="inlineStr">
        <is>
          <t># Sales</t>
        </is>
      </c>
      <c r="H5" s="91" t="inlineStr">
        <is>
          <t>Last Updated</t>
        </is>
      </c>
      <c r="I5" s="91" t="inlineStr">
        <is>
          <t>eBay Search URL</t>
        </is>
      </c>
    </row>
    <row r="6" ht="15" customHeight="1" s="81">
      <c r="B6" s="152" t="inlineStr">
        <is>
          <t>V001</t>
        </is>
      </c>
      <c r="C6" s="153" t="inlineStr">
        <is>
          <t>Charizard</t>
        </is>
      </c>
      <c r="D6" s="113" t="n"/>
      <c r="E6" s="113" t="n"/>
      <c r="F6" s="113" t="n"/>
      <c r="G6" s="154" t="n"/>
      <c r="H6" s="114" t="n"/>
      <c r="I6" s="119" t="inlineStr">
        <is>
          <t>https://www.ebay.com/sch/i.html?_nkw=Charizard+Base+Set+1st+Edition+Shadowless+4/102+PSA+9&amp;LH_Sold=1&amp;LH_Complete=1&amp;_sop=13</t>
        </is>
      </c>
    </row>
    <row r="7" ht="15" customHeight="1" s="81">
      <c r="B7" s="152" t="inlineStr">
        <is>
          <t>V002</t>
        </is>
      </c>
      <c r="C7" s="153" t="inlineStr">
        <is>
          <t>Charizard</t>
        </is>
      </c>
      <c r="D7" s="113" t="n"/>
      <c r="E7" s="113" t="n"/>
      <c r="F7" s="113" t="n"/>
      <c r="G7" s="154" t="n"/>
      <c r="H7" s="114" t="n"/>
      <c r="I7" s="119" t="inlineStr">
        <is>
          <t>https://www.ebay.com/sch/i.html?_nkw=Charizard+Base+Set+1st+Edition+Shadowless+4/102+PSA+8&amp;LH_Sold=1&amp;LH_Complete=1&amp;_sop=13</t>
        </is>
      </c>
    </row>
    <row r="8" ht="15" customHeight="1" s="81">
      <c r="B8" s="152" t="inlineStr">
        <is>
          <t>V003</t>
        </is>
      </c>
      <c r="C8" s="153" t="inlineStr">
        <is>
          <t>Charizard</t>
        </is>
      </c>
      <c r="D8" s="113" t="n"/>
      <c r="E8" s="113" t="n"/>
      <c r="F8" s="113" t="n"/>
      <c r="G8" s="154" t="n"/>
      <c r="H8" s="114" t="n"/>
      <c r="I8" s="119" t="inlineStr">
        <is>
          <t>https://www.ebay.com/sch/i.html?_nkw=Charizard+Base+Set+Shadowless+4/102+PSA+9&amp;LH_Sold=1&amp;LH_Complete=1&amp;_sop=13</t>
        </is>
      </c>
    </row>
    <row r="9" ht="15" customHeight="1" s="81">
      <c r="B9" s="152" t="inlineStr">
        <is>
          <t>V004</t>
        </is>
      </c>
      <c r="C9" s="153" t="inlineStr">
        <is>
          <t>Charizard</t>
        </is>
      </c>
      <c r="D9" s="113" t="n"/>
      <c r="E9" s="113" t="n"/>
      <c r="F9" s="113" t="n"/>
      <c r="G9" s="154" t="n"/>
      <c r="H9" s="114" t="n"/>
      <c r="I9" s="119" t="inlineStr">
        <is>
          <t>https://www.ebay.com/sch/i.html?_nkw=Charizard+Base+Set+Unlimited+4/102+PSA+10&amp;LH_Sold=1&amp;LH_Complete=1&amp;_sop=13</t>
        </is>
      </c>
    </row>
    <row r="10" ht="15" customHeight="1" s="81">
      <c r="B10" s="152" t="inlineStr">
        <is>
          <t>V005</t>
        </is>
      </c>
      <c r="C10" s="153" t="inlineStr">
        <is>
          <t>Charizard</t>
        </is>
      </c>
      <c r="D10" s="113" t="n"/>
      <c r="E10" s="113" t="n"/>
      <c r="F10" s="113" t="n"/>
      <c r="G10" s="154" t="n"/>
      <c r="H10" s="114" t="n"/>
      <c r="I10" s="119" t="inlineStr">
        <is>
          <t>https://www.ebay.com/sch/i.html?_nkw=Charizard+Base+Set+Unlimited+4/102+PSA+9&amp;LH_Sold=1&amp;LH_Complete=1&amp;_sop=13</t>
        </is>
      </c>
    </row>
    <row r="11" ht="15" customHeight="1" s="81">
      <c r="B11" s="152" t="inlineStr">
        <is>
          <t>V006</t>
        </is>
      </c>
      <c r="C11" s="153" t="inlineStr">
        <is>
          <t>Blastoise</t>
        </is>
      </c>
      <c r="D11" s="113" t="n"/>
      <c r="E11" s="113" t="n"/>
      <c r="F11" s="113" t="n"/>
      <c r="G11" s="154" t="n"/>
      <c r="H11" s="114" t="n"/>
      <c r="I11" s="119" t="inlineStr">
        <is>
          <t>https://www.ebay.com/sch/i.html?_nkw=Blastoise+Base+Set+1st+Edition+Shadowless+2/102+PSA+9&amp;LH_Sold=1&amp;LH_Complete=1&amp;_sop=13</t>
        </is>
      </c>
    </row>
    <row r="12" ht="15" customHeight="1" s="81">
      <c r="B12" s="152" t="inlineStr">
        <is>
          <t>V007</t>
        </is>
      </c>
      <c r="C12" s="153" t="inlineStr">
        <is>
          <t>Venusaur</t>
        </is>
      </c>
      <c r="D12" s="113" t="n"/>
      <c r="E12" s="113" t="n"/>
      <c r="F12" s="113" t="n"/>
      <c r="G12" s="154" t="n"/>
      <c r="H12" s="114" t="n"/>
      <c r="I12" s="119" t="inlineStr">
        <is>
          <t>https://www.ebay.com/sch/i.html?_nkw=Venusaur+Base+Set+1st+Edition+Shadowless+15/102+PSA+9&amp;LH_Sold=1&amp;LH_Complete=1&amp;_sop=13</t>
        </is>
      </c>
    </row>
    <row r="13" ht="15" customHeight="1" s="81">
      <c r="B13" s="152" t="inlineStr">
        <is>
          <t>V008</t>
        </is>
      </c>
      <c r="C13" s="153" t="inlineStr">
        <is>
          <t>Chansey</t>
        </is>
      </c>
      <c r="D13" s="113" t="n"/>
      <c r="E13" s="113" t="n"/>
      <c r="F13" s="113" t="n"/>
      <c r="G13" s="154" t="n"/>
      <c r="H13" s="114" t="n"/>
      <c r="I13" s="119" t="inlineStr">
        <is>
          <t>https://www.ebay.com/sch/i.html?_nkw=Chansey+Base+Set+1st+Edition+3/102+PSA+9&amp;LH_Sold=1&amp;LH_Complete=1&amp;_sop=13</t>
        </is>
      </c>
    </row>
    <row r="14" ht="15" customHeight="1" s="81">
      <c r="B14" s="152" t="inlineStr">
        <is>
          <t>V009</t>
        </is>
      </c>
      <c r="C14" s="153" t="inlineStr">
        <is>
          <t>Mewtwo</t>
        </is>
      </c>
      <c r="D14" s="113" t="n"/>
      <c r="E14" s="113" t="n"/>
      <c r="F14" s="113" t="n"/>
      <c r="G14" s="154" t="n"/>
      <c r="H14" s="114" t="n"/>
      <c r="I14" s="119" t="inlineStr">
        <is>
          <t>https://www.ebay.com/sch/i.html?_nkw=Mewtwo+Base+Set+1st+Edition+10/102+PSA+9&amp;LH_Sold=1&amp;LH_Complete=1&amp;_sop=13</t>
        </is>
      </c>
    </row>
    <row r="15" ht="15" customHeight="1" s="81">
      <c r="B15" s="152" t="inlineStr">
        <is>
          <t>V010</t>
        </is>
      </c>
      <c r="C15" s="153" t="inlineStr">
        <is>
          <t>Alakazam</t>
        </is>
      </c>
      <c r="D15" s="113" t="n"/>
      <c r="E15" s="113" t="n"/>
      <c r="F15" s="113" t="n"/>
      <c r="G15" s="154" t="n"/>
      <c r="H15" s="114" t="n"/>
      <c r="I15" s="119" t="inlineStr">
        <is>
          <t>https://www.ebay.com/sch/i.html?_nkw=Alakazam+Base+Set+1st+Edition+1/102+PSA+9&amp;LH_Sold=1&amp;LH_Complete=1&amp;_sop=13</t>
        </is>
      </c>
    </row>
    <row r="16" ht="15" customHeight="1" s="81">
      <c r="B16" s="152" t="inlineStr">
        <is>
          <t>V011</t>
        </is>
      </c>
      <c r="C16" s="153" t="inlineStr">
        <is>
          <t>Ninetales</t>
        </is>
      </c>
      <c r="D16" s="113" t="n"/>
      <c r="E16" s="113" t="n"/>
      <c r="F16" s="113" t="n"/>
      <c r="G16" s="154" t="n"/>
      <c r="H16" s="114" t="n"/>
      <c r="I16" s="119" t="inlineStr">
        <is>
          <t>https://www.ebay.com/sch/i.html?_nkw=Ninetales+Base+Set+1st+Edition+12/102+PSA+9&amp;LH_Sold=1&amp;LH_Complete=1&amp;_sop=13</t>
        </is>
      </c>
    </row>
    <row r="17" ht="15" customHeight="1" s="81">
      <c r="B17" s="152" t="inlineStr">
        <is>
          <t>V012</t>
        </is>
      </c>
      <c r="C17" s="153" t="inlineStr">
        <is>
          <t>Zapdos</t>
        </is>
      </c>
      <c r="D17" s="113" t="n"/>
      <c r="E17" s="113" t="n"/>
      <c r="F17" s="113" t="n"/>
      <c r="G17" s="154" t="n"/>
      <c r="H17" s="114" t="n"/>
      <c r="I17" s="119" t="inlineStr">
        <is>
          <t>https://www.ebay.com/sch/i.html?_nkw=Zapdos+Base+Set+1st+Edition+16/102+PSA+9&amp;LH_Sold=1&amp;LH_Complete=1&amp;_sop=13</t>
        </is>
      </c>
    </row>
    <row r="18" ht="15" customHeight="1" s="81">
      <c r="B18" s="152" t="inlineStr">
        <is>
          <t>V013</t>
        </is>
      </c>
      <c r="C18" s="153" t="inlineStr">
        <is>
          <t>Pikachu Red Cheeks</t>
        </is>
      </c>
      <c r="D18" s="113" t="n"/>
      <c r="E18" s="113" t="n"/>
      <c r="F18" s="113" t="n"/>
      <c r="G18" s="154" t="n"/>
      <c r="H18" s="114" t="n"/>
      <c r="I18" s="119" t="inlineStr">
        <is>
          <t>https://www.ebay.com/sch/i.html?_nkw=Pikachu+Red+Cheeks+Base+Set+Shadowless+58/102+PSA+10&amp;LH_Sold=1&amp;LH_Complete=1&amp;_sop=13</t>
        </is>
      </c>
    </row>
    <row r="19" ht="15" customHeight="1" s="81">
      <c r="B19" s="152" t="inlineStr">
        <is>
          <t>V014</t>
        </is>
      </c>
      <c r="C19" s="153" t="inlineStr">
        <is>
          <t>Dragonite</t>
        </is>
      </c>
      <c r="D19" s="113" t="n"/>
      <c r="E19" s="113" t="n"/>
      <c r="F19" s="113" t="n"/>
      <c r="G19" s="154" t="n"/>
      <c r="H19" s="114" t="n"/>
      <c r="I19" s="119" t="inlineStr">
        <is>
          <t>https://www.ebay.com/sch/i.html?_nkw=Dragonite+Fossil+1st+Edition+4/62+PSA+9&amp;LH_Sold=1&amp;LH_Complete=1&amp;_sop=13</t>
        </is>
      </c>
    </row>
    <row r="20" ht="15" customHeight="1" s="81">
      <c r="B20" s="152" t="inlineStr">
        <is>
          <t>V015</t>
        </is>
      </c>
      <c r="C20" s="153" t="inlineStr">
        <is>
          <t>Mewtwo</t>
        </is>
      </c>
      <c r="D20" s="113" t="n"/>
      <c r="E20" s="113" t="n"/>
      <c r="F20" s="113" t="n"/>
      <c r="G20" s="154" t="n"/>
      <c r="H20" s="114" t="n"/>
      <c r="I20" s="119" t="inlineStr">
        <is>
          <t>https://www.ebay.com/sch/i.html?_nkw=Mewtwo+Fossil+1st+Edition+10/62+PSA+9&amp;LH_Sold=1&amp;LH_Complete=1&amp;_sop=13</t>
        </is>
      </c>
    </row>
    <row r="21" ht="15" customHeight="1" s="81">
      <c r="B21" s="152" t="inlineStr">
        <is>
          <t>V016</t>
        </is>
      </c>
      <c r="C21" s="153" t="inlineStr">
        <is>
          <t>Lugia</t>
        </is>
      </c>
      <c r="D21" s="113" t="n"/>
      <c r="E21" s="113" t="n"/>
      <c r="F21" s="113" t="n"/>
      <c r="G21" s="154" t="n"/>
      <c r="H21" s="114" t="n"/>
      <c r="I21" s="119" t="inlineStr">
        <is>
          <t>https://www.ebay.com/sch/i.html?_nkw=Lugia+Neo+Genesis+1st+Edition+9/111+PSA+9&amp;LH_Sold=1&amp;LH_Complete=1&amp;_sop=13</t>
        </is>
      </c>
    </row>
    <row r="22" ht="15" customHeight="1" s="81">
      <c r="B22" s="152" t="inlineStr">
        <is>
          <t>V017</t>
        </is>
      </c>
      <c r="C22" s="153" t="inlineStr">
        <is>
          <t>Shining Charizard</t>
        </is>
      </c>
      <c r="D22" s="113" t="n"/>
      <c r="E22" s="113" t="n"/>
      <c r="F22" s="113" t="n"/>
      <c r="G22" s="154" t="n"/>
      <c r="H22" s="114" t="n"/>
      <c r="I22" s="119" t="inlineStr">
        <is>
          <t>https://www.ebay.com/sch/i.html?_nkw=Shining+Charizard+Neo+Destiny+1st+Edition+107/105+PSA+9&amp;LH_Sold=1&amp;LH_Complete=1&amp;_sop=13</t>
        </is>
      </c>
    </row>
    <row r="23" ht="15" customHeight="1" s="81">
      <c r="B23" s="152" t="inlineStr">
        <is>
          <t>V018</t>
        </is>
      </c>
      <c r="C23" s="153" t="inlineStr">
        <is>
          <t>Shining Tyranitar</t>
        </is>
      </c>
      <c r="D23" s="113" t="n"/>
      <c r="E23" s="113" t="n"/>
      <c r="F23" s="113" t="n"/>
      <c r="G23" s="154" t="n"/>
      <c r="H23" s="114" t="n"/>
      <c r="I23" s="119" t="inlineStr">
        <is>
          <t>https://www.ebay.com/sch/i.html?_nkw=Shining+Tyranitar+Neo+Destiny+1st+Edition+113/105+PSA+9&amp;LH_Sold=1&amp;LH_Complete=1&amp;_sop=13</t>
        </is>
      </c>
    </row>
    <row r="24" ht="15" customHeight="1" s="81">
      <c r="B24" s="152" t="inlineStr">
        <is>
          <t>V019</t>
        </is>
      </c>
      <c r="C24" s="153" t="inlineStr">
        <is>
          <t>Pikachu Trophy (Bronze)</t>
        </is>
      </c>
      <c r="D24" s="113" t="n"/>
      <c r="E24" s="113" t="n"/>
      <c r="F24" s="113" t="n"/>
      <c r="G24" s="154" t="n"/>
      <c r="H24" s="114" t="n"/>
      <c r="I24" s="119" t="inlineStr">
        <is>
          <t>https://www.ebay.com/sch/i.html?_nkw=Pikachu+Trophy+(Bronze)+Pokemon+World+Championships+1999+Trophy+PSA+8&amp;LH_Sold=1&amp;LH_Complete=1&amp;_sop=13</t>
        </is>
      </c>
    </row>
    <row r="25" ht="15" customHeight="1" s="81">
      <c r="B25" s="152" t="inlineStr">
        <is>
          <t>V020</t>
        </is>
      </c>
      <c r="C25" s="153" t="inlineStr">
        <is>
          <t>Charizard Gold Star</t>
        </is>
      </c>
      <c r="D25" s="113" t="n"/>
      <c r="E25" s="113" t="n"/>
      <c r="F25" s="113" t="n"/>
      <c r="G25" s="154" t="n"/>
      <c r="H25" s="114" t="n"/>
      <c r="I25" s="119" t="inlineStr">
        <is>
          <t>https://www.ebay.com/sch/i.html?_nkw=Charizard+Gold+Star+EX+Dragon+Frontiers+100/101+PSA+10&amp;LH_Sold=1&amp;LH_Complete=1&amp;_sop=13</t>
        </is>
      </c>
    </row>
    <row r="26" ht="15" customHeight="1" s="81">
      <c r="B26" s="152" t="inlineStr">
        <is>
          <t>V021</t>
        </is>
      </c>
      <c r="C26" s="153" t="inlineStr">
        <is>
          <t>Charizard Gold Star</t>
        </is>
      </c>
      <c r="D26" s="113" t="n"/>
      <c r="E26" s="113" t="n"/>
      <c r="F26" s="113" t="n"/>
      <c r="G26" s="154" t="n"/>
      <c r="H26" s="114" t="n"/>
      <c r="I26" s="119" t="inlineStr">
        <is>
          <t>https://www.ebay.com/sch/i.html?_nkw=Charizard+Gold+Star+EX+Dragon+Frontiers+100/101+PSA+9&amp;LH_Sold=1&amp;LH_Complete=1&amp;_sop=13</t>
        </is>
      </c>
    </row>
    <row r="27" ht="15" customHeight="1" s="81">
      <c r="B27" s="152" t="inlineStr">
        <is>
          <t>V022</t>
        </is>
      </c>
      <c r="C27" s="153" t="inlineStr">
        <is>
          <t>Umbreon Gold Star</t>
        </is>
      </c>
      <c r="D27" s="113" t="n"/>
      <c r="E27" s="113" t="n"/>
      <c r="F27" s="113" t="n"/>
      <c r="G27" s="154" t="n"/>
      <c r="H27" s="114" t="n"/>
      <c r="I27" s="119" t="inlineStr">
        <is>
          <t>https://www.ebay.com/sch/i.html?_nkw=Umbreon+Gold+Star+POP+Series+5+17/17+PSA+9&amp;LH_Sold=1&amp;LH_Complete=1&amp;_sop=13</t>
        </is>
      </c>
    </row>
    <row r="28" ht="15" customHeight="1" s="81">
      <c r="B28" s="152" t="inlineStr">
        <is>
          <t>V023</t>
        </is>
      </c>
      <c r="C28" s="153" t="inlineStr">
        <is>
          <t>Espeon Gold Star</t>
        </is>
      </c>
      <c r="D28" s="113" t="n"/>
      <c r="E28" s="113" t="n"/>
      <c r="F28" s="113" t="n"/>
      <c r="G28" s="154" t="n"/>
      <c r="H28" s="114" t="n"/>
      <c r="I28" s="119" t="inlineStr">
        <is>
          <t>https://www.ebay.com/sch/i.html?_nkw=Espeon+Gold+Star+POP+Series+5+16/17+PSA+9&amp;LH_Sold=1&amp;LH_Complete=1&amp;_sop=13</t>
        </is>
      </c>
    </row>
    <row r="29" ht="15" customHeight="1" s="81">
      <c r="B29" s="152" t="inlineStr">
        <is>
          <t>V024</t>
        </is>
      </c>
      <c r="C29" s="153" t="inlineStr">
        <is>
          <t>Vaporeon Gold Star</t>
        </is>
      </c>
      <c r="D29" s="113" t="n"/>
      <c r="E29" s="113" t="n"/>
      <c r="F29" s="113" t="n"/>
      <c r="G29" s="154" t="n"/>
      <c r="H29" s="114" t="n"/>
      <c r="I29" s="119" t="inlineStr">
        <is>
          <t>https://www.ebay.com/sch/i.html?_nkw=Vaporeon+Gold+Star+EX+Power+Keepers+Gold+Star+PSA+9&amp;LH_Sold=1&amp;LH_Complete=1&amp;_sop=13</t>
        </is>
      </c>
    </row>
    <row r="30" ht="15" customHeight="1" s="81">
      <c r="B30" s="152" t="inlineStr">
        <is>
          <t>V025</t>
        </is>
      </c>
      <c r="C30" s="153" t="inlineStr">
        <is>
          <t>Jolteon Gold Star</t>
        </is>
      </c>
      <c r="D30" s="113" t="n"/>
      <c r="E30" s="113" t="n"/>
      <c r="F30" s="113" t="n"/>
      <c r="G30" s="154" t="n"/>
      <c r="H30" s="114" t="n"/>
      <c r="I30" s="119" t="inlineStr">
        <is>
          <t>https://www.ebay.com/sch/i.html?_nkw=Jolteon+Gold+Star+EX+Power+Keepers+Gold+Star+PSA+9&amp;LH_Sold=1&amp;LH_Complete=1&amp;_sop=13</t>
        </is>
      </c>
    </row>
    <row r="31" ht="15" customHeight="1" s="81">
      <c r="B31" s="152" t="inlineStr">
        <is>
          <t>V026</t>
        </is>
      </c>
      <c r="C31" s="153" t="inlineStr">
        <is>
          <t>Flareon Gold Star</t>
        </is>
      </c>
      <c r="D31" s="113" t="n"/>
      <c r="E31" s="113" t="n"/>
      <c r="F31" s="113" t="n"/>
      <c r="G31" s="154" t="n"/>
      <c r="H31" s="114" t="n"/>
      <c r="I31" s="119" t="inlineStr">
        <is>
          <t>https://www.ebay.com/sch/i.html?_nkw=Flareon+Gold+Star+EX+Power+Keepers+Gold+Star+PSA+9&amp;LH_Sold=1&amp;LH_Complete=1&amp;_sop=13</t>
        </is>
      </c>
    </row>
    <row r="32" ht="15" customHeight="1" s="81">
      <c r="B32" s="152" t="inlineStr">
        <is>
          <t>V027</t>
        </is>
      </c>
      <c r="C32" s="153" t="inlineStr">
        <is>
          <t>Rayquaza Gold Star</t>
        </is>
      </c>
      <c r="D32" s="113" t="n"/>
      <c r="E32" s="113" t="n"/>
      <c r="F32" s="113" t="n"/>
      <c r="G32" s="154" t="n"/>
      <c r="H32" s="114" t="n"/>
      <c r="I32" s="119" t="inlineStr">
        <is>
          <t>https://www.ebay.com/sch/i.html?_nkw=Rayquaza+Gold+Star+EX+Deoxys+Gold+Star+PSA+9&amp;LH_Sold=1&amp;LH_Complete=1&amp;_sop=13</t>
        </is>
      </c>
    </row>
    <row r="33" ht="15" customHeight="1" s="81">
      <c r="B33" s="152" t="inlineStr">
        <is>
          <t>V028</t>
        </is>
      </c>
      <c r="C33" s="153" t="inlineStr">
        <is>
          <t>Mew Gold Star</t>
        </is>
      </c>
      <c r="D33" s="113" t="n"/>
      <c r="E33" s="113" t="n"/>
      <c r="F33" s="113" t="n"/>
      <c r="G33" s="154" t="n"/>
      <c r="H33" s="114" t="n"/>
      <c r="I33" s="119" t="inlineStr">
        <is>
          <t>https://www.ebay.com/sch/i.html?_nkw=Mew+Gold+Star+EX+Holon+Phantoms+Gold+Star+PSA+9&amp;LH_Sold=1&amp;LH_Complete=1&amp;_sop=13</t>
        </is>
      </c>
    </row>
    <row r="34" ht="15" customHeight="1" s="81">
      <c r="B34" s="152" t="inlineStr">
        <is>
          <t>V029</t>
        </is>
      </c>
      <c r="C34" s="153" t="inlineStr">
        <is>
          <t>Glaceon Gold Star</t>
        </is>
      </c>
      <c r="D34" s="113" t="n"/>
      <c r="E34" s="113" t="n"/>
      <c r="F34" s="113" t="n"/>
      <c r="G34" s="154" t="n"/>
      <c r="H34" s="114" t="n"/>
      <c r="I34" s="119" t="inlineStr">
        <is>
          <t>https://www.ebay.com/sch/i.html?_nkw=Glaceon+Gold+Star+Diamond++Pearl+Promos+DP38+PSA+9&amp;LH_Sold=1&amp;LH_Complete=1&amp;_sop=13</t>
        </is>
      </c>
    </row>
    <row r="35" ht="15" customHeight="1" s="81">
      <c r="B35" s="152" t="inlineStr">
        <is>
          <t>V030</t>
        </is>
      </c>
      <c r="C35" s="153" t="inlineStr">
        <is>
          <t>Leafeon Gold Star</t>
        </is>
      </c>
      <c r="D35" s="113" t="n"/>
      <c r="E35" s="113" t="n"/>
      <c r="F35" s="113" t="n"/>
      <c r="G35" s="154" t="n"/>
      <c r="H35" s="114" t="n"/>
      <c r="I35" s="119" t="inlineStr">
        <is>
          <t>https://www.ebay.com/sch/i.html?_nkw=Leafeon+Gold+Star+Diamond++Pearl+Promos+DP37+PSA+9&amp;LH_Sold=1&amp;LH_Complete=1&amp;_sop=13</t>
        </is>
      </c>
    </row>
    <row r="36" ht="15" customHeight="1" s="81">
      <c r="B36" s="152" t="inlineStr">
        <is>
          <t>V031</t>
        </is>
      </c>
      <c r="C36" s="153" t="inlineStr">
        <is>
          <t>Pikachu Illustrator</t>
        </is>
      </c>
      <c r="D36" s="113" t="n"/>
      <c r="E36" s="113" t="n"/>
      <c r="F36" s="113" t="n"/>
      <c r="G36" s="154" t="n"/>
      <c r="H36" s="114" t="n"/>
      <c r="I36" s="119" t="inlineStr">
        <is>
          <t>https://www.ebay.com/sch/i.html?_nkw=Pikachu+Illustrator+Trophy+Promo+PSA+4&amp;LH_Sold=1&amp;LH_Complete=1&amp;_sop=13</t>
        </is>
      </c>
    </row>
    <row r="37" ht="15" customHeight="1" s="81">
      <c r="B37" s="152" t="inlineStr">
        <is>
          <t>V032</t>
        </is>
      </c>
      <c r="C37" s="153" t="inlineStr">
        <is>
          <t>Tropical Wind</t>
        </is>
      </c>
      <c r="D37" s="113" t="n"/>
      <c r="E37" s="113" t="n"/>
      <c r="F37" s="113" t="n"/>
      <c r="G37" s="154" t="n"/>
      <c r="H37" s="114" t="n"/>
      <c r="I37" s="119" t="inlineStr">
        <is>
          <t>https://www.ebay.com/sch/i.html?_nkw=Tropical+Wind+WC+1999-2003+Promo+PSA+9&amp;LH_Sold=1&amp;LH_Complete=1&amp;_sop=13</t>
        </is>
      </c>
    </row>
    <row r="38" ht="15" customHeight="1" s="81">
      <c r="B38" s="152" t="inlineStr">
        <is>
          <t>V033</t>
        </is>
      </c>
      <c r="C38" s="153" t="inlineStr">
        <is>
          <t>No.2 Trainer</t>
        </is>
      </c>
      <c r="D38" s="113" t="n"/>
      <c r="E38" s="113" t="n"/>
      <c r="F38" s="113" t="n"/>
      <c r="G38" s="154" t="n"/>
      <c r="H38" s="114" t="n"/>
      <c r="I38" s="119" t="inlineStr">
        <is>
          <t>https://www.ebay.com/sch/i.html?_nkw=No.2+Trainer+1999+Tropical+Mega+Battle+Trophy+PSA+8&amp;LH_Sold=1&amp;LH_Complete=1&amp;_sop=13</t>
        </is>
      </c>
    </row>
    <row r="39" ht="15" customHeight="1" s="81">
      <c r="B39" s="152" t="inlineStr">
        <is>
          <t>V034</t>
        </is>
      </c>
      <c r="C39" s="153" t="inlineStr">
        <is>
          <t>Blaine's Charizard</t>
        </is>
      </c>
      <c r="D39" s="113" t="n"/>
      <c r="E39" s="113" t="n"/>
      <c r="F39" s="113" t="n"/>
      <c r="G39" s="154" t="n"/>
      <c r="H39" s="114" t="n"/>
      <c r="I39" s="119" t="inlineStr">
        <is>
          <t>https://www.ebay.com/sch/i.html?_nkw=Blaine's+Charizard+Gym+Heroes+1st+Edition+2/132+PSA+9&amp;LH_Sold=1&amp;LH_Complete=1&amp;_sop=13</t>
        </is>
      </c>
    </row>
    <row r="40" ht="15" customHeight="1" s="81">
      <c r="B40" s="152" t="inlineStr">
        <is>
          <t>V035</t>
        </is>
      </c>
      <c r="C40" s="153" t="inlineStr">
        <is>
          <t>Dark Charizard</t>
        </is>
      </c>
      <c r="D40" s="113" t="n"/>
      <c r="E40" s="113" t="n"/>
      <c r="F40" s="113" t="n"/>
      <c r="G40" s="154" t="n"/>
      <c r="H40" s="114" t="n"/>
      <c r="I40" s="119" t="inlineStr">
        <is>
          <t>https://www.ebay.com/sch/i.html?_nkw=Dark+Charizard+Team+Rocket+1st+Edition+4/82+PSA+9&amp;LH_Sold=1&amp;LH_Complete=1&amp;_sop=13</t>
        </is>
      </c>
    </row>
    <row r="41" ht="15" customHeight="1" s="81">
      <c r="B41" s="152" t="inlineStr">
        <is>
          <t>M001</t>
        </is>
      </c>
      <c r="C41" s="153" t="inlineStr">
        <is>
          <t>Umbreon VMAX (Moonbreon)</t>
        </is>
      </c>
      <c r="D41" s="113" t="n"/>
      <c r="E41" s="113" t="n"/>
      <c r="F41" s="113" t="n"/>
      <c r="G41" s="154" t="n"/>
      <c r="H41" s="114" t="n"/>
      <c r="I41" s="119" t="inlineStr">
        <is>
          <t>https://www.ebay.com/sch/i.html?_nkw=Umbreon+VMAX+(Moonbreon)+Evolving+Skies+215/203+PSA+10&amp;LH_Sold=1&amp;LH_Complete=1&amp;_sop=13</t>
        </is>
      </c>
    </row>
    <row r="42" ht="15" customHeight="1" s="81">
      <c r="B42" s="152" t="inlineStr">
        <is>
          <t>M002</t>
        </is>
      </c>
      <c r="C42" s="153" t="inlineStr">
        <is>
          <t>Umbreon VMAX (Moonbreon)</t>
        </is>
      </c>
      <c r="D42" s="113" t="n"/>
      <c r="E42" s="113" t="n"/>
      <c r="F42" s="113" t="n"/>
      <c r="G42" s="154" t="n"/>
      <c r="H42" s="114" t="n"/>
      <c r="I42" s="119" t="inlineStr">
        <is>
          <t>https://www.ebay.com/sch/i.html?_nkw=Umbreon+VMAX+(Moonbreon)+Evolving+Skies+215/203+Raw+NM&amp;LH_Sold=1&amp;LH_Complete=1&amp;_sop=13</t>
        </is>
      </c>
    </row>
    <row r="43" ht="15" customHeight="1" s="81">
      <c r="B43" s="152" t="inlineStr">
        <is>
          <t>M003</t>
        </is>
      </c>
      <c r="C43" s="153" t="inlineStr">
        <is>
          <t>Rayquaza VMAX Alt Art</t>
        </is>
      </c>
      <c r="D43" s="113" t="n"/>
      <c r="E43" s="113" t="n"/>
      <c r="F43" s="113" t="n"/>
      <c r="G43" s="154" t="n"/>
      <c r="H43" s="114" t="n"/>
      <c r="I43" s="119" t="inlineStr">
        <is>
          <t>https://www.ebay.com/sch/i.html?_nkw=Rayquaza+VMAX+Alt+Art+Evolving+Skies+218/203+PSA+10&amp;LH_Sold=1&amp;LH_Complete=1&amp;_sop=13</t>
        </is>
      </c>
    </row>
    <row r="44" ht="15" customHeight="1" s="81">
      <c r="B44" s="152" t="inlineStr">
        <is>
          <t>M004</t>
        </is>
      </c>
      <c r="C44" s="153" t="inlineStr">
        <is>
          <t>Sylveon VMAX Alt Art</t>
        </is>
      </c>
      <c r="D44" s="113" t="n"/>
      <c r="E44" s="113" t="n"/>
      <c r="F44" s="113" t="n"/>
      <c r="G44" s="154" t="n"/>
      <c r="H44" s="114" t="n"/>
      <c r="I44" s="119" t="inlineStr">
        <is>
          <t>https://www.ebay.com/sch/i.html?_nkw=Sylveon+VMAX+Alt+Art+Evolving+Skies+212/203+PSA+10&amp;LH_Sold=1&amp;LH_Complete=1&amp;_sop=13</t>
        </is>
      </c>
    </row>
    <row r="45" ht="15" customHeight="1" s="81">
      <c r="B45" s="152" t="inlineStr">
        <is>
          <t>M005</t>
        </is>
      </c>
      <c r="C45" s="153" t="inlineStr">
        <is>
          <t>Espeon VMAX Alt Art</t>
        </is>
      </c>
      <c r="D45" s="113" t="n"/>
      <c r="E45" s="113" t="n"/>
      <c r="F45" s="113" t="n"/>
      <c r="G45" s="154" t="n"/>
      <c r="H45" s="114" t="n"/>
      <c r="I45" s="119" t="inlineStr">
        <is>
          <t>https://www.ebay.com/sch/i.html?_nkw=Espeon+VMAX+Alt+Art+Evolving+Skies+208/203+PSA+10&amp;LH_Sold=1&amp;LH_Complete=1&amp;_sop=13</t>
        </is>
      </c>
    </row>
    <row r="46" ht="15" customHeight="1" s="81">
      <c r="B46" s="152" t="inlineStr">
        <is>
          <t>M006</t>
        </is>
      </c>
      <c r="C46" s="153" t="inlineStr">
        <is>
          <t>Leafeon VMAX Alt Art</t>
        </is>
      </c>
      <c r="D46" s="113" t="n"/>
      <c r="E46" s="113" t="n"/>
      <c r="F46" s="113" t="n"/>
      <c r="G46" s="154" t="n"/>
      <c r="H46" s="114" t="n"/>
      <c r="I46" s="119" t="inlineStr">
        <is>
          <t>https://www.ebay.com/sch/i.html?_nkw=Leafeon+VMAX+Alt+Art+Evolving+Skies+205/203+PSA+10&amp;LH_Sold=1&amp;LH_Complete=1&amp;_sop=13</t>
        </is>
      </c>
    </row>
    <row r="47" ht="15" customHeight="1" s="81">
      <c r="B47" s="152" t="inlineStr">
        <is>
          <t>M007</t>
        </is>
      </c>
      <c r="C47" s="153" t="inlineStr">
        <is>
          <t>Glaceon VMAX Alt Art</t>
        </is>
      </c>
      <c r="D47" s="113" t="n"/>
      <c r="E47" s="113" t="n"/>
      <c r="F47" s="113" t="n"/>
      <c r="G47" s="154" t="n"/>
      <c r="H47" s="114" t="n"/>
      <c r="I47" s="119" t="inlineStr">
        <is>
          <t>https://www.ebay.com/sch/i.html?_nkw=Glaceon+VMAX+Alt+Art+Evolving+Skies+210/203+PSA+10&amp;LH_Sold=1&amp;LH_Complete=1&amp;_sop=13</t>
        </is>
      </c>
    </row>
    <row r="48" ht="15" customHeight="1" s="81">
      <c r="B48" s="152" t="inlineStr">
        <is>
          <t>M008</t>
        </is>
      </c>
      <c r="C48" s="153" t="inlineStr">
        <is>
          <t>Jolteon VMAX Alt Art</t>
        </is>
      </c>
      <c r="D48" s="113" t="n"/>
      <c r="E48" s="113" t="n"/>
      <c r="F48" s="113" t="n"/>
      <c r="G48" s="154" t="n"/>
      <c r="H48" s="114" t="n"/>
      <c r="I48" s="119" t="inlineStr">
        <is>
          <t>https://www.ebay.com/sch/i.html?_nkw=Jolteon+VMAX+Alt+Art+Evolving+Skies+203/203+PSA+10&amp;LH_Sold=1&amp;LH_Complete=1&amp;_sop=13</t>
        </is>
      </c>
    </row>
    <row r="49" ht="15" customHeight="1" s="81">
      <c r="B49" s="152" t="inlineStr">
        <is>
          <t>M009</t>
        </is>
      </c>
      <c r="C49" s="153" t="inlineStr">
        <is>
          <t>Umbreon V Alt Art</t>
        </is>
      </c>
      <c r="D49" s="113" t="n"/>
      <c r="E49" s="113" t="n"/>
      <c r="F49" s="113" t="n"/>
      <c r="G49" s="154" t="n"/>
      <c r="H49" s="114" t="n"/>
      <c r="I49" s="119" t="inlineStr">
        <is>
          <t>https://www.ebay.com/sch/i.html?_nkw=Umbreon+V+Alt+Art+Evolving+Skies+189/203+PSA+10&amp;LH_Sold=1&amp;LH_Complete=1&amp;_sop=13</t>
        </is>
      </c>
    </row>
    <row r="50" ht="15" customHeight="1" s="81">
      <c r="B50" s="152" t="inlineStr">
        <is>
          <t>M010</t>
        </is>
      </c>
      <c r="C50" s="153" t="inlineStr">
        <is>
          <t>Dragonite V Alt Art</t>
        </is>
      </c>
      <c r="D50" s="113" t="n"/>
      <c r="E50" s="113" t="n"/>
      <c r="F50" s="113" t="n"/>
      <c r="G50" s="154" t="n"/>
      <c r="H50" s="114" t="n"/>
      <c r="I50" s="119" t="inlineStr">
        <is>
          <t>https://www.ebay.com/sch/i.html?_nkw=Dragonite+V+Alt+Art+Evolving+Skies+192/203+PSA+10&amp;LH_Sold=1&amp;LH_Complete=1&amp;_sop=13</t>
        </is>
      </c>
    </row>
    <row r="51" ht="15" customHeight="1" s="81">
      <c r="B51" s="152" t="inlineStr">
        <is>
          <t>M011</t>
        </is>
      </c>
      <c r="C51" s="153" t="inlineStr">
        <is>
          <t>Duraludon VMAX Alt Art</t>
        </is>
      </c>
      <c r="D51" s="113" t="n"/>
      <c r="E51" s="113" t="n"/>
      <c r="F51" s="113" t="n"/>
      <c r="G51" s="154" t="n"/>
      <c r="H51" s="114" t="n"/>
      <c r="I51" s="119" t="inlineStr">
        <is>
          <t>https://www.ebay.com/sch/i.html?_nkw=Duraludon+VMAX+Alt+Art+Evolving+Skies+217/203+PSA+10&amp;LH_Sold=1&amp;LH_Complete=1&amp;_sop=13</t>
        </is>
      </c>
    </row>
    <row r="52" ht="15" customHeight="1" s="81">
      <c r="B52" s="152" t="inlineStr">
        <is>
          <t>M012</t>
        </is>
      </c>
      <c r="C52" s="153" t="inlineStr">
        <is>
          <t>Rayquaza V Alt Art</t>
        </is>
      </c>
      <c r="D52" s="113" t="n"/>
      <c r="E52" s="113" t="n"/>
      <c r="F52" s="113" t="n"/>
      <c r="G52" s="154" t="n"/>
      <c r="H52" s="114" t="n"/>
      <c r="I52" s="119" t="inlineStr">
        <is>
          <t>https://www.ebay.com/sch/i.html?_nkw=Rayquaza+V+Alt+Art+Evolving+Skies+194/203+PSA+10&amp;LH_Sold=1&amp;LH_Complete=1&amp;_sop=13</t>
        </is>
      </c>
    </row>
    <row r="53" ht="15" customHeight="1" s="81">
      <c r="B53" s="152" t="inlineStr">
        <is>
          <t>M013</t>
        </is>
      </c>
      <c r="C53" s="153" t="inlineStr">
        <is>
          <t>Charizard VMAX Rainbow</t>
        </is>
      </c>
      <c r="D53" s="113" t="n"/>
      <c r="E53" s="113" t="n"/>
      <c r="F53" s="113" t="n"/>
      <c r="G53" s="154" t="n"/>
      <c r="H53" s="114" t="n"/>
      <c r="I53" s="119" t="inlineStr">
        <is>
          <t>https://www.ebay.com/sch/i.html?_nkw=Charizard+VMAX+Rainbow+Champion's+Path+74/73+PSA+10&amp;LH_Sold=1&amp;LH_Complete=1&amp;_sop=13</t>
        </is>
      </c>
    </row>
    <row r="54" ht="15" customHeight="1" s="81">
      <c r="B54" s="152" t="inlineStr">
        <is>
          <t>M014</t>
        </is>
      </c>
      <c r="C54" s="153" t="inlineStr">
        <is>
          <t>Charizard V Full Art</t>
        </is>
      </c>
      <c r="D54" s="113" t="n"/>
      <c r="E54" s="113" t="n"/>
      <c r="F54" s="113" t="n"/>
      <c r="G54" s="154" t="n"/>
      <c r="H54" s="114" t="n"/>
      <c r="I54" s="119" t="inlineStr">
        <is>
          <t>https://www.ebay.com/sch/i.html?_nkw=Charizard+V+Full+Art+Champion's+Path+79/73+PSA+10&amp;LH_Sold=1&amp;LH_Complete=1&amp;_sop=13</t>
        </is>
      </c>
    </row>
    <row r="55" ht="15" customHeight="1" s="81">
      <c r="B55" s="152" t="inlineStr">
        <is>
          <t>M015</t>
        </is>
      </c>
      <c r="C55" s="153" t="inlineStr">
        <is>
          <t>Charizard VSTAR Rainbow</t>
        </is>
      </c>
      <c r="D55" s="113" t="n"/>
      <c r="E55" s="113" t="n"/>
      <c r="F55" s="113" t="n"/>
      <c r="G55" s="154" t="n"/>
      <c r="H55" s="114" t="n"/>
      <c r="I55" s="119" t="inlineStr">
        <is>
          <t>https://www.ebay.com/sch/i.html?_nkw=Charizard+VSTAR+Rainbow+Brilliant+Stars+174/172+PSA+10&amp;LH_Sold=1&amp;LH_Complete=1&amp;_sop=13</t>
        </is>
      </c>
    </row>
    <row r="56" ht="15" customHeight="1" s="81">
      <c r="B56" s="152" t="inlineStr">
        <is>
          <t>M016</t>
        </is>
      </c>
      <c r="C56" s="153" t="inlineStr">
        <is>
          <t>Mewtwo VSTAR Alt Art</t>
        </is>
      </c>
      <c r="D56" s="113" t="n"/>
      <c r="E56" s="113" t="n"/>
      <c r="F56" s="113" t="n"/>
      <c r="G56" s="154" t="n"/>
      <c r="H56" s="114" t="n"/>
      <c r="I56" s="119" t="inlineStr">
        <is>
          <t>https://www.ebay.com/sch/i.html?_nkw=Mewtwo+VSTAR+Alt+Art+Brilliant+Stars+176/172+PSA+10&amp;LH_Sold=1&amp;LH_Complete=1&amp;_sop=13</t>
        </is>
      </c>
    </row>
    <row r="57" ht="15" customHeight="1" s="81">
      <c r="B57" s="152" t="inlineStr">
        <is>
          <t>M017</t>
        </is>
      </c>
      <c r="C57" s="153" t="inlineStr">
        <is>
          <t>Whimsicott VSTAR Alt Art</t>
        </is>
      </c>
      <c r="D57" s="113" t="n"/>
      <c r="E57" s="113" t="n"/>
      <c r="F57" s="113" t="n"/>
      <c r="G57" s="154" t="n"/>
      <c r="H57" s="114" t="n"/>
      <c r="I57" s="119" t="inlineStr">
        <is>
          <t>https://www.ebay.com/sch/i.html?_nkw=Whimsicott+VSTAR+Alt+Art+Brilliant+Stars+175/172+PSA+10&amp;LH_Sold=1&amp;LH_Complete=1&amp;_sop=13</t>
        </is>
      </c>
    </row>
    <row r="58" ht="15" customHeight="1" s="81">
      <c r="B58" s="152" t="inlineStr">
        <is>
          <t>M018</t>
        </is>
      </c>
      <c r="C58" s="153" t="inlineStr">
        <is>
          <t>Arceus VSTAR Alt Art</t>
        </is>
      </c>
      <c r="D58" s="113" t="n"/>
      <c r="E58" s="113" t="n"/>
      <c r="F58" s="113" t="n"/>
      <c r="G58" s="154" t="n"/>
      <c r="H58" s="114" t="n"/>
      <c r="I58" s="119" t="inlineStr">
        <is>
          <t>https://www.ebay.com/sch/i.html?_nkw=Arceus+VSTAR+Alt+Art+Brilliant+Stars+184/172+PSA+10&amp;LH_Sold=1&amp;LH_Complete=1&amp;_sop=13</t>
        </is>
      </c>
    </row>
    <row r="59" ht="15" customHeight="1" s="81">
      <c r="B59" s="152" t="inlineStr">
        <is>
          <t>M019</t>
        </is>
      </c>
      <c r="C59" s="153" t="inlineStr">
        <is>
          <t>Origin Forme Palkia VSTAR Alt</t>
        </is>
      </c>
      <c r="D59" s="113" t="n"/>
      <c r="E59" s="113" t="n"/>
      <c r="F59" s="113" t="n"/>
      <c r="G59" s="154" t="n"/>
      <c r="H59" s="114" t="n"/>
      <c r="I59" s="119" t="inlineStr">
        <is>
          <t>https://www.ebay.com/sch/i.html?_nkw=Origin+Forme+Palkia+VSTAR+Alt+Astral+Radiance+208/189+PSA+10&amp;LH_Sold=1&amp;LH_Complete=1&amp;_sop=13</t>
        </is>
      </c>
    </row>
    <row r="60" ht="15" customHeight="1" s="81">
      <c r="B60" s="152" t="inlineStr">
        <is>
          <t>M020</t>
        </is>
      </c>
      <c r="C60" s="153" t="inlineStr">
        <is>
          <t>Origin Forme Dialga VSTAR Alt</t>
        </is>
      </c>
      <c r="D60" s="113" t="n"/>
      <c r="E60" s="113" t="n"/>
      <c r="F60" s="113" t="n"/>
      <c r="G60" s="154" t="n"/>
      <c r="H60" s="114" t="n"/>
      <c r="I60" s="119" t="inlineStr">
        <is>
          <t>https://www.ebay.com/sch/i.html?_nkw=Origin+Forme+Dialga+VSTAR+Alt+Astral+Radiance+207/189+PSA+10&amp;LH_Sold=1&amp;LH_Complete=1&amp;_sop=13</t>
        </is>
      </c>
    </row>
    <row r="61" ht="15" customHeight="1" s="81">
      <c r="B61" s="152" t="inlineStr">
        <is>
          <t>M021</t>
        </is>
      </c>
      <c r="C61" s="153" t="inlineStr">
        <is>
          <t>Giratina VSTAR Alt Art</t>
        </is>
      </c>
      <c r="D61" s="113" t="n"/>
      <c r="E61" s="113" t="n"/>
      <c r="F61" s="113" t="n"/>
      <c r="G61" s="154" t="n"/>
      <c r="H61" s="114" t="n"/>
      <c r="I61" s="119" t="inlineStr">
        <is>
          <t>https://www.ebay.com/sch/i.html?_nkw=Giratina+VSTAR+Alt+Art+Lost+Origin+TG30/TG30+PSA+10&amp;LH_Sold=1&amp;LH_Complete=1&amp;_sop=13</t>
        </is>
      </c>
    </row>
    <row r="62" ht="15" customHeight="1" s="81">
      <c r="B62" s="152" t="inlineStr">
        <is>
          <t>M022</t>
        </is>
      </c>
      <c r="C62" s="153" t="inlineStr">
        <is>
          <t>Aerodactyl V Alt Art</t>
        </is>
      </c>
      <c r="D62" s="113" t="n"/>
      <c r="E62" s="113" t="n"/>
      <c r="F62" s="113" t="n"/>
      <c r="G62" s="154" t="n"/>
      <c r="H62" s="114" t="n"/>
      <c r="I62" s="119" t="inlineStr">
        <is>
          <t>https://www.ebay.com/sch/i.html?_nkw=Aerodactyl+V+Alt+Art+Lost+Origin+TG21/TG30+PSA+10&amp;LH_Sold=1&amp;LH_Complete=1&amp;_sop=13</t>
        </is>
      </c>
    </row>
    <row r="63" ht="15" customHeight="1" s="81">
      <c r="B63" s="152" t="inlineStr">
        <is>
          <t>M023</t>
        </is>
      </c>
      <c r="C63" s="153" t="inlineStr">
        <is>
          <t>Magnezone V Alt Art</t>
        </is>
      </c>
      <c r="D63" s="113" t="n"/>
      <c r="E63" s="113" t="n"/>
      <c r="F63" s="113" t="n"/>
      <c r="G63" s="154" t="n"/>
      <c r="H63" s="114" t="n"/>
      <c r="I63" s="119" t="inlineStr">
        <is>
          <t>https://www.ebay.com/sch/i.html?_nkw=Magnezone+V+Alt+Art+Lost+Origin+TG13/TG30+PSA+10&amp;LH_Sold=1&amp;LH_Complete=1&amp;_sop=13</t>
        </is>
      </c>
    </row>
    <row r="64" ht="15" customHeight="1" s="81">
      <c r="B64" s="152" t="inlineStr">
        <is>
          <t>M024</t>
        </is>
      </c>
      <c r="C64" s="153" t="inlineStr">
        <is>
          <t>Lugia VSTAR Alt Art</t>
        </is>
      </c>
      <c r="D64" s="113" t="n"/>
      <c r="E64" s="113" t="n"/>
      <c r="F64" s="113" t="n"/>
      <c r="G64" s="154" t="n"/>
      <c r="H64" s="114" t="n"/>
      <c r="I64" s="119" t="inlineStr">
        <is>
          <t>https://www.ebay.com/sch/i.html?_nkw=Lugia+VSTAR+Alt+Art+Silver+Tempest+TG30/TG30+PSA+10&amp;LH_Sold=1&amp;LH_Complete=1&amp;_sop=13</t>
        </is>
      </c>
    </row>
    <row r="65" ht="15" customHeight="1" s="81">
      <c r="B65" s="152" t="inlineStr">
        <is>
          <t>M025</t>
        </is>
      </c>
      <c r="C65" s="153" t="inlineStr">
        <is>
          <t>Alakazam V Alt Art</t>
        </is>
      </c>
      <c r="D65" s="113" t="n"/>
      <c r="E65" s="113" t="n"/>
      <c r="F65" s="113" t="n"/>
      <c r="G65" s="154" t="n"/>
      <c r="H65" s="114" t="n"/>
      <c r="I65" s="119" t="inlineStr">
        <is>
          <t>https://www.ebay.com/sch/i.html?_nkw=Alakazam+V+Alt+Art+Silver+Tempest+TG07/TG30+PSA+10&amp;LH_Sold=1&amp;LH_Complete=1&amp;_sop=13</t>
        </is>
      </c>
    </row>
    <row r="66" ht="15" customHeight="1" s="81">
      <c r="B66" s="152" t="inlineStr">
        <is>
          <t>M026</t>
        </is>
      </c>
      <c r="C66" s="153" t="inlineStr">
        <is>
          <t>Serperior V Alt Art</t>
        </is>
      </c>
      <c r="D66" s="113" t="n"/>
      <c r="E66" s="113" t="n"/>
      <c r="F66" s="113" t="n"/>
      <c r="G66" s="154" t="n"/>
      <c r="H66" s="114" t="n"/>
      <c r="I66" s="119" t="inlineStr">
        <is>
          <t>https://www.ebay.com/sch/i.html?_nkw=Serperior+V+Alt+Art+Silver+Tempest+TG02/TG30+PSA+10&amp;LH_Sold=1&amp;LH_Complete=1&amp;_sop=13</t>
        </is>
      </c>
    </row>
    <row r="67" ht="15" customHeight="1" s="81">
      <c r="B67" s="152" t="inlineStr">
        <is>
          <t>M027</t>
        </is>
      </c>
      <c r="C67" s="153" t="inlineStr">
        <is>
          <t>Tyranitar V Alt Art</t>
        </is>
      </c>
      <c r="D67" s="113" t="n"/>
      <c r="E67" s="113" t="n"/>
      <c r="F67" s="113" t="n"/>
      <c r="G67" s="154" t="n"/>
      <c r="H67" s="114" t="n"/>
      <c r="I67" s="119" t="inlineStr">
        <is>
          <t>https://www.ebay.com/sch/i.html?_nkw=Tyranitar+V+Alt+Art+Silver+Tempest+TG09/TG30+PSA+10&amp;LH_Sold=1&amp;LH_Complete=1&amp;_sop=13</t>
        </is>
      </c>
    </row>
    <row r="68" ht="15" customHeight="1" s="81">
      <c r="B68" s="152" t="inlineStr">
        <is>
          <t>M028</t>
        </is>
      </c>
      <c r="C68" s="153" t="inlineStr">
        <is>
          <t>Articuno V Alt Art</t>
        </is>
      </c>
      <c r="D68" s="113" t="n"/>
      <c r="E68" s="113" t="n"/>
      <c r="F68" s="113" t="n"/>
      <c r="G68" s="154" t="n"/>
      <c r="H68" s="114" t="n"/>
      <c r="I68" s="119" t="inlineStr">
        <is>
          <t>https://www.ebay.com/sch/i.html?_nkw=Articuno+V+Alt+Art+Silver+Tempest+TG12/TG30+PSA+10&amp;LH_Sold=1&amp;LH_Complete=1&amp;_sop=13</t>
        </is>
      </c>
    </row>
    <row r="69" ht="15" customHeight="1" s="81">
      <c r="B69" s="152" t="inlineStr">
        <is>
          <t>M029</t>
        </is>
      </c>
      <c r="C69" s="153" t="inlineStr">
        <is>
          <t>Giratina VSTAR Gold</t>
        </is>
      </c>
      <c r="D69" s="113" t="n"/>
      <c r="E69" s="113" t="n"/>
      <c r="F69" s="113" t="n"/>
      <c r="G69" s="154" t="n"/>
      <c r="H69" s="114" t="n"/>
      <c r="I69" s="119" t="inlineStr">
        <is>
          <t>https://www.ebay.com/sch/i.html?_nkw=Giratina+VSTAR+Gold+Crown+Zenith+GG70/GG70+PSA+10&amp;LH_Sold=1&amp;LH_Complete=1&amp;_sop=13</t>
        </is>
      </c>
    </row>
    <row r="70" ht="15" customHeight="1" s="81">
      <c r="B70" s="152" t="inlineStr">
        <is>
          <t>M030</t>
        </is>
      </c>
      <c r="C70" s="153" t="inlineStr">
        <is>
          <t>Mewtwo VSTAR (GG)</t>
        </is>
      </c>
      <c r="D70" s="113" t="n"/>
      <c r="E70" s="113" t="n"/>
      <c r="F70" s="113" t="n"/>
      <c r="G70" s="154" t="n"/>
      <c r="H70" s="114" t="n"/>
      <c r="I70" s="119" t="inlineStr">
        <is>
          <t>https://www.ebay.com/sch/i.html?_nkw=Mewtwo+VSTAR+(GG)+Crown+Zenith+Galarian+Gallery+GG44/GG70+PSA+10&amp;LH_Sold=1&amp;LH_Complete=1&amp;_sop=13</t>
        </is>
      </c>
    </row>
    <row r="71" ht="15" customHeight="1" s="81">
      <c r="B71" s="152" t="inlineStr">
        <is>
          <t>M031</t>
        </is>
      </c>
      <c r="C71" s="153" t="inlineStr">
        <is>
          <t>Pikachu VMAX (GG)</t>
        </is>
      </c>
      <c r="D71" s="113" t="n"/>
      <c r="E71" s="113" t="n"/>
      <c r="F71" s="113" t="n"/>
      <c r="G71" s="154" t="n"/>
      <c r="H71" s="114" t="n"/>
      <c r="I71" s="119" t="inlineStr">
        <is>
          <t>https://www.ebay.com/sch/i.html?_nkw=Pikachu+VMAX+(GG)+Crown+Zenith+Galarian+Gallery+GG70/GG70+PSA+10&amp;LH_Sold=1&amp;LH_Complete=1&amp;_sop=13</t>
        </is>
      </c>
    </row>
    <row r="72" ht="15" customHeight="1" s="81">
      <c r="B72" s="152" t="inlineStr">
        <is>
          <t>M032</t>
        </is>
      </c>
      <c r="C72" s="153" t="inlineStr">
        <is>
          <t>Charizard V (GG)</t>
        </is>
      </c>
      <c r="D72" s="113" t="n"/>
      <c r="E72" s="113" t="n"/>
      <c r="F72" s="113" t="n"/>
      <c r="G72" s="154" t="n"/>
      <c r="H72" s="114" t="n"/>
      <c r="I72" s="119" t="inlineStr">
        <is>
          <t>https://www.ebay.com/sch/i.html?_nkw=Charizard+V+(GG)+Crown+Zenith+Galarian+Gallery+GG44/GG70+PSA+10&amp;LH_Sold=1&amp;LH_Complete=1&amp;_sop=13</t>
        </is>
      </c>
    </row>
    <row r="73" ht="15" customHeight="1" s="81">
      <c r="B73" s="152" t="inlineStr">
        <is>
          <t>M033</t>
        </is>
      </c>
      <c r="C73" s="153" t="inlineStr">
        <is>
          <t>Lugia V (GG)</t>
        </is>
      </c>
      <c r="D73" s="113" t="n"/>
      <c r="E73" s="113" t="n"/>
      <c r="F73" s="113" t="n"/>
      <c r="G73" s="154" t="n"/>
      <c r="H73" s="114" t="n"/>
      <c r="I73" s="119" t="inlineStr">
        <is>
          <t>https://www.ebay.com/sch/i.html?_nkw=Lugia+V+(GG)+Crown+Zenith+Galarian+Gallery+GG62/GG70+PSA+10&amp;LH_Sold=1&amp;LH_Complete=1&amp;_sop=13</t>
        </is>
      </c>
    </row>
    <row r="74" ht="15" customHeight="1" s="81">
      <c r="B74" s="152" t="inlineStr">
        <is>
          <t>M034</t>
        </is>
      </c>
      <c r="C74" s="153" t="inlineStr">
        <is>
          <t>Charizard ex SIR</t>
        </is>
      </c>
      <c r="D74" s="113" t="n"/>
      <c r="E74" s="113" t="n"/>
      <c r="F74" s="113" t="n"/>
      <c r="G74" s="154" t="n"/>
      <c r="H74" s="114" t="n"/>
      <c r="I74" s="119" t="inlineStr">
        <is>
          <t>https://www.ebay.com/sch/i.html?_nkw=Charizard+ex+SIR+Scarlet++Violet+151+199/165+PSA+10&amp;LH_Sold=1&amp;LH_Complete=1&amp;_sop=13</t>
        </is>
      </c>
    </row>
    <row r="75" ht="15" customHeight="1" s="81">
      <c r="B75" s="152" t="inlineStr">
        <is>
          <t>M035</t>
        </is>
      </c>
      <c r="C75" s="153" t="inlineStr">
        <is>
          <t>Charizard ex SIR</t>
        </is>
      </c>
      <c r="D75" s="113" t="n"/>
      <c r="E75" s="113" t="n"/>
      <c r="F75" s="113" t="n"/>
      <c r="G75" s="154" t="n"/>
      <c r="H75" s="114" t="n"/>
      <c r="I75" s="119" t="inlineStr">
        <is>
          <t>https://www.ebay.com/sch/i.html?_nkw=Charizard+ex+SIR+Scarlet++Violet+151+199/165+Raw+NM&amp;LH_Sold=1&amp;LH_Complete=1&amp;_sop=13</t>
        </is>
      </c>
    </row>
    <row r="76" ht="15" customHeight="1" s="81">
      <c r="B76" s="152" t="inlineStr">
        <is>
          <t>M036</t>
        </is>
      </c>
      <c r="C76" s="153" t="inlineStr">
        <is>
          <t>Charizard ex Full Art</t>
        </is>
      </c>
      <c r="D76" s="113" t="n"/>
      <c r="E76" s="113" t="n"/>
      <c r="F76" s="113" t="n"/>
      <c r="G76" s="154" t="n"/>
      <c r="H76" s="114" t="n"/>
      <c r="I76" s="119" t="inlineStr">
        <is>
          <t>https://www.ebay.com/sch/i.html?_nkw=Charizard+ex+Full+Art+Scarlet++Violet+151+183/165+PSA+10&amp;LH_Sold=1&amp;LH_Complete=1&amp;_sop=13</t>
        </is>
      </c>
    </row>
    <row r="77" ht="15" customHeight="1" s="81">
      <c r="B77" s="152" t="inlineStr">
        <is>
          <t>M037</t>
        </is>
      </c>
      <c r="C77" s="153" t="inlineStr">
        <is>
          <t>Mew ex SIR</t>
        </is>
      </c>
      <c r="D77" s="113" t="n"/>
      <c r="E77" s="113" t="n"/>
      <c r="F77" s="113" t="n"/>
      <c r="G77" s="154" t="n"/>
      <c r="H77" s="114" t="n"/>
      <c r="I77" s="119" t="inlineStr">
        <is>
          <t>https://www.ebay.com/sch/i.html?_nkw=Mew+ex+SIR+Scarlet++Violet+151+205/165+PSA+10&amp;LH_Sold=1&amp;LH_Complete=1&amp;_sop=13</t>
        </is>
      </c>
    </row>
    <row r="78" ht="15" customHeight="1" s="81">
      <c r="B78" s="152" t="inlineStr">
        <is>
          <t>M038</t>
        </is>
      </c>
      <c r="C78" s="153" t="inlineStr">
        <is>
          <t>Zapdos ex SIR</t>
        </is>
      </c>
      <c r="D78" s="113" t="n"/>
      <c r="E78" s="113" t="n"/>
      <c r="F78" s="113" t="n"/>
      <c r="G78" s="154" t="n"/>
      <c r="H78" s="114" t="n"/>
      <c r="I78" s="119" t="inlineStr">
        <is>
          <t>https://www.ebay.com/sch/i.html?_nkw=Zapdos+ex+SIR+Scarlet++Violet+151+202/165+PSA+10&amp;LH_Sold=1&amp;LH_Complete=1&amp;_sop=13</t>
        </is>
      </c>
    </row>
    <row r="79" ht="15" customHeight="1" s="81">
      <c r="B79" s="152" t="inlineStr">
        <is>
          <t>M039</t>
        </is>
      </c>
      <c r="C79" s="153" t="inlineStr">
        <is>
          <t>Venusaur ex SIR</t>
        </is>
      </c>
      <c r="D79" s="113" t="n"/>
      <c r="E79" s="113" t="n"/>
      <c r="F79" s="113" t="n"/>
      <c r="G79" s="154" t="n"/>
      <c r="H79" s="114" t="n"/>
      <c r="I79" s="119" t="inlineStr">
        <is>
          <t>https://www.ebay.com/sch/i.html?_nkw=Venusaur+ex+SIR+Scarlet++Violet+151+198/165+PSA+10&amp;LH_Sold=1&amp;LH_Complete=1&amp;_sop=13</t>
        </is>
      </c>
    </row>
    <row r="80" ht="15" customHeight="1" s="81">
      <c r="B80" s="152" t="inlineStr">
        <is>
          <t>M040</t>
        </is>
      </c>
      <c r="C80" s="153" t="inlineStr">
        <is>
          <t>Blastoise ex SIR</t>
        </is>
      </c>
      <c r="D80" s="113" t="n"/>
      <c r="E80" s="113" t="n"/>
      <c r="F80" s="113" t="n"/>
      <c r="G80" s="154" t="n"/>
      <c r="H80" s="114" t="n"/>
      <c r="I80" s="119" t="inlineStr">
        <is>
          <t>https://www.ebay.com/sch/i.html?_nkw=Blastoise+ex+SIR+Scarlet++Violet+151+200/165+PSA+10&amp;LH_Sold=1&amp;LH_Complete=1&amp;_sop=13</t>
        </is>
      </c>
    </row>
    <row r="81" ht="15" customHeight="1" s="81">
      <c r="B81" s="152" t="inlineStr">
        <is>
          <t>M041</t>
        </is>
      </c>
      <c r="C81" s="153" t="inlineStr">
        <is>
          <t>Mewtwo ex SIR</t>
        </is>
      </c>
      <c r="D81" s="113" t="n"/>
      <c r="E81" s="113" t="n"/>
      <c r="F81" s="113" t="n"/>
      <c r="G81" s="154" t="n"/>
      <c r="H81" s="114" t="n"/>
      <c r="I81" s="119" t="inlineStr">
        <is>
          <t>https://www.ebay.com/sch/i.html?_nkw=Mewtwo+ex+SIR+Scarlet++Violet+151+201/165+PSA+10&amp;LH_Sold=1&amp;LH_Complete=1&amp;_sop=13</t>
        </is>
      </c>
    </row>
    <row r="82" ht="15" customHeight="1" s="81">
      <c r="B82" s="152" t="inlineStr">
        <is>
          <t>M042</t>
        </is>
      </c>
      <c r="C82" s="153" t="inlineStr">
        <is>
          <t>Pikachu Master Ball Pattern</t>
        </is>
      </c>
      <c r="D82" s="113" t="n"/>
      <c r="E82" s="113" t="n"/>
      <c r="F82" s="113" t="n"/>
      <c r="G82" s="154" t="n"/>
      <c r="H82" s="114" t="n"/>
      <c r="I82" s="119" t="inlineStr">
        <is>
          <t>https://www.ebay.com/sch/i.html?_nkw=Pikachu+Master+Ball+Pattern+Scarlet++Violet+151+025/165+PSA+10&amp;LH_Sold=1&amp;LH_Complete=1&amp;_sop=13</t>
        </is>
      </c>
    </row>
    <row r="83" ht="15" customHeight="1" s="81">
      <c r="B83" s="152" t="inlineStr">
        <is>
          <t>M043</t>
        </is>
      </c>
      <c r="C83" s="153" t="inlineStr">
        <is>
          <t>Alakazam ex SIR</t>
        </is>
      </c>
      <c r="D83" s="113" t="n"/>
      <c r="E83" s="113" t="n"/>
      <c r="F83" s="113" t="n"/>
      <c r="G83" s="154" t="n"/>
      <c r="H83" s="114" t="n"/>
      <c r="I83" s="119" t="inlineStr">
        <is>
          <t>https://www.ebay.com/sch/i.html?_nkw=Alakazam+ex+SIR+Scarlet++Violet+151+203/165+PSA+10&amp;LH_Sold=1&amp;LH_Complete=1&amp;_sop=13</t>
        </is>
      </c>
    </row>
    <row r="84" ht="15" customHeight="1" s="81">
      <c r="B84" s="152" t="inlineStr">
        <is>
          <t>M044</t>
        </is>
      </c>
      <c r="C84" s="153" t="inlineStr">
        <is>
          <t>Iono SIR</t>
        </is>
      </c>
      <c r="D84" s="113" t="n"/>
      <c r="E84" s="113" t="n"/>
      <c r="F84" s="113" t="n"/>
      <c r="G84" s="154" t="n"/>
      <c r="H84" s="114" t="n"/>
      <c r="I84" s="119" t="inlineStr">
        <is>
          <t>https://www.ebay.com/sch/i.html?_nkw=Iono+SIR+Paldea+Evolved+269/193+PSA+10&amp;LH_Sold=1&amp;LH_Complete=1&amp;_sop=13</t>
        </is>
      </c>
    </row>
    <row r="85" ht="15" customHeight="1" s="81">
      <c r="B85" s="152" t="inlineStr">
        <is>
          <t>M045</t>
        </is>
      </c>
      <c r="C85" s="153" t="inlineStr">
        <is>
          <t>Tinkaton ex SIR</t>
        </is>
      </c>
      <c r="D85" s="113" t="n"/>
      <c r="E85" s="113" t="n"/>
      <c r="F85" s="113" t="n"/>
      <c r="G85" s="154" t="n"/>
      <c r="H85" s="114" t="n"/>
      <c r="I85" s="119" t="inlineStr">
        <is>
          <t>https://www.ebay.com/sch/i.html?_nkw=Tinkaton+ex+SIR+Paldea+Evolved+265/193+PSA+10&amp;LH_Sold=1&amp;LH_Complete=1&amp;_sop=13</t>
        </is>
      </c>
    </row>
    <row r="86" ht="15" customHeight="1" s="81">
      <c r="B86" s="152" t="inlineStr">
        <is>
          <t>M046</t>
        </is>
      </c>
      <c r="C86" s="153" t="inlineStr">
        <is>
          <t>Charizard ex SIR</t>
        </is>
      </c>
      <c r="D86" s="113" t="n"/>
      <c r="E86" s="113" t="n"/>
      <c r="F86" s="113" t="n"/>
      <c r="G86" s="154" t="n"/>
      <c r="H86" s="114" t="n"/>
      <c r="I86" s="119" t="inlineStr">
        <is>
          <t>https://www.ebay.com/sch/i.html?_nkw=Charizard+ex+SIR+Obsidian+Flames+228/197+PSA+10&amp;LH_Sold=1&amp;LH_Complete=1&amp;_sop=13</t>
        </is>
      </c>
    </row>
    <row r="87" ht="15" customHeight="1" s="81">
      <c r="B87" s="152" t="inlineStr">
        <is>
          <t>M047</t>
        </is>
      </c>
      <c r="C87" s="153" t="inlineStr">
        <is>
          <t>Charizard ex SIR</t>
        </is>
      </c>
      <c r="D87" s="113" t="n"/>
      <c r="E87" s="113" t="n"/>
      <c r="F87" s="113" t="n"/>
      <c r="G87" s="154" t="n"/>
      <c r="H87" s="114" t="n"/>
      <c r="I87" s="119" t="inlineStr">
        <is>
          <t>https://www.ebay.com/sch/i.html?_nkw=Charizard+ex+SIR+Obsidian+Flames+228/197+Raw+NM&amp;LH_Sold=1&amp;LH_Complete=1&amp;_sop=13</t>
        </is>
      </c>
    </row>
    <row r="88" ht="15" customHeight="1" s="81">
      <c r="B88" s="152" t="inlineStr">
        <is>
          <t>M048</t>
        </is>
      </c>
      <c r="C88" s="153" t="inlineStr">
        <is>
          <t>Tyranitar ex SIR</t>
        </is>
      </c>
      <c r="D88" s="113" t="n"/>
      <c r="E88" s="113" t="n"/>
      <c r="F88" s="113" t="n"/>
      <c r="G88" s="154" t="n"/>
      <c r="H88" s="114" t="n"/>
      <c r="I88" s="119" t="inlineStr">
        <is>
          <t>https://www.ebay.com/sch/i.html?_nkw=Tyranitar+ex+SIR+Obsidian+Flames+230/197+PSA+10&amp;LH_Sold=1&amp;LH_Complete=1&amp;_sop=13</t>
        </is>
      </c>
    </row>
    <row r="89" ht="15" customHeight="1" s="81">
      <c r="B89" s="152" t="inlineStr">
        <is>
          <t>M049</t>
        </is>
      </c>
      <c r="C89" s="153" t="inlineStr">
        <is>
          <t>Mela SIR</t>
        </is>
      </c>
      <c r="D89" s="113" t="n"/>
      <c r="E89" s="113" t="n"/>
      <c r="F89" s="113" t="n"/>
      <c r="G89" s="154" t="n"/>
      <c r="H89" s="114" t="n"/>
      <c r="I89" s="119" t="inlineStr">
        <is>
          <t>https://www.ebay.com/sch/i.html?_nkw=Mela+SIR+Obsidian+Flames+229/197+PSA+10&amp;LH_Sold=1&amp;LH_Complete=1&amp;_sop=13</t>
        </is>
      </c>
    </row>
    <row r="90" ht="15" customHeight="1" s="81">
      <c r="B90" s="152" t="inlineStr">
        <is>
          <t>M050</t>
        </is>
      </c>
      <c r="C90" s="153" t="inlineStr">
        <is>
          <t>Iron Hands ex Alt Art</t>
        </is>
      </c>
      <c r="D90" s="113" t="n"/>
      <c r="E90" s="113" t="n"/>
      <c r="F90" s="113" t="n"/>
      <c r="G90" s="154" t="n"/>
      <c r="H90" s="114" t="n"/>
      <c r="I90" s="119" t="inlineStr">
        <is>
          <t>https://www.ebay.com/sch/i.html?_nkw=Iron+Hands+ex+Alt+Art+Paradox+Rift+228/182+PSA+10&amp;LH_Sold=1&amp;LH_Complete=1&amp;_sop=13</t>
        </is>
      </c>
    </row>
    <row r="91" ht="15" customHeight="1" s="81">
      <c r="B91" s="152" t="inlineStr">
        <is>
          <t>M051</t>
        </is>
      </c>
      <c r="C91" s="153" t="inlineStr">
        <is>
          <t>Roaring Moon ex Alt Art</t>
        </is>
      </c>
      <c r="D91" s="113" t="n"/>
      <c r="E91" s="113" t="n"/>
      <c r="F91" s="113" t="n"/>
      <c r="G91" s="154" t="n"/>
      <c r="H91" s="114" t="n"/>
      <c r="I91" s="119" t="inlineStr">
        <is>
          <t>https://www.ebay.com/sch/i.html?_nkw=Roaring+Moon+ex+Alt+Art+Paradox+Rift+229/182+PSA+10&amp;LH_Sold=1&amp;LH_Complete=1&amp;_sop=13</t>
        </is>
      </c>
    </row>
    <row r="92" ht="15" customHeight="1" s="81">
      <c r="B92" s="152" t="inlineStr">
        <is>
          <t>M052</t>
        </is>
      </c>
      <c r="C92" s="153" t="inlineStr">
        <is>
          <t>Penny SIR</t>
        </is>
      </c>
      <c r="D92" s="113" t="n"/>
      <c r="E92" s="113" t="n"/>
      <c r="F92" s="113" t="n"/>
      <c r="G92" s="154" t="n"/>
      <c r="H92" s="114" t="n"/>
      <c r="I92" s="119" t="inlineStr">
        <is>
          <t>https://www.ebay.com/sch/i.html?_nkw=Penny+SIR+Paradox+Rift+238/182+PSA+10&amp;LH_Sold=1&amp;LH_Complete=1&amp;_sop=13</t>
        </is>
      </c>
    </row>
    <row r="93" ht="15" customHeight="1" s="81">
      <c r="B93" s="152" t="inlineStr">
        <is>
          <t>M053</t>
        </is>
      </c>
      <c r="C93" s="153" t="inlineStr">
        <is>
          <t>Garchomp ex Alt Art</t>
        </is>
      </c>
      <c r="D93" s="113" t="n"/>
      <c r="E93" s="113" t="n"/>
      <c r="F93" s="113" t="n"/>
      <c r="G93" s="154" t="n"/>
      <c r="H93" s="114" t="n"/>
      <c r="I93" s="119" t="inlineStr">
        <is>
          <t>https://www.ebay.com/sch/i.html?_nkw=Garchomp+ex+Alt+Art+Paradox+Rift+230/182+PSA+10&amp;LH_Sold=1&amp;LH_Complete=1&amp;_sop=13</t>
        </is>
      </c>
    </row>
    <row r="94" ht="15" customHeight="1" s="81">
      <c r="B94" s="152" t="inlineStr">
        <is>
          <t>M054</t>
        </is>
      </c>
      <c r="C94" s="153" t="inlineStr">
        <is>
          <t>Roaring Moon ex SIR</t>
        </is>
      </c>
      <c r="D94" s="113" t="n"/>
      <c r="E94" s="113" t="n"/>
      <c r="F94" s="113" t="n"/>
      <c r="G94" s="154" t="n"/>
      <c r="H94" s="114" t="n"/>
      <c r="I94" s="119" t="inlineStr">
        <is>
          <t>https://www.ebay.com/sch/i.html?_nkw=Roaring+Moon+ex+SIR+Paradox+Rift+251/182+PSA+10&amp;LH_Sold=1&amp;LH_Complete=1&amp;_sop=13</t>
        </is>
      </c>
    </row>
    <row r="95" ht="15" customHeight="1" s="81">
      <c r="B95" s="152" t="inlineStr">
        <is>
          <t>M055</t>
        </is>
      </c>
      <c r="C95" s="153" t="inlineStr">
        <is>
          <t>Garchomp ex SIR</t>
        </is>
      </c>
      <c r="D95" s="113" t="n"/>
      <c r="E95" s="113" t="n"/>
      <c r="F95" s="113" t="n"/>
      <c r="G95" s="154" t="n"/>
      <c r="H95" s="114" t="n"/>
      <c r="I95" s="119" t="inlineStr">
        <is>
          <t>https://www.ebay.com/sch/i.html?_nkw=Garchomp+ex+SIR+Paradox+Rift+252/182+PSA+10&amp;LH_Sold=1&amp;LH_Complete=1&amp;_sop=13</t>
        </is>
      </c>
    </row>
    <row r="96" ht="15" customHeight="1" s="81">
      <c r="B96" s="152" t="inlineStr">
        <is>
          <t>M056</t>
        </is>
      </c>
      <c r="C96" s="153" t="inlineStr">
        <is>
          <t>Charizard ex Shiny</t>
        </is>
      </c>
      <c r="D96" s="113" t="n"/>
      <c r="E96" s="113" t="n"/>
      <c r="F96" s="113" t="n"/>
      <c r="G96" s="154" t="n"/>
      <c r="H96" s="114" t="n"/>
      <c r="I96" s="119" t="inlineStr">
        <is>
          <t>https://www.ebay.com/sch/i.html?_nkw=Charizard+ex+Shiny+Paldean+Fates+234/091+PSA+10&amp;LH_Sold=1&amp;LH_Complete=1&amp;_sop=13</t>
        </is>
      </c>
    </row>
    <row r="97" ht="15" customHeight="1" s="81">
      <c r="B97" s="152" t="inlineStr">
        <is>
          <t>M057</t>
        </is>
      </c>
      <c r="C97" s="153" t="inlineStr">
        <is>
          <t>Mewtwo ex Shiny</t>
        </is>
      </c>
      <c r="D97" s="113" t="n"/>
      <c r="E97" s="113" t="n"/>
      <c r="F97" s="113" t="n"/>
      <c r="G97" s="154" t="n"/>
      <c r="H97" s="114" t="n"/>
      <c r="I97" s="119" t="inlineStr">
        <is>
          <t>https://www.ebay.com/sch/i.html?_nkw=Mewtwo+ex+Shiny+Paldean+Fates+235/091+PSA+10&amp;LH_Sold=1&amp;LH_Complete=1&amp;_sop=13</t>
        </is>
      </c>
    </row>
    <row r="98" ht="15" customHeight="1" s="81">
      <c r="B98" s="152" t="inlineStr">
        <is>
          <t>M058</t>
        </is>
      </c>
      <c r="C98" s="153" t="inlineStr">
        <is>
          <t>Pikachu Shiny</t>
        </is>
      </c>
      <c r="D98" s="113" t="n"/>
      <c r="E98" s="113" t="n"/>
      <c r="F98" s="113" t="n"/>
      <c r="G98" s="154" t="n"/>
      <c r="H98" s="114" t="n"/>
      <c r="I98" s="119" t="inlineStr">
        <is>
          <t>https://www.ebay.com/sch/i.html?_nkw=Pikachu+Shiny+Paldean+Fates+232/091+PSA+10&amp;LH_Sold=1&amp;LH_Complete=1&amp;_sop=13</t>
        </is>
      </c>
    </row>
    <row r="99" ht="15" customHeight="1" s="81">
      <c r="B99" s="152" t="inlineStr">
        <is>
          <t>M059</t>
        </is>
      </c>
      <c r="C99" s="153" t="inlineStr">
        <is>
          <t>Greninja ex SIR</t>
        </is>
      </c>
      <c r="D99" s="113" t="n"/>
      <c r="E99" s="113" t="n"/>
      <c r="F99" s="113" t="n"/>
      <c r="G99" s="154" t="n"/>
      <c r="H99" s="114" t="n"/>
      <c r="I99" s="119" t="inlineStr">
        <is>
          <t>https://www.ebay.com/sch/i.html?_nkw=Greninja+ex+SIR+Twilight+Masquerade+232/167+PSA+10&amp;LH_Sold=1&amp;LH_Complete=1&amp;_sop=13</t>
        </is>
      </c>
    </row>
    <row r="100" ht="15" customHeight="1" s="81">
      <c r="B100" s="152" t="inlineStr">
        <is>
          <t>M060</t>
        </is>
      </c>
      <c r="C100" s="153" t="inlineStr">
        <is>
          <t>Carmine SIR</t>
        </is>
      </c>
      <c r="D100" s="113" t="n"/>
      <c r="E100" s="113" t="n"/>
      <c r="F100" s="113" t="n"/>
      <c r="G100" s="154" t="n"/>
      <c r="H100" s="114" t="n"/>
      <c r="I100" s="119" t="inlineStr">
        <is>
          <t>https://www.ebay.com/sch/i.html?_nkw=Carmine+SIR+Twilight+Masquerade+229/167+PSA+10&amp;LH_Sold=1&amp;LH_Complete=1&amp;_sop=13</t>
        </is>
      </c>
    </row>
    <row r="101" ht="15" customHeight="1" s="81">
      <c r="B101" s="152" t="inlineStr">
        <is>
          <t>M061</t>
        </is>
      </c>
      <c r="C101" s="153" t="inlineStr">
        <is>
          <t>Hoothoot SIR</t>
        </is>
      </c>
      <c r="D101" s="113" t="n"/>
      <c r="E101" s="113" t="n"/>
      <c r="F101" s="113" t="n"/>
      <c r="G101" s="154" t="n"/>
      <c r="H101" s="114" t="n"/>
      <c r="I101" s="119" t="inlineStr">
        <is>
          <t>https://www.ebay.com/sch/i.html?_nkw=Hoothoot+SIR+Twilight+Masquerade+230/167+PSA+10&amp;LH_Sold=1&amp;LH_Complete=1&amp;_sop=13</t>
        </is>
      </c>
    </row>
    <row r="102" ht="15" customHeight="1" s="81">
      <c r="B102" s="152" t="inlineStr">
        <is>
          <t>M062</t>
        </is>
      </c>
      <c r="C102" s="153" t="inlineStr">
        <is>
          <t>Pecharunt ex SIR</t>
        </is>
      </c>
      <c r="D102" s="113" t="n"/>
      <c r="E102" s="113" t="n"/>
      <c r="F102" s="113" t="n"/>
      <c r="G102" s="154" t="n"/>
      <c r="H102" s="114" t="n"/>
      <c r="I102" s="119" t="inlineStr">
        <is>
          <t>https://www.ebay.com/sch/i.html?_nkw=Pecharunt+ex+SIR+Shrouded+Fable+086/064+PSA+10&amp;LH_Sold=1&amp;LH_Complete=1&amp;_sop=13</t>
        </is>
      </c>
    </row>
    <row r="103" ht="15" customHeight="1" s="81">
      <c r="B103" s="152" t="inlineStr">
        <is>
          <t>M063</t>
        </is>
      </c>
      <c r="C103" s="153" t="inlineStr">
        <is>
          <t>Fezandipiti ex Alt Art</t>
        </is>
      </c>
      <c r="D103" s="113" t="n"/>
      <c r="E103" s="113" t="n"/>
      <c r="F103" s="113" t="n"/>
      <c r="G103" s="154" t="n"/>
      <c r="H103" s="114" t="n"/>
      <c r="I103" s="119" t="inlineStr">
        <is>
          <t>https://www.ebay.com/sch/i.html?_nkw=Fezandipiti+ex+Alt+Art+Shrouded+Fable+071/064+PSA+10&amp;LH_Sold=1&amp;LH_Complete=1&amp;_sop=13</t>
        </is>
      </c>
    </row>
    <row r="104" ht="15" customHeight="1" s="81">
      <c r="B104" s="152" t="inlineStr">
        <is>
          <t>M064</t>
        </is>
      </c>
      <c r="C104" s="153" t="inlineStr">
        <is>
          <t>Terapagos ex SIR</t>
        </is>
      </c>
      <c r="D104" s="113" t="n"/>
      <c r="E104" s="113" t="n"/>
      <c r="F104" s="113" t="n"/>
      <c r="G104" s="154" t="n"/>
      <c r="H104" s="114" t="n"/>
      <c r="I104" s="119" t="inlineStr">
        <is>
          <t>https://www.ebay.com/sch/i.html?_nkw=Terapagos+ex+SIR+Stellar+Crown+176/142+PSA+10&amp;LH_Sold=1&amp;LH_Complete=1&amp;_sop=13</t>
        </is>
      </c>
    </row>
    <row r="105" ht="15" customHeight="1" s="81">
      <c r="B105" s="152" t="inlineStr">
        <is>
          <t>M065</t>
        </is>
      </c>
      <c r="C105" s="153" t="inlineStr">
        <is>
          <t>Lacey SIR</t>
        </is>
      </c>
      <c r="D105" s="113" t="n"/>
      <c r="E105" s="113" t="n"/>
      <c r="F105" s="113" t="n"/>
      <c r="G105" s="154" t="n"/>
      <c r="H105" s="114" t="n"/>
      <c r="I105" s="119" t="inlineStr">
        <is>
          <t>https://www.ebay.com/sch/i.html?_nkw=Lacey+SIR+Stellar+Crown+171/142+PSA+10&amp;LH_Sold=1&amp;LH_Complete=1&amp;_sop=13</t>
        </is>
      </c>
    </row>
    <row r="106" ht="15" customHeight="1" s="81">
      <c r="B106" s="152" t="inlineStr">
        <is>
          <t>M066</t>
        </is>
      </c>
      <c r="C106" s="153" t="inlineStr">
        <is>
          <t>Pikachu ex Alt Art</t>
        </is>
      </c>
      <c r="D106" s="113" t="n"/>
      <c r="E106" s="113" t="n"/>
      <c r="F106" s="113" t="n"/>
      <c r="G106" s="154" t="n"/>
      <c r="H106" s="114" t="n"/>
      <c r="I106" s="119" t="inlineStr">
        <is>
          <t>https://www.ebay.com/sch/i.html?_nkw=Pikachu+ex+Alt+Art+Surging+Sparks+238/191+PSA+10&amp;LH_Sold=1&amp;LH_Complete=1&amp;_sop=13</t>
        </is>
      </c>
    </row>
    <row r="107" ht="15" customHeight="1" s="81">
      <c r="B107" s="152" t="inlineStr">
        <is>
          <t>M067</t>
        </is>
      </c>
      <c r="C107" s="153" t="inlineStr">
        <is>
          <t>Latias ex Alt Art</t>
        </is>
      </c>
      <c r="D107" s="113" t="n"/>
      <c r="E107" s="113" t="n"/>
      <c r="F107" s="113" t="n"/>
      <c r="G107" s="154" t="n"/>
      <c r="H107" s="114" t="n"/>
      <c r="I107" s="119" t="inlineStr">
        <is>
          <t>https://www.ebay.com/sch/i.html?_nkw=Latias+ex+Alt+Art+Surging+Sparks+239/191+PSA+10&amp;LH_Sold=1&amp;LH_Complete=1&amp;_sop=13</t>
        </is>
      </c>
    </row>
    <row r="108" ht="15" customHeight="1" s="81">
      <c r="B108" s="152" t="inlineStr">
        <is>
          <t>M068</t>
        </is>
      </c>
      <c r="C108" s="153" t="inlineStr">
        <is>
          <t>Hydreigon ex Alt Art</t>
        </is>
      </c>
      <c r="D108" s="113" t="n"/>
      <c r="E108" s="113" t="n"/>
      <c r="F108" s="113" t="n"/>
      <c r="G108" s="154" t="n"/>
      <c r="H108" s="114" t="n"/>
      <c r="I108" s="119" t="inlineStr">
        <is>
          <t>https://www.ebay.com/sch/i.html?_nkw=Hydreigon+ex+Alt+Art+Surging+Sparks+240/191+PSA+10&amp;LH_Sold=1&amp;LH_Complete=1&amp;_sop=13</t>
        </is>
      </c>
    </row>
    <row r="109" ht="15" customHeight="1" s="81">
      <c r="B109" s="152" t="inlineStr">
        <is>
          <t>M069</t>
        </is>
      </c>
      <c r="C109" s="153" t="inlineStr">
        <is>
          <t>Umbreon ex SIR</t>
        </is>
      </c>
      <c r="D109" s="113" t="n"/>
      <c r="E109" s="113" t="n"/>
      <c r="F109" s="113" t="n"/>
      <c r="G109" s="154" t="n"/>
      <c r="H109" s="114" t="n"/>
      <c r="I109" s="119" t="inlineStr">
        <is>
          <t>https://www.ebay.com/sch/i.html?_nkw=Umbreon+ex+SIR+Prismatic+Evolutions+161/131+PSA+10&amp;LH_Sold=1&amp;LH_Complete=1&amp;_sop=13</t>
        </is>
      </c>
    </row>
    <row r="110" ht="15" customHeight="1" s="81">
      <c r="B110" s="152" t="inlineStr">
        <is>
          <t>M070</t>
        </is>
      </c>
      <c r="C110" s="153" t="inlineStr">
        <is>
          <t>Umbreon ex SIR</t>
        </is>
      </c>
      <c r="D110" s="113" t="n"/>
      <c r="E110" s="113" t="n"/>
      <c r="F110" s="113" t="n"/>
      <c r="G110" s="154" t="n"/>
      <c r="H110" s="114" t="n"/>
      <c r="I110" s="119" t="inlineStr">
        <is>
          <t>https://www.ebay.com/sch/i.html?_nkw=Umbreon+ex+SIR+Prismatic+Evolutions+161/131+Raw+NM&amp;LH_Sold=1&amp;LH_Complete=1&amp;_sop=13</t>
        </is>
      </c>
    </row>
    <row r="111" ht="15" customHeight="1" s="81">
      <c r="B111" s="152" t="inlineStr">
        <is>
          <t>M071</t>
        </is>
      </c>
      <c r="C111" s="153" t="inlineStr">
        <is>
          <t>Sylveon ex SIR</t>
        </is>
      </c>
      <c r="D111" s="113" t="n"/>
      <c r="E111" s="113" t="n"/>
      <c r="F111" s="113" t="n"/>
      <c r="G111" s="154" t="n"/>
      <c r="H111" s="114" t="n"/>
      <c r="I111" s="119" t="inlineStr">
        <is>
          <t>https://www.ebay.com/sch/i.html?_nkw=Sylveon+ex+SIR+Prismatic+Evolutions+156/131+PSA+10&amp;LH_Sold=1&amp;LH_Complete=1&amp;_sop=13</t>
        </is>
      </c>
    </row>
    <row r="112" ht="15" customHeight="1" s="81">
      <c r="B112" s="152" t="inlineStr">
        <is>
          <t>M072</t>
        </is>
      </c>
      <c r="C112" s="153" t="inlineStr">
        <is>
          <t>Espeon ex SIR</t>
        </is>
      </c>
      <c r="D112" s="113" t="n"/>
      <c r="E112" s="113" t="n"/>
      <c r="F112" s="113" t="n"/>
      <c r="G112" s="154" t="n"/>
      <c r="H112" s="114" t="n"/>
      <c r="I112" s="119" t="inlineStr">
        <is>
          <t>https://www.ebay.com/sch/i.html?_nkw=Espeon+ex+SIR+Prismatic+Evolutions+155/131+PSA+10&amp;LH_Sold=1&amp;LH_Complete=1&amp;_sop=13</t>
        </is>
      </c>
    </row>
    <row r="113" ht="15" customHeight="1" s="81">
      <c r="B113" s="152" t="inlineStr">
        <is>
          <t>M073</t>
        </is>
      </c>
      <c r="C113" s="153" t="inlineStr">
        <is>
          <t>Vaporeon ex SIR</t>
        </is>
      </c>
      <c r="D113" s="113" t="n"/>
      <c r="E113" s="113" t="n"/>
      <c r="F113" s="113" t="n"/>
      <c r="G113" s="154" t="n"/>
      <c r="H113" s="114" t="n"/>
      <c r="I113" s="119" t="inlineStr">
        <is>
          <t>https://www.ebay.com/sch/i.html?_nkw=Vaporeon+ex+SIR+Prismatic+Evolutions+159/131+PSA+10&amp;LH_Sold=1&amp;LH_Complete=1&amp;_sop=13</t>
        </is>
      </c>
    </row>
    <row r="114" ht="15" customHeight="1" s="81">
      <c r="B114" s="152" t="inlineStr">
        <is>
          <t>M074</t>
        </is>
      </c>
      <c r="C114" s="153" t="inlineStr">
        <is>
          <t>Glaceon ex SIR</t>
        </is>
      </c>
      <c r="D114" s="113" t="n"/>
      <c r="E114" s="113" t="n"/>
      <c r="F114" s="113" t="n"/>
      <c r="G114" s="154" t="n"/>
      <c r="H114" s="114" t="n"/>
      <c r="I114" s="119" t="inlineStr">
        <is>
          <t>https://www.ebay.com/sch/i.html?_nkw=Glaceon+ex+SIR+Prismatic+Evolutions+158/131+PSA+10&amp;LH_Sold=1&amp;LH_Complete=1&amp;_sop=13</t>
        </is>
      </c>
    </row>
    <row r="115" ht="15" customHeight="1" s="81">
      <c r="B115" s="152" t="inlineStr">
        <is>
          <t>M075</t>
        </is>
      </c>
      <c r="C115" s="153" t="inlineStr">
        <is>
          <t>Leafeon ex SIR</t>
        </is>
      </c>
      <c r="D115" s="113" t="n"/>
      <c r="E115" s="113" t="n"/>
      <c r="F115" s="113" t="n"/>
      <c r="G115" s="154" t="n"/>
      <c r="H115" s="114" t="n"/>
      <c r="I115" s="119" t="inlineStr">
        <is>
          <t>https://www.ebay.com/sch/i.html?_nkw=Leafeon+ex+SIR+Prismatic+Evolutions+144/131+PSA+10&amp;LH_Sold=1&amp;LH_Complete=1&amp;_sop=13</t>
        </is>
      </c>
    </row>
    <row r="116" ht="15" customHeight="1" s="81">
      <c r="B116" s="152" t="inlineStr">
        <is>
          <t>M076</t>
        </is>
      </c>
      <c r="C116" s="153" t="inlineStr">
        <is>
          <t>Marnie SIR</t>
        </is>
      </c>
      <c r="D116" s="113" t="n"/>
      <c r="E116" s="113" t="n"/>
      <c r="F116" s="113" t="n"/>
      <c r="G116" s="154" t="n"/>
      <c r="H116" s="114" t="n"/>
      <c r="I116" s="119" t="inlineStr">
        <is>
          <t>https://www.ebay.com/sch/i.html?_nkw=Marnie+SIR+Journey+Together+180/159+PSA+10&amp;LH_Sold=1&amp;LH_Complete=1&amp;_sop=13</t>
        </is>
      </c>
    </row>
    <row r="117" ht="15" customHeight="1" s="81">
      <c r="B117" s="152" t="inlineStr">
        <is>
          <t>M077</t>
        </is>
      </c>
      <c r="C117" s="153" t="inlineStr">
        <is>
          <t>N's Zoroark ex Alt</t>
        </is>
      </c>
      <c r="D117" s="113" t="n"/>
      <c r="E117" s="113" t="n"/>
      <c r="F117" s="113" t="n"/>
      <c r="G117" s="154" t="n"/>
      <c r="H117" s="114" t="n"/>
      <c r="I117" s="119" t="inlineStr">
        <is>
          <t>https://www.ebay.com/sch/i.html?_nkw=N's+Zoroark+ex+Alt+Journey+Together+175/159+PSA+10&amp;LH_Sold=1&amp;LH_Complete=1&amp;_sop=13</t>
        </is>
      </c>
    </row>
    <row r="118" ht="15" customHeight="1" s="81">
      <c r="B118" s="152" t="inlineStr">
        <is>
          <t>M078</t>
        </is>
      </c>
      <c r="C118" s="153" t="inlineStr">
        <is>
          <t>Lillie's Determination SIR</t>
        </is>
      </c>
      <c r="D118" s="113" t="n"/>
      <c r="E118" s="113" t="n"/>
      <c r="F118" s="113" t="n"/>
      <c r="G118" s="154" t="n"/>
      <c r="H118" s="114" t="n"/>
      <c r="I118" s="119" t="inlineStr">
        <is>
          <t>https://www.ebay.com/sch/i.html?_nkw=Lillie's+Determination+SIR+Mega+Evolution+(ME01)+184/132+PSA+10&amp;LH_Sold=1&amp;LH_Complete=1&amp;_sop=13</t>
        </is>
      </c>
    </row>
    <row r="119" ht="15" customHeight="1" s="81">
      <c r="B119" s="152" t="inlineStr">
        <is>
          <t>M079</t>
        </is>
      </c>
      <c r="C119" s="153" t="inlineStr">
        <is>
          <t>Lillie's Determination SIR</t>
        </is>
      </c>
      <c r="D119" s="113" t="n"/>
      <c r="E119" s="113" t="n"/>
      <c r="F119" s="113" t="n"/>
      <c r="G119" s="154" t="n"/>
      <c r="H119" s="114" t="n"/>
      <c r="I119" s="119" t="inlineStr">
        <is>
          <t>https://www.ebay.com/sch/i.html?_nkw=Lillie's+Determination+SIR+Mega+Evolution+(ME01)+184/132+Raw+NM&amp;LH_Sold=1&amp;LH_Complete=1&amp;_sop=13</t>
        </is>
      </c>
    </row>
    <row r="120" ht="15" customHeight="1" s="81">
      <c r="B120" s="152" t="inlineStr">
        <is>
          <t>M080</t>
        </is>
      </c>
      <c r="C120" s="153" t="inlineStr">
        <is>
          <t>Mega Charizard X ex SIR</t>
        </is>
      </c>
      <c r="D120" s="113" t="n"/>
      <c r="E120" s="113" t="n"/>
      <c r="F120" s="113" t="n"/>
      <c r="G120" s="154" t="n"/>
      <c r="H120" s="114" t="n"/>
      <c r="I120" s="119" t="inlineStr">
        <is>
          <t>https://www.ebay.com/sch/i.html?_nkw=Mega+Charizard+X+ex+SIR+Mega+Evolution+(ME01)+180/132+PSA+10&amp;LH_Sold=1&amp;LH_Complete=1&amp;_sop=13</t>
        </is>
      </c>
    </row>
    <row r="121" ht="15" customHeight="1" s="81">
      <c r="B121" s="152" t="inlineStr">
        <is>
          <t>M081</t>
        </is>
      </c>
      <c r="C121" s="153" t="inlineStr">
        <is>
          <t>Mega Gengar ex SIR</t>
        </is>
      </c>
      <c r="D121" s="113" t="n"/>
      <c r="E121" s="113" t="n"/>
      <c r="F121" s="113" t="n"/>
      <c r="G121" s="154" t="n"/>
      <c r="H121" s="114" t="n"/>
      <c r="I121" s="119" t="inlineStr">
        <is>
          <t>https://www.ebay.com/sch/i.html?_nkw=Mega+Gengar+ex+SIR+Ascended+Heroes+284/217+PSA+10&amp;LH_Sold=1&amp;LH_Complete=1&amp;_sop=13</t>
        </is>
      </c>
    </row>
    <row r="122" ht="15" customHeight="1" s="81">
      <c r="B122" s="152" t="inlineStr">
        <is>
          <t>M082</t>
        </is>
      </c>
      <c r="C122" s="153" t="inlineStr">
        <is>
          <t>Mega Gengar ex SIR</t>
        </is>
      </c>
      <c r="D122" s="113" t="n"/>
      <c r="E122" s="113" t="n"/>
      <c r="F122" s="113" t="n"/>
      <c r="G122" s="154" t="n"/>
      <c r="H122" s="114" t="n"/>
      <c r="I122" s="119" t="inlineStr">
        <is>
          <t>https://www.ebay.com/sch/i.html?_nkw=Mega+Gengar+ex+SIR+Ascended+Heroes+284/217+Raw+NM&amp;LH_Sold=1&amp;LH_Complete=1&amp;_sop=13</t>
        </is>
      </c>
    </row>
    <row r="123" ht="15" customHeight="1" s="81">
      <c r="B123" s="152" t="inlineStr">
        <is>
          <t>M083</t>
        </is>
      </c>
      <c r="C123" s="153" t="inlineStr">
        <is>
          <t>Mega Gengar ex MAR</t>
        </is>
      </c>
      <c r="D123" s="113" t="n"/>
      <c r="E123" s="113" t="n"/>
      <c r="F123" s="113" t="n"/>
      <c r="G123" s="154" t="n"/>
      <c r="H123" s="114" t="n"/>
      <c r="I123" s="119" t="inlineStr">
        <is>
          <t>https://www.ebay.com/sch/i.html?_nkw=Mega+Gengar+ex+MAR+Ascended+Heroes+269/217+PSA+10&amp;LH_Sold=1&amp;LH_Complete=1&amp;_sop=13</t>
        </is>
      </c>
    </row>
    <row r="124" ht="15" customHeight="1" s="81">
      <c r="B124" s="152" t="inlineStr">
        <is>
          <t>M084</t>
        </is>
      </c>
      <c r="C124" s="153" t="inlineStr">
        <is>
          <t>Mega Rayquaza ex SIR</t>
        </is>
      </c>
      <c r="D124" s="113" t="n"/>
      <c r="E124" s="113" t="n"/>
      <c r="F124" s="113" t="n"/>
      <c r="G124" s="154" t="n"/>
      <c r="H124" s="114" t="n"/>
      <c r="I124" s="119" t="inlineStr">
        <is>
          <t>https://www.ebay.com/sch/i.html?_nkw=Mega+Rayquaza+ex+SIR+Ascended+Heroes+286/217+PSA+10&amp;LH_Sold=1&amp;LH_Complete=1&amp;_sop=13</t>
        </is>
      </c>
    </row>
    <row r="125" ht="15" customHeight="1" s="81">
      <c r="B125" s="152" t="inlineStr">
        <is>
          <t>M085</t>
        </is>
      </c>
      <c r="C125" s="153" t="inlineStr">
        <is>
          <t>Mega Lucario ex SIR</t>
        </is>
      </c>
      <c r="D125" s="113" t="n"/>
      <c r="E125" s="113" t="n"/>
      <c r="F125" s="113" t="n"/>
      <c r="G125" s="154" t="n"/>
      <c r="H125" s="114" t="n"/>
      <c r="I125" s="119" t="inlineStr">
        <is>
          <t>https://www.ebay.com/sch/i.html?_nkw=Mega+Lucario+ex+SIR+Ascended+Heroes+285/217+PSA+10&amp;LH_Sold=1&amp;LH_Complete=1&amp;_sop=13</t>
        </is>
      </c>
    </row>
    <row r="126" ht="15" customHeight="1" s="81">
      <c r="B126" s="152" t="inlineStr">
        <is>
          <t>M086</t>
        </is>
      </c>
      <c r="C126" s="153" t="inlineStr">
        <is>
          <t>Mega Lopunny ex SIR</t>
        </is>
      </c>
      <c r="D126" s="113" t="n"/>
      <c r="E126" s="113" t="n"/>
      <c r="F126" s="113" t="n"/>
      <c r="G126" s="154" t="n"/>
      <c r="H126" s="114" t="n"/>
      <c r="I126" s="119" t="inlineStr">
        <is>
          <t>https://www.ebay.com/sch/i.html?_nkw=Mega+Lopunny+ex+SIR+Ascended+Heroes+283/217+PSA+10&amp;LH_Sold=1&amp;LH_Complete=1&amp;_sop=13</t>
        </is>
      </c>
    </row>
    <row r="127" ht="15" customHeight="1" s="81">
      <c r="B127" s="152" t="inlineStr">
        <is>
          <t>M087</t>
        </is>
      </c>
      <c r="C127" s="153" t="inlineStr">
        <is>
          <t>Mega Charizard Y ex SIR</t>
        </is>
      </c>
      <c r="D127" s="113" t="n"/>
      <c r="E127" s="113" t="n"/>
      <c r="F127" s="113" t="n"/>
      <c r="G127" s="154" t="n"/>
      <c r="H127" s="114" t="n"/>
      <c r="I127" s="119" t="inlineStr">
        <is>
          <t>https://www.ebay.com/sch/i.html?_nkw=Mega+Charizard+Y+ex+SIR+Ascended+Heroes+288/217+Raw+NM&amp;LH_Sold=1&amp;LH_Complete=1&amp;_sop=13</t>
        </is>
      </c>
    </row>
    <row r="128" ht="15" customHeight="1" s="81">
      <c r="B128" s="152" t="inlineStr">
        <is>
          <t>M088</t>
        </is>
      </c>
      <c r="C128" s="153" t="inlineStr">
        <is>
          <t>Mega Charizard Y ex SIR</t>
        </is>
      </c>
      <c r="D128" s="113" t="n"/>
      <c r="E128" s="113" t="n"/>
      <c r="F128" s="113" t="n"/>
      <c r="G128" s="154" t="n"/>
      <c r="H128" s="114" t="n"/>
      <c r="I128" s="119" t="inlineStr">
        <is>
          <t>https://www.ebay.com/sch/i.html?_nkw=Mega+Charizard+Y+ex+SIR+Ascended+Heroes+288/217+PSA+10&amp;LH_Sold=1&amp;LH_Complete=1&amp;_sop=13</t>
        </is>
      </c>
    </row>
    <row r="129" ht="15" customHeight="1" s="81">
      <c r="B129" s="152" t="inlineStr">
        <is>
          <t>M089</t>
        </is>
      </c>
      <c r="C129" s="153" t="inlineStr">
        <is>
          <t>Van Gogh Pikachu</t>
        </is>
      </c>
      <c r="D129" s="113" t="n"/>
      <c r="E129" s="113" t="n"/>
      <c r="F129" s="113" t="n"/>
      <c r="G129" s="154" t="n"/>
      <c r="H129" s="114" t="n"/>
      <c r="I129" s="119" t="inlineStr">
        <is>
          <t>https://www.ebay.com/sch/i.html?_nkw=Van+Gogh+Pikachu+Van+Gogh+Museum+Promo+085+PSA+10&amp;LH_Sold=1&amp;LH_Complete=1&amp;_sop=13</t>
        </is>
      </c>
    </row>
    <row r="130" ht="15" customHeight="1" s="81">
      <c r="B130" s="152" t="inlineStr">
        <is>
          <t>M090</t>
        </is>
      </c>
      <c r="C130" s="153" t="inlineStr">
        <is>
          <t>Van Gogh Pikachu</t>
        </is>
      </c>
      <c r="D130" s="113" t="n"/>
      <c r="E130" s="113" t="n"/>
      <c r="F130" s="113" t="n"/>
      <c r="G130" s="154" t="n"/>
      <c r="H130" s="114" t="n"/>
      <c r="I130" s="119" t="inlineStr">
        <is>
          <t>https://www.ebay.com/sch/i.html?_nkw=Van+Gogh+Pikachu+Van+Gogh+Museum+Promo+085+Raw+NM&amp;LH_Sold=1&amp;LH_Complete=1&amp;_sop=13</t>
        </is>
      </c>
    </row>
    <row r="131" ht="15" customHeight="1" s="81">
      <c r="B131" s="152" t="inlineStr">
        <is>
          <t>M091</t>
        </is>
      </c>
      <c r="C131" s="153" t="inlineStr">
        <is>
          <t>Pokemon Day 2026 Pikachu Promo</t>
        </is>
      </c>
      <c r="D131" s="113" t="n"/>
      <c r="E131" s="113" t="n"/>
      <c r="F131" s="113" t="n"/>
      <c r="G131" s="154" t="n"/>
      <c r="H131" s="114" t="n"/>
      <c r="I131" s="119" t="inlineStr">
        <is>
          <t>https://www.ebay.com/sch/i.html?_nkw=Pokemon+Day+2026+Pikachu+Promo+30th+Anniversary+Promo+001/030+PSA+10&amp;LH_Sold=1&amp;LH_Complete=1&amp;_sop=13</t>
        </is>
      </c>
    </row>
    <row r="132" ht="15" customHeight="1" s="81">
      <c r="B132" s="152" t="inlineStr">
        <is>
          <t>M092</t>
        </is>
      </c>
      <c r="C132" s="153" t="inlineStr">
        <is>
          <t>Birthday Pikachu Promo</t>
        </is>
      </c>
      <c r="D132" s="113" t="n"/>
      <c r="E132" s="113" t="n"/>
      <c r="F132" s="113" t="n"/>
      <c r="G132" s="154" t="n"/>
      <c r="H132" s="114" t="n"/>
      <c r="I132" s="119" t="inlineStr">
        <is>
          <t>https://www.ebay.com/sch/i.html?_nkw=Birthday+Pikachu+Promo+Black+Star+Promo+#24+24+PSA+10&amp;LH_Sold=1&amp;LH_Complete=1&amp;_sop=13</t>
        </is>
      </c>
    </row>
    <row r="133" ht="15" customHeight="1" s="81">
      <c r="B133" s="152" t="inlineStr">
        <is>
          <t>M093</t>
        </is>
      </c>
      <c r="C133" s="153" t="inlineStr">
        <is>
          <t>Tropical Wind Trainer</t>
        </is>
      </c>
      <c r="D133" s="113" t="n"/>
      <c r="E133" s="113" t="n"/>
      <c r="F133" s="113" t="n"/>
      <c r="G133" s="154" t="n"/>
      <c r="H133" s="114" t="n"/>
      <c r="I133" s="119" t="inlineStr">
        <is>
          <t>https://www.ebay.com/sch/i.html?_nkw=Tropical+Wind+Trainer+WCS+2010+Promo+PSA+10&amp;LH_Sold=1&amp;LH_Complete=1&amp;_sop=13</t>
        </is>
      </c>
    </row>
    <row r="134" ht="15" customHeight="1" s="81">
      <c r="B134" s="152" t="inlineStr">
        <is>
          <t>S001</t>
        </is>
      </c>
      <c r="C134" s="153" t="inlineStr">
        <is>
          <t>Evolving Skies Booster Box</t>
        </is>
      </c>
      <c r="D134" s="113" t="n"/>
      <c r="E134" s="113" t="n"/>
      <c r="F134" s="113" t="n"/>
      <c r="G134" s="154" t="n"/>
      <c r="H134" s="114" t="n"/>
      <c r="I134" s="119" t="inlineStr">
        <is>
          <t>https://www.ebay.com/sch/i.html?_nkw=Evolving+Skies+Booster+Box+Evolving+Skies+Box+Sealed+(36+packs)&amp;LH_Sold=1&amp;LH_Complete=1&amp;_sop=13</t>
        </is>
      </c>
    </row>
    <row r="135" ht="15" customHeight="1" s="81">
      <c r="B135" s="152" t="inlineStr">
        <is>
          <t>S002</t>
        </is>
      </c>
      <c r="C135" s="153" t="inlineStr">
        <is>
          <t>Evolving Skies ETB</t>
        </is>
      </c>
      <c r="D135" s="113" t="n"/>
      <c r="E135" s="113" t="n"/>
      <c r="F135" s="113" t="n"/>
      <c r="G135" s="154" t="n"/>
      <c r="H135" s="114" t="n"/>
      <c r="I135" s="119" t="inlineStr">
        <is>
          <t>https://www.ebay.com/sch/i.html?_nkw=Evolving+Skies+ETB+Evolving+Skies+ETB+Sealed&amp;LH_Sold=1&amp;LH_Complete=1&amp;_sop=13</t>
        </is>
      </c>
    </row>
    <row r="136" ht="15" customHeight="1" s="81">
      <c r="B136" s="152" t="inlineStr">
        <is>
          <t>S003</t>
        </is>
      </c>
      <c r="C136" s="153" t="inlineStr">
        <is>
          <t>Evolving Skies Booster Bundle</t>
        </is>
      </c>
      <c r="D136" s="113" t="n"/>
      <c r="E136" s="113" t="n"/>
      <c r="F136" s="113" t="n"/>
      <c r="G136" s="154" t="n"/>
      <c r="H136" s="114" t="n"/>
      <c r="I136" s="119" t="inlineStr">
        <is>
          <t>https://www.ebay.com/sch/i.html?_nkw=Evolving+Skies+Booster+Bundle+Evolving+Skies+Bundle+Sealed+(6+packs)&amp;LH_Sold=1&amp;LH_Complete=1&amp;_sop=13</t>
        </is>
      </c>
    </row>
    <row r="137" ht="15" customHeight="1" s="81">
      <c r="B137" s="152" t="inlineStr">
        <is>
          <t>S004</t>
        </is>
      </c>
      <c r="C137" s="153" t="inlineStr">
        <is>
          <t>Crown Zenith ETB</t>
        </is>
      </c>
      <c r="D137" s="113" t="n"/>
      <c r="E137" s="113" t="n"/>
      <c r="F137" s="113" t="n"/>
      <c r="G137" s="154" t="n"/>
      <c r="H137" s="114" t="n"/>
      <c r="I137" s="119" t="inlineStr">
        <is>
          <t>https://www.ebay.com/sch/i.html?_nkw=Crown+Zenith+ETB+Crown+Zenith+ETB+Sealed&amp;LH_Sold=1&amp;LH_Complete=1&amp;_sop=13</t>
        </is>
      </c>
    </row>
    <row r="138" ht="15" customHeight="1" s="81">
      <c r="B138" s="152" t="inlineStr">
        <is>
          <t>S005</t>
        </is>
      </c>
      <c r="C138" s="153" t="inlineStr">
        <is>
          <t>Crown Zenith Premium Playmat Collection</t>
        </is>
      </c>
      <c r="D138" s="113" t="n"/>
      <c r="E138" s="113" t="n"/>
      <c r="F138" s="113" t="n"/>
      <c r="G138" s="154" t="n"/>
      <c r="H138" s="114" t="n"/>
      <c r="I138" s="119" t="inlineStr">
        <is>
          <t>https://www.ebay.com/sch/i.html?_nkw=Crown+Zenith+Premium+Playmat+Collection+Crown+Zenith+PPC+Sealed&amp;LH_Sold=1&amp;LH_Complete=1&amp;_sop=13</t>
        </is>
      </c>
    </row>
    <row r="139" ht="15" customHeight="1" s="81">
      <c r="B139" s="152" t="inlineStr">
        <is>
          <t>S006</t>
        </is>
      </c>
      <c r="C139" s="153" t="inlineStr">
        <is>
          <t>Brilliant Stars BB</t>
        </is>
      </c>
      <c r="D139" s="113" t="n"/>
      <c r="E139" s="113" t="n"/>
      <c r="F139" s="113" t="n"/>
      <c r="G139" s="154" t="n"/>
      <c r="H139" s="114" t="n"/>
      <c r="I139" s="119" t="inlineStr">
        <is>
          <t>https://www.ebay.com/sch/i.html?_nkw=Brilliant+Stars+BB+Brilliant+Stars+Box+Sealed+(36+packs)&amp;LH_Sold=1&amp;LH_Complete=1&amp;_sop=13</t>
        </is>
      </c>
    </row>
    <row r="140" ht="15" customHeight="1" s="81">
      <c r="B140" s="152" t="inlineStr">
        <is>
          <t>S007</t>
        </is>
      </c>
      <c r="C140" s="153" t="inlineStr">
        <is>
          <t>Astral Radiance BB</t>
        </is>
      </c>
      <c r="D140" s="113" t="n"/>
      <c r="E140" s="113" t="n"/>
      <c r="F140" s="113" t="n"/>
      <c r="G140" s="154" t="n"/>
      <c r="H140" s="114" t="n"/>
      <c r="I140" s="119" t="inlineStr">
        <is>
          <t>https://www.ebay.com/sch/i.html?_nkw=Astral+Radiance+BB+Astral+Radiance+Box+Sealed+(36+packs)&amp;LH_Sold=1&amp;LH_Complete=1&amp;_sop=13</t>
        </is>
      </c>
    </row>
    <row r="141" ht="15" customHeight="1" s="81">
      <c r="B141" s="152" t="inlineStr">
        <is>
          <t>S008</t>
        </is>
      </c>
      <c r="C141" s="153" t="inlineStr">
        <is>
          <t>Lost Origin BB</t>
        </is>
      </c>
      <c r="D141" s="113" t="n"/>
      <c r="E141" s="113" t="n"/>
      <c r="F141" s="113" t="n"/>
      <c r="G141" s="154" t="n"/>
      <c r="H141" s="114" t="n"/>
      <c r="I141" s="119" t="inlineStr">
        <is>
          <t>https://www.ebay.com/sch/i.html?_nkw=Lost+Origin+BB+Lost+Origin+Box+Sealed+(36+packs)&amp;LH_Sold=1&amp;LH_Complete=1&amp;_sop=13</t>
        </is>
      </c>
    </row>
    <row r="142" ht="15" customHeight="1" s="81">
      <c r="B142" s="152" t="inlineStr">
        <is>
          <t>S009</t>
        </is>
      </c>
      <c r="C142" s="153" t="inlineStr">
        <is>
          <t>Silver Tempest BB</t>
        </is>
      </c>
      <c r="D142" s="113" t="n"/>
      <c r="E142" s="113" t="n"/>
      <c r="F142" s="113" t="n"/>
      <c r="G142" s="154" t="n"/>
      <c r="H142" s="114" t="n"/>
      <c r="I142" s="119" t="inlineStr">
        <is>
          <t>https://www.ebay.com/sch/i.html?_nkw=Silver+Tempest+BB+Silver+Tempest+Box+Sealed+(36+packs)&amp;LH_Sold=1&amp;LH_Complete=1&amp;_sop=13</t>
        </is>
      </c>
    </row>
    <row r="143" ht="15" customHeight="1" s="81">
      <c r="B143" s="152" t="inlineStr">
        <is>
          <t>S010</t>
        </is>
      </c>
      <c r="C143" s="153" t="inlineStr">
        <is>
          <t>SV 151 Booster Bundle</t>
        </is>
      </c>
      <c r="D143" s="113" t="n"/>
      <c r="E143" s="113" t="n"/>
      <c r="F143" s="113" t="n"/>
      <c r="G143" s="154" t="n"/>
      <c r="H143" s="114" t="n"/>
      <c r="I143" s="119" t="inlineStr">
        <is>
          <t>https://www.ebay.com/sch/i.html?_nkw=SV+151+Booster+Bundle+Scarlet++Violet+151+Bundle+Sealed+(6+packs)&amp;LH_Sold=1&amp;LH_Complete=1&amp;_sop=13</t>
        </is>
      </c>
    </row>
    <row r="144" ht="15" customHeight="1" s="81">
      <c r="B144" s="152" t="inlineStr">
        <is>
          <t>S011</t>
        </is>
      </c>
      <c r="C144" s="153" t="inlineStr">
        <is>
          <t>SV 151 ETB</t>
        </is>
      </c>
      <c r="D144" s="113" t="n"/>
      <c r="E144" s="113" t="n"/>
      <c r="F144" s="113" t="n"/>
      <c r="G144" s="154" t="n"/>
      <c r="H144" s="114" t="n"/>
      <c r="I144" s="119" t="inlineStr">
        <is>
          <t>https://www.ebay.com/sch/i.html?_nkw=SV+151+ETB+Scarlet++Violet+151+ETB+Sealed&amp;LH_Sold=1&amp;LH_Complete=1&amp;_sop=13</t>
        </is>
      </c>
    </row>
    <row r="145" ht="15" customHeight="1" s="81">
      <c r="B145" s="152" t="inlineStr">
        <is>
          <t>S012</t>
        </is>
      </c>
      <c r="C145" s="153" t="inlineStr">
        <is>
          <t>SV 151 Ultra-Premium Collection</t>
        </is>
      </c>
      <c r="D145" s="113" t="n"/>
      <c r="E145" s="113" t="n"/>
      <c r="F145" s="113" t="n"/>
      <c r="G145" s="154" t="n"/>
      <c r="H145" s="114" t="n"/>
      <c r="I145" s="119" t="inlineStr">
        <is>
          <t>https://www.ebay.com/sch/i.html?_nkw=SV+151+Ultra-Premium+Collection+Scarlet++Violet+151+UPC+Sealed&amp;LH_Sold=1&amp;LH_Complete=1&amp;_sop=13</t>
        </is>
      </c>
    </row>
    <row r="146" ht="15" customHeight="1" s="81">
      <c r="B146" s="152" t="inlineStr">
        <is>
          <t>S013</t>
        </is>
      </c>
      <c r="C146" s="153" t="inlineStr">
        <is>
          <t>Paldea Evolved BB</t>
        </is>
      </c>
      <c r="D146" s="113" t="n"/>
      <c r="E146" s="113" t="n"/>
      <c r="F146" s="113" t="n"/>
      <c r="G146" s="154" t="n"/>
      <c r="H146" s="114" t="n"/>
      <c r="I146" s="119" t="inlineStr">
        <is>
          <t>https://www.ebay.com/sch/i.html?_nkw=Paldea+Evolved+BB+Paldea+Evolved+Box+Sealed+(36+packs)&amp;LH_Sold=1&amp;LH_Complete=1&amp;_sop=13</t>
        </is>
      </c>
    </row>
    <row r="147" ht="15" customHeight="1" s="81">
      <c r="B147" s="152" t="inlineStr">
        <is>
          <t>S014</t>
        </is>
      </c>
      <c r="C147" s="153" t="inlineStr">
        <is>
          <t>Obsidian Flames BB</t>
        </is>
      </c>
      <c r="D147" s="113" t="n"/>
      <c r="E147" s="113" t="n"/>
      <c r="F147" s="113" t="n"/>
      <c r="G147" s="154" t="n"/>
      <c r="H147" s="114" t="n"/>
      <c r="I147" s="119" t="inlineStr">
        <is>
          <t>https://www.ebay.com/sch/i.html?_nkw=Obsidian+Flames+BB+Obsidian+Flames+Box+Sealed+(36+packs)&amp;LH_Sold=1&amp;LH_Complete=1&amp;_sop=13</t>
        </is>
      </c>
    </row>
    <row r="148" ht="15" customHeight="1" s="81">
      <c r="B148" s="152" t="inlineStr">
        <is>
          <t>S015</t>
        </is>
      </c>
      <c r="C148" s="153" t="inlineStr">
        <is>
          <t>Obsidian Flames ETB</t>
        </is>
      </c>
      <c r="D148" s="113" t="n"/>
      <c r="E148" s="113" t="n"/>
      <c r="F148" s="113" t="n"/>
      <c r="G148" s="154" t="n"/>
      <c r="H148" s="114" t="n"/>
      <c r="I148" s="119" t="inlineStr">
        <is>
          <t>https://www.ebay.com/sch/i.html?_nkw=Obsidian+Flames+ETB+Obsidian+Flames+ETB+Sealed&amp;LH_Sold=1&amp;LH_Complete=1&amp;_sop=13</t>
        </is>
      </c>
    </row>
    <row r="149" ht="15" customHeight="1" s="81">
      <c r="B149" s="152" t="inlineStr">
        <is>
          <t>S016</t>
        </is>
      </c>
      <c r="C149" s="153" t="inlineStr">
        <is>
          <t>Paldean Fates ETB</t>
        </is>
      </c>
      <c r="D149" s="113" t="n"/>
      <c r="E149" s="113" t="n"/>
      <c r="F149" s="113" t="n"/>
      <c r="G149" s="154" t="n"/>
      <c r="H149" s="114" t="n"/>
      <c r="I149" s="119" t="inlineStr">
        <is>
          <t>https://www.ebay.com/sch/i.html?_nkw=Paldean+Fates+ETB+Paldean+Fates+ETB+Sealed&amp;LH_Sold=1&amp;LH_Complete=1&amp;_sop=13</t>
        </is>
      </c>
    </row>
    <row r="150" ht="15" customHeight="1" s="81">
      <c r="B150" s="152" t="inlineStr">
        <is>
          <t>S017</t>
        </is>
      </c>
      <c r="C150" s="153" t="inlineStr">
        <is>
          <t>Paldean Fates Booster Bundle</t>
        </is>
      </c>
      <c r="D150" s="113" t="n"/>
      <c r="E150" s="113" t="n"/>
      <c r="F150" s="113" t="n"/>
      <c r="G150" s="154" t="n"/>
      <c r="H150" s="114" t="n"/>
      <c r="I150" s="119" t="inlineStr">
        <is>
          <t>https://www.ebay.com/sch/i.html?_nkw=Paldean+Fates+Booster+Bundle+Paldean+Fates+Bundle+Sealed+(6+packs)&amp;LH_Sold=1&amp;LH_Complete=1&amp;_sop=13</t>
        </is>
      </c>
    </row>
    <row r="151" ht="15" customHeight="1" s="81">
      <c r="B151" s="152" t="inlineStr">
        <is>
          <t>S018</t>
        </is>
      </c>
      <c r="C151" s="153" t="inlineStr">
        <is>
          <t>Paradox Rift BB</t>
        </is>
      </c>
      <c r="D151" s="113" t="n"/>
      <c r="E151" s="113" t="n"/>
      <c r="F151" s="113" t="n"/>
      <c r="G151" s="154" t="n"/>
      <c r="H151" s="114" t="n"/>
      <c r="I151" s="119" t="inlineStr">
        <is>
          <t>https://www.ebay.com/sch/i.html?_nkw=Paradox+Rift+BB+Paradox+Rift+Box+Sealed+(36+packs)&amp;LH_Sold=1&amp;LH_Complete=1&amp;_sop=13</t>
        </is>
      </c>
    </row>
    <row r="152" ht="15" customHeight="1" s="81">
      <c r="B152" s="152" t="inlineStr">
        <is>
          <t>S019</t>
        </is>
      </c>
      <c r="C152" s="153" t="inlineStr">
        <is>
          <t>Paradox Rift ETB</t>
        </is>
      </c>
      <c r="D152" s="113" t="n"/>
      <c r="E152" s="113" t="n"/>
      <c r="F152" s="113" t="n"/>
      <c r="G152" s="154" t="n"/>
      <c r="H152" s="114" t="n"/>
      <c r="I152" s="119" t="inlineStr">
        <is>
          <t>https://www.ebay.com/sch/i.html?_nkw=Paradox+Rift+ETB+Paradox+Rift+ETB+Sealed&amp;LH_Sold=1&amp;LH_Complete=1&amp;_sop=13</t>
        </is>
      </c>
    </row>
    <row r="153" ht="15" customHeight="1" s="81">
      <c r="B153" s="152" t="inlineStr">
        <is>
          <t>S020</t>
        </is>
      </c>
      <c r="C153" s="153" t="inlineStr">
        <is>
          <t>Twilight Masquerade BB</t>
        </is>
      </c>
      <c r="D153" s="113" t="n"/>
      <c r="E153" s="113" t="n"/>
      <c r="F153" s="113" t="n"/>
      <c r="G153" s="154" t="n"/>
      <c r="H153" s="114" t="n"/>
      <c r="I153" s="119" t="inlineStr">
        <is>
          <t>https://www.ebay.com/sch/i.html?_nkw=Twilight+Masquerade+BB+Twilight+Masquerade+Box+Sealed+(36+packs)&amp;LH_Sold=1&amp;LH_Complete=1&amp;_sop=13</t>
        </is>
      </c>
    </row>
    <row r="154" ht="15" customHeight="1" s="81">
      <c r="B154" s="152" t="inlineStr">
        <is>
          <t>S021</t>
        </is>
      </c>
      <c r="C154" s="153" t="inlineStr">
        <is>
          <t>Shrouded Fable Tin</t>
        </is>
      </c>
      <c r="D154" s="113" t="n"/>
      <c r="E154" s="113" t="n"/>
      <c r="F154" s="113" t="n"/>
      <c r="G154" s="154" t="n"/>
      <c r="H154" s="114" t="n"/>
      <c r="I154" s="119" t="inlineStr">
        <is>
          <t>https://www.ebay.com/sch/i.html?_nkw=Shrouded+Fable+Tin+Shrouded+Fable+Tin+Sealed&amp;LH_Sold=1&amp;LH_Complete=1&amp;_sop=13</t>
        </is>
      </c>
    </row>
    <row r="155" ht="15" customHeight="1" s="81">
      <c r="B155" s="152" t="inlineStr">
        <is>
          <t>S022</t>
        </is>
      </c>
      <c r="C155" s="153" t="inlineStr">
        <is>
          <t>Stellar Crown BB</t>
        </is>
      </c>
      <c r="D155" s="113" t="n"/>
      <c r="E155" s="113" t="n"/>
      <c r="F155" s="113" t="n"/>
      <c r="G155" s="154" t="n"/>
      <c r="H155" s="114" t="n"/>
      <c r="I155" s="119" t="inlineStr">
        <is>
          <t>https://www.ebay.com/sch/i.html?_nkw=Stellar+Crown+BB+Stellar+Crown+Box+Sealed+(36+packs)&amp;LH_Sold=1&amp;LH_Complete=1&amp;_sop=13</t>
        </is>
      </c>
    </row>
    <row r="156" ht="15" customHeight="1" s="81">
      <c r="B156" s="152" t="inlineStr">
        <is>
          <t>S023</t>
        </is>
      </c>
      <c r="C156" s="153" t="inlineStr">
        <is>
          <t>Surging Sparks BB</t>
        </is>
      </c>
      <c r="D156" s="113" t="n"/>
      <c r="E156" s="113" t="n"/>
      <c r="F156" s="113" t="n"/>
      <c r="G156" s="154" t="n"/>
      <c r="H156" s="114" t="n"/>
      <c r="I156" s="119" t="inlineStr">
        <is>
          <t>https://www.ebay.com/sch/i.html?_nkw=Surging+Sparks+BB+Surging+Sparks+Box+Sealed+(36+packs)&amp;LH_Sold=1&amp;LH_Complete=1&amp;_sop=13</t>
        </is>
      </c>
    </row>
    <row r="157" ht="15" customHeight="1" s="81">
      <c r="B157" s="152" t="inlineStr">
        <is>
          <t>S024</t>
        </is>
      </c>
      <c r="C157" s="153" t="inlineStr">
        <is>
          <t>Prismatic Evolutions ETB</t>
        </is>
      </c>
      <c r="D157" s="113" t="n"/>
      <c r="E157" s="113" t="n"/>
      <c r="F157" s="113" t="n"/>
      <c r="G157" s="154" t="n"/>
      <c r="H157" s="114" t="n"/>
      <c r="I157" s="119" t="inlineStr">
        <is>
          <t>https://www.ebay.com/sch/i.html?_nkw=Prismatic+Evolutions+ETB+Prismatic+Evolutions+ETB+Sealed&amp;LH_Sold=1&amp;LH_Complete=1&amp;_sop=13</t>
        </is>
      </c>
    </row>
    <row r="158" ht="15" customHeight="1" s="81">
      <c r="B158" s="152" t="inlineStr">
        <is>
          <t>S025</t>
        </is>
      </c>
      <c r="C158" s="153" t="inlineStr">
        <is>
          <t>Prismatic Evolutions Booster Bundle</t>
        </is>
      </c>
      <c r="D158" s="113" t="n"/>
      <c r="E158" s="113" t="n"/>
      <c r="F158" s="113" t="n"/>
      <c r="G158" s="154" t="n"/>
      <c r="H158" s="114" t="n"/>
      <c r="I158" s="119" t="inlineStr">
        <is>
          <t>https://www.ebay.com/sch/i.html?_nkw=Prismatic+Evolutions+Booster+Bundle+Prismatic+Evolutions+Bundle+Sealed+(6+packs)&amp;LH_Sold=1&amp;LH_Complete=1&amp;_sop=13</t>
        </is>
      </c>
    </row>
    <row r="159" ht="15" customHeight="1" s="81">
      <c r="B159" s="152" t="inlineStr">
        <is>
          <t>S026</t>
        </is>
      </c>
      <c r="C159" s="153" t="inlineStr">
        <is>
          <t>Mega Evolution (ME01) BB</t>
        </is>
      </c>
      <c r="D159" s="113" t="n"/>
      <c r="E159" s="113" t="n"/>
      <c r="F159" s="113" t="n"/>
      <c r="G159" s="154" t="n"/>
      <c r="H159" s="114" t="n"/>
      <c r="I159" s="119" t="inlineStr">
        <is>
          <t>https://www.ebay.com/sch/i.html?_nkw=Mega+Evolution+(ME01)+BB+Mega+Evolution+(ME01)+Box+Sealed&amp;LH_Sold=1&amp;LH_Complete=1&amp;_sop=13</t>
        </is>
      </c>
    </row>
    <row r="160" ht="15" customHeight="1" s="81">
      <c r="B160" s="152" t="inlineStr">
        <is>
          <t>S027</t>
        </is>
      </c>
      <c r="C160" s="153" t="inlineStr">
        <is>
          <t>Ascended Heroes (ME2.5) BB</t>
        </is>
      </c>
      <c r="D160" s="113" t="n"/>
      <c r="E160" s="113" t="n"/>
      <c r="F160" s="113" t="n"/>
      <c r="G160" s="154" t="n"/>
      <c r="H160" s="114" t="n"/>
      <c r="I160" s="119" t="inlineStr">
        <is>
          <t>https://www.ebay.com/sch/i.html?_nkw=Ascended+Heroes+(ME2.5)+BB+Ascended+Heroes+Box+Sealed&amp;LH_Sold=1&amp;LH_Complete=1&amp;_sop=13</t>
        </is>
      </c>
    </row>
    <row r="161" ht="15" customHeight="1" s="81">
      <c r="B161" s="152" t="inlineStr">
        <is>
          <t>S028</t>
        </is>
      </c>
      <c r="C161" s="153" t="inlineStr">
        <is>
          <t>Pokemon Day 2026 Collection</t>
        </is>
      </c>
      <c r="D161" s="113" t="n"/>
      <c r="E161" s="113" t="n"/>
      <c r="F161" s="113" t="n"/>
      <c r="G161" s="154" t="n"/>
      <c r="H161" s="114" t="n"/>
      <c r="I161" s="119" t="inlineStr">
        <is>
          <t>https://www.ebay.com/sch/i.html?_nkw=Pokemon+Day+2026+Collection+30th+Anniversary+Promo+Box+Sealed&amp;LH_Sold=1&amp;LH_Complete=1&amp;_sop=13</t>
        </is>
      </c>
    </row>
    <row r="162" ht="15" customHeight="1" s="81">
      <c r="B162" s="152" t="inlineStr">
        <is>
          <t>S029</t>
        </is>
      </c>
      <c r="C162" s="153" t="inlineStr">
        <is>
          <t>30th Anniversary ETB</t>
        </is>
      </c>
      <c r="D162" s="113" t="n"/>
      <c r="E162" s="113" t="n"/>
      <c r="F162" s="113" t="n"/>
      <c r="G162" s="154" t="n"/>
      <c r="H162" s="114" t="n"/>
      <c r="I162" s="119" t="inlineStr">
        <is>
          <t>https://www.ebay.com/sch/i.html?_nkw=30th+Anniversary+ETB+30th+Anniversary+Promo+ETB+Sealed&amp;LH_Sold=1&amp;LH_Complete=1&amp;_sop=13</t>
        </is>
      </c>
    </row>
    <row r="163" ht="15" customHeight="1" s="81">
      <c r="B163" s="152" t="inlineStr">
        <is>
          <t>S030</t>
        </is>
      </c>
      <c r="C163" s="153" t="inlineStr">
        <is>
          <t>Charizard ex Premium Collection</t>
        </is>
      </c>
      <c r="D163" s="113" t="n"/>
      <c r="E163" s="113" t="n"/>
      <c r="F163" s="113" t="n"/>
      <c r="G163" s="154" t="n"/>
      <c r="H163" s="114" t="n"/>
      <c r="I163" s="119" t="inlineStr">
        <is>
          <t>https://www.ebay.com/sch/i.html?_nkw=Charizard+ex+Premium+Collection+Black+Star+Promo+Premium+Sealed&amp;LH_Sold=1&amp;LH_Complete=1&amp;_sop=13</t>
        </is>
      </c>
    </row>
    <row r="164" ht="15" customHeight="1" s="81">
      <c r="B164" s="152" t="inlineStr">
        <is>
          <t>S031</t>
        </is>
      </c>
      <c r="C164" s="153" t="inlineStr">
        <is>
          <t>Mew Ultra-Premium Collection</t>
        </is>
      </c>
      <c r="D164" s="113" t="n"/>
      <c r="E164" s="113" t="n"/>
      <c r="F164" s="113" t="n"/>
      <c r="G164" s="154" t="n"/>
      <c r="H164" s="114" t="n"/>
      <c r="I164" s="119" t="inlineStr">
        <is>
          <t>https://www.ebay.com/sch/i.html?_nkw=Mew+Ultra-Premium+Collection+Promo+UPC+Sealed&amp;LH_Sold=1&amp;LH_Complete=1&amp;_sop=13</t>
        </is>
      </c>
    </row>
    <row r="165" ht="15" customHeight="1" s="81">
      <c r="B165" s="152" t="inlineStr">
        <is>
          <t>S032</t>
        </is>
      </c>
      <c r="C165" s="153" t="inlineStr">
        <is>
          <t>Crown Zenith Tin</t>
        </is>
      </c>
      <c r="D165" s="113" t="n"/>
      <c r="E165" s="113" t="n"/>
      <c r="F165" s="113" t="n"/>
      <c r="G165" s="154" t="n"/>
      <c r="H165" s="114" t="n"/>
      <c r="I165" s="119" t="inlineStr">
        <is>
          <t>https://www.ebay.com/sch/i.html?_nkw=Crown+Zenith+Tin+Crown+Zenith+Tin+Sealed&amp;LH_Sold=1&amp;LH_Complete=1&amp;_sop=13</t>
        </is>
      </c>
    </row>
    <row r="166" ht="15" customHeight="1" s="81">
      <c r="B166" s="152" t="inlineStr">
        <is>
          <t>X001</t>
        </is>
      </c>
      <c r="C166" s="153" t="inlineStr">
        <is>
          <t>Iono SIR</t>
        </is>
      </c>
      <c r="D166" s="113" t="n"/>
      <c r="E166" s="113" t="n"/>
      <c r="F166" s="113" t="n"/>
      <c r="G166" s="154" t="n"/>
      <c r="H166" s="114" t="n"/>
      <c r="I166" s="119" t="inlineStr">
        <is>
          <t>https://www.ebay.com/sch/i.html?_nkw=Iono+SIR+Paldea+Evolved+269/193+Raw+NM&amp;LH_Sold=1&amp;LH_Complete=1&amp;_sop=13</t>
        </is>
      </c>
    </row>
    <row r="167" ht="15" customHeight="1" s="81">
      <c r="B167" s="152" t="inlineStr">
        <is>
          <t>X002</t>
        </is>
      </c>
      <c r="C167" s="153" t="inlineStr">
        <is>
          <t>Pikachu V-Union Promo</t>
        </is>
      </c>
      <c r="D167" s="113" t="n"/>
      <c r="E167" s="113" t="n"/>
      <c r="F167" s="113" t="n"/>
      <c r="G167" s="154" t="n"/>
      <c r="H167" s="114" t="n"/>
      <c r="I167" s="119" t="inlineStr">
        <is>
          <t>https://www.ebay.com/sch/i.html?_nkw=Pikachu+V-Union+Promo+SWSH+Promos+SWSH212-215+PSA+10+set&amp;LH_Sold=1&amp;LH_Complete=1&amp;_sop=13</t>
        </is>
      </c>
    </row>
    <row r="168" ht="15" customHeight="1" s="81">
      <c r="B168" s="152" t="inlineStr">
        <is>
          <t>X003</t>
        </is>
      </c>
      <c r="C168" s="153" t="inlineStr">
        <is>
          <t>Marnie Full Art</t>
        </is>
      </c>
      <c r="D168" s="113" t="n"/>
      <c r="E168" s="113" t="n"/>
      <c r="F168" s="113" t="n"/>
      <c r="G168" s="154" t="n"/>
      <c r="H168" s="114" t="n"/>
      <c r="I168" s="119" t="inlineStr">
        <is>
          <t>https://www.ebay.com/sch/i.html?_nkw=Marnie+Full+Art+Sword++Shield+200/202+PSA+10&amp;LH_Sold=1&amp;LH_Complete=1&amp;_sop=13</t>
        </is>
      </c>
    </row>
    <row r="169" ht="15" customHeight="1" s="81">
      <c r="B169" s="152" t="inlineStr">
        <is>
          <t>X004</t>
        </is>
      </c>
      <c r="C169" s="153" t="inlineStr">
        <is>
          <t>Cynthia Full Art</t>
        </is>
      </c>
      <c r="D169" s="113" t="n"/>
      <c r="E169" s="113" t="n"/>
      <c r="F169" s="113" t="n"/>
      <c r="G169" s="154" t="n"/>
      <c r="H169" s="114" t="n"/>
      <c r="I169" s="119" t="inlineStr">
        <is>
          <t>https://www.ebay.com/sch/i.html?_nkw=Cynthia+Full+Art+Ultra+Prism+148/156+PSA+10&amp;LH_Sold=1&amp;LH_Complete=1&amp;_sop=13</t>
        </is>
      </c>
    </row>
    <row r="170" ht="15" customHeight="1" s="81">
      <c r="B170" s="152" t="inlineStr">
        <is>
          <t>X005</t>
        </is>
      </c>
      <c r="C170" s="153" t="inlineStr">
        <is>
          <t>Erika's Invitation SIR</t>
        </is>
      </c>
      <c r="D170" s="113" t="n"/>
      <c r="E170" s="113" t="n"/>
      <c r="F170" s="113" t="n"/>
      <c r="G170" s="154" t="n"/>
      <c r="H170" s="114" t="n"/>
      <c r="I170" s="119" t="inlineStr">
        <is>
          <t>https://www.ebay.com/sch/i.html?_nkw=Erika's+Invitation+SIR+151+203/165+PSA+10&amp;LH_Sold=1&amp;LH_Complete=1&amp;_sop=13</t>
        </is>
      </c>
    </row>
    <row r="171" ht="15" customHeight="1" s="81">
      <c r="B171" s="152" t="inlineStr">
        <is>
          <t>X006</t>
        </is>
      </c>
      <c r="C171" s="153" t="inlineStr">
        <is>
          <t>Misty's Determination SIR</t>
        </is>
      </c>
      <c r="D171" s="113" t="n"/>
      <c r="E171" s="113" t="n"/>
      <c r="F171" s="113" t="n"/>
      <c r="G171" s="154" t="n"/>
      <c r="H171" s="114" t="n"/>
      <c r="I171" s="119" t="inlineStr">
        <is>
          <t>https://www.ebay.com/sch/i.html?_nkw=Misty's+Determination+SIR+Mega+Evolution+ME01+Trainer+SIR+PSA+10&amp;LH_Sold=1&amp;LH_Complete=1&amp;_sop=13</t>
        </is>
      </c>
    </row>
    <row r="172" ht="15" customHeight="1" s="81">
      <c r="B172" s="152" t="inlineStr">
        <is>
          <t>X007</t>
        </is>
      </c>
      <c r="C172" s="153" t="inlineStr">
        <is>
          <t>Mewtwo Wave Holo Promo</t>
        </is>
      </c>
      <c r="D172" s="113" t="n"/>
      <c r="E172" s="113" t="n"/>
      <c r="F172" s="113" t="n"/>
      <c r="G172" s="154" t="n"/>
      <c r="H172" s="114" t="n"/>
      <c r="I172" s="119" t="inlineStr">
        <is>
          <t>https://www.ebay.com/sch/i.html?_nkw=Mewtwo+Wave+Holo+Promo+Black+Star+Promo+14+PSA+10&amp;LH_Sold=1&amp;LH_Complete=1&amp;_sop=13</t>
        </is>
      </c>
    </row>
    <row r="173" ht="15" customHeight="1" s="81">
      <c r="B173" s="152" t="inlineStr">
        <is>
          <t>X008</t>
        </is>
      </c>
      <c r="C173" s="153" t="inlineStr">
        <is>
          <t>Ancient Mew</t>
        </is>
      </c>
      <c r="D173" s="113" t="n"/>
      <c r="E173" s="113" t="n"/>
      <c r="F173" s="113" t="n"/>
      <c r="G173" s="154" t="n"/>
      <c r="H173" s="114" t="n"/>
      <c r="I173" s="119" t="inlineStr">
        <is>
          <t>https://www.ebay.com/sch/i.html?_nkw=Ancient+Mew+Movie+Promo+Promo+PSA+10&amp;LH_Sold=1&amp;LH_Complete=1&amp;_sop=13</t>
        </is>
      </c>
    </row>
    <row r="174" ht="15" customHeight="1" s="81">
      <c r="B174" s="152" t="inlineStr">
        <is>
          <t>X009</t>
        </is>
      </c>
      <c r="C174" s="153" t="inlineStr">
        <is>
          <t>_M Charizard EX Full Art</t>
        </is>
      </c>
      <c r="D174" s="113" t="n"/>
      <c r="E174" s="113" t="n"/>
      <c r="F174" s="113" t="n"/>
      <c r="G174" s="154" t="n"/>
      <c r="H174" s="114" t="n"/>
      <c r="I174" s="119" t="inlineStr">
        <is>
          <t>https://www.ebay.com/sch/i.html?_nkw=_M+Charizard+EX+Full+Art+Flashfire+100/106+PSA+10&amp;LH_Sold=1&amp;LH_Complete=1&amp;_sop=13</t>
        </is>
      </c>
    </row>
    <row r="175" ht="15" customHeight="1" s="81">
      <c r="B175" s="152" t="inlineStr">
        <is>
          <t>X010</t>
        </is>
      </c>
      <c r="C175" s="153" t="inlineStr">
        <is>
          <t>M Rayquaza EX Full Art</t>
        </is>
      </c>
      <c r="D175" s="113" t="n"/>
      <c r="E175" s="113" t="n"/>
      <c r="F175" s="113" t="n"/>
      <c r="G175" s="154" t="n"/>
      <c r="H175" s="114" t="n"/>
      <c r="I175" s="119" t="inlineStr">
        <is>
          <t>https://www.ebay.com/sch/i.html?_nkw=M+Rayquaza+EX+Full+Art+Roaring+Skies+76/108+PSA+10&amp;LH_Sold=1&amp;LH_Complete=1&amp;_sop=13</t>
        </is>
      </c>
    </row>
    <row r="176" ht="15" customHeight="1" s="81">
      <c r="B176" s="152" t="inlineStr">
        <is>
          <t>X011</t>
        </is>
      </c>
      <c r="C176" s="153" t="inlineStr">
        <is>
          <t>Charizard Star (Delta Species)</t>
        </is>
      </c>
      <c r="D176" s="113" t="n"/>
      <c r="E176" s="113" t="n"/>
      <c r="F176" s="113" t="n"/>
      <c r="G176" s="154" t="n"/>
      <c r="H176" s="114" t="n"/>
      <c r="I176" s="119" t="inlineStr">
        <is>
          <t>https://www.ebay.com/sch/i.html?_nkw=Charizard+Star+(Delta+Species)+EX+Crystal+Guardians+100/100+PSA+9&amp;LH_Sold=1&amp;LH_Complete=1&amp;_sop=13</t>
        </is>
      </c>
    </row>
    <row r="177" ht="15" customHeight="1" s="81">
      <c r="B177" s="152" t="inlineStr">
        <is>
          <t>X012</t>
        </is>
      </c>
      <c r="C177" s="153" t="inlineStr">
        <is>
          <t>Mimikyu V Alt Art</t>
        </is>
      </c>
      <c r="D177" s="113" t="n"/>
      <c r="E177" s="113" t="n"/>
      <c r="F177" s="113" t="n"/>
      <c r="G177" s="154" t="n"/>
      <c r="H177" s="114" t="n"/>
      <c r="I177" s="119" t="inlineStr">
        <is>
          <t>https://www.ebay.com/sch/i.html?_nkw=Mimikyu+V+Alt+Art+Lost+Origin+TG07/TG30+PSA+10&amp;LH_Sold=1&amp;LH_Complete=1&amp;_sop=13</t>
        </is>
      </c>
    </row>
    <row r="178" ht="15" customHeight="1" s="81">
      <c r="B178" s="152" t="inlineStr">
        <is>
          <t>X013</t>
        </is>
      </c>
      <c r="C178" s="153" t="inlineStr">
        <is>
          <t>Eevee Heroes Eevee V Alt Art</t>
        </is>
      </c>
      <c r="D178" s="113" t="n"/>
      <c r="E178" s="113" t="n"/>
      <c r="F178" s="113" t="n"/>
      <c r="G178" s="154" t="n"/>
      <c r="H178" s="114" t="n"/>
      <c r="I178" s="119" t="inlineStr">
        <is>
          <t>https://www.ebay.com/sch/i.html?_nkw=Eevee+Heroes+Eevee+V+Alt+Art+Eevee+Heroes+(JP)+JP-only+PSA+10&amp;LH_Sold=1&amp;LH_Complete=1&amp;_sop=13</t>
        </is>
      </c>
    </row>
    <row r="179" ht="15" customHeight="1" s="81">
      <c r="B179" s="152" t="inlineStr">
        <is>
          <t>X014</t>
        </is>
      </c>
      <c r="C179" s="153" t="inlineStr">
        <is>
          <t>Charizard Star Holographic</t>
        </is>
      </c>
      <c r="D179" s="113" t="n"/>
      <c r="E179" s="113" t="n"/>
      <c r="F179" s="113" t="n"/>
      <c r="G179" s="154" t="n"/>
      <c r="H179" s="114" t="n"/>
      <c r="I179" s="119" t="inlineStr">
        <is>
          <t>https://www.ebay.com/sch/i.html?_nkw=Charizard+Star+Holographic+Various+Promo+PSA+10&amp;LH_Sold=1&amp;LH_Complete=1&amp;_sop=13</t>
        </is>
      </c>
    </row>
    <row r="180" ht="15" customHeight="1" s="81">
      <c r="B180" s="152" t="inlineStr">
        <is>
          <t>X015</t>
        </is>
      </c>
      <c r="C180" s="153" t="inlineStr">
        <is>
          <t>Crystal Charizard</t>
        </is>
      </c>
      <c r="D180" s="113" t="n"/>
      <c r="E180" s="113" t="n"/>
      <c r="F180" s="113" t="n"/>
      <c r="G180" s="154" t="n"/>
      <c r="H180" s="114" t="n"/>
      <c r="I180" s="119" t="inlineStr">
        <is>
          <t>https://www.ebay.com/sch/i.html?_nkw=Crystal+Charizard+Skyridge+146/144+PSA+9&amp;LH_Sold=1&amp;LH_Complete=1&amp;_sop=13</t>
        </is>
      </c>
    </row>
    <row r="181" ht="15" customHeight="1" s="81">
      <c r="B181" s="152" t="inlineStr">
        <is>
          <t>J001</t>
        </is>
      </c>
      <c r="C181" s="153" t="inlineStr">
        <is>
          <t>Pikachu Promo (Japanese)</t>
        </is>
      </c>
      <c r="D181" s="113" t="n"/>
      <c r="E181" s="113" t="n"/>
      <c r="F181" s="113" t="n"/>
      <c r="G181" s="154" t="n"/>
      <c r="H181" s="114" t="n"/>
      <c r="I181" s="119" t="inlineStr">
        <is>
          <t>https://www.ebay.com/sch/i.html?_nkw=Pikachu+Promo+(Japanese)+Pokemon+Center+Japan+25th+JP+Promo+PSA+10&amp;LH_Sold=1&amp;LH_Complete=1&amp;_sop=13</t>
        </is>
      </c>
    </row>
    <row r="182" ht="15" customHeight="1" s="81">
      <c r="B182" s="152" t="inlineStr">
        <is>
          <t>J002</t>
        </is>
      </c>
      <c r="C182" s="153" t="inlineStr">
        <is>
          <t>Mew V CHR (Japanese)</t>
        </is>
      </c>
      <c r="D182" s="113" t="n"/>
      <c r="E182" s="113" t="n"/>
      <c r="F182" s="113" t="n"/>
      <c r="G182" s="154" t="n"/>
      <c r="H182" s="114" t="n"/>
      <c r="I182" s="119" t="inlineStr">
        <is>
          <t>https://www.ebay.com/sch/i.html?_nkw=Mew+V+CHR+(Japanese)+VMAX+Climax+JP+PSA+10&amp;LH_Sold=1&amp;LH_Complete=1&amp;_sop=13</t>
        </is>
      </c>
    </row>
    <row r="183" ht="15" customHeight="1" s="81">
      <c r="B183" s="152" t="inlineStr">
        <is>
          <t>J003</t>
        </is>
      </c>
      <c r="C183" s="153" t="inlineStr">
        <is>
          <t>Charizard V CSR (Japanese)</t>
        </is>
      </c>
      <c r="D183" s="113" t="n"/>
      <c r="E183" s="113" t="n"/>
      <c r="F183" s="113" t="n"/>
      <c r="G183" s="154" t="n"/>
      <c r="H183" s="114" t="n"/>
      <c r="I183" s="119" t="inlineStr">
        <is>
          <t>https://www.ebay.com/sch/i.html?_nkw=Charizard+V+CSR+(Japanese)+VMAX+Climax+JP+PSA+10&amp;LH_Sold=1&amp;LH_Complete=1&amp;_sop=13</t>
        </is>
      </c>
    </row>
    <row r="184" ht="15" customHeight="1" s="81">
      <c r="B184" s="152" t="inlineStr">
        <is>
          <t>J004</t>
        </is>
      </c>
      <c r="C184" s="153" t="inlineStr">
        <is>
          <t>Rayquaza V Alt Art (Japanese)</t>
        </is>
      </c>
      <c r="D184" s="113" t="n"/>
      <c r="E184" s="113" t="n"/>
      <c r="F184" s="113" t="n"/>
      <c r="G184" s="154" t="n"/>
      <c r="H184" s="114" t="n"/>
      <c r="I184" s="119" t="inlineStr">
        <is>
          <t>https://www.ebay.com/sch/i.html?_nkw=Rayquaza+V+Alt+Art+(Japanese)+Eevee+Heroes+JP+JP+PSA+10&amp;LH_Sold=1&amp;LH_Complete=1&amp;_sop=13</t>
        </is>
      </c>
    </row>
    <row r="185" ht="15" customHeight="1" s="81">
      <c r="B185" s="152" t="inlineStr">
        <is>
          <t>J005</t>
        </is>
      </c>
      <c r="C185" s="153" t="inlineStr">
        <is>
          <t>Umbreon VMAX Alt (Japanese)</t>
        </is>
      </c>
      <c r="D185" s="113" t="n"/>
      <c r="E185" s="113" t="n"/>
      <c r="F185" s="113" t="n"/>
      <c r="G185" s="154" t="n"/>
      <c r="H185" s="114" t="n"/>
      <c r="I185" s="119" t="inlineStr">
        <is>
          <t>https://www.ebay.com/sch/i.html?_nkw=Umbreon+VMAX+Alt+(Japanese)+Eevee+Heroes+JP+JP+PSA+10&amp;LH_Sold=1&amp;LH_Complete=1&amp;_sop=13</t>
        </is>
      </c>
    </row>
    <row r="186" ht="15" customHeight="1" s="81">
      <c r="B186" s="152" t="inlineStr">
        <is>
          <t>J006</t>
        </is>
      </c>
      <c r="C186" s="153" t="inlineStr">
        <is>
          <t>Lugia VSTAR (Japanese)</t>
        </is>
      </c>
      <c r="D186" s="113" t="n"/>
      <c r="E186" s="113" t="n"/>
      <c r="F186" s="113" t="n"/>
      <c r="G186" s="154" t="n"/>
      <c r="H186" s="114" t="n"/>
      <c r="I186" s="119" t="inlineStr">
        <is>
          <t>https://www.ebay.com/sch/i.html?_nkw=Lugia+VSTAR+(Japanese)+Paradigm+Trigger+JP+PSA+10&amp;LH_Sold=1&amp;LH_Complete=1&amp;_sop=13</t>
        </is>
      </c>
    </row>
    <row r="187" ht="15" customHeight="1" s="81">
      <c r="B187" s="152" t="inlineStr">
        <is>
          <t>J007</t>
        </is>
      </c>
      <c r="C187" s="153" t="inlineStr">
        <is>
          <t>Trainer's Card (Pokemon Day JP)</t>
        </is>
      </c>
      <c r="D187" s="113" t="n"/>
      <c r="E187" s="113" t="n"/>
      <c r="F187" s="113" t="n"/>
      <c r="G187" s="154" t="n"/>
      <c r="H187" s="114" t="n"/>
      <c r="I187" s="119" t="inlineStr">
        <is>
          <t>https://www.ebay.com/sch/i.html?_nkw=Trainer's+Card+(Pokemon+Day+JP)+Pokemon+Day+JP+JP+Trophy+PSA+9&amp;LH_Sold=1&amp;LH_Complete=1&amp;_sop=13</t>
        </is>
      </c>
    </row>
    <row r="188" ht="15" customHeight="1" s="81">
      <c r="B188" s="152" t="inlineStr">
        <is>
          <t>J008</t>
        </is>
      </c>
      <c r="C188" s="153" t="inlineStr">
        <is>
          <t>Mewtwo Star (JP Promo)</t>
        </is>
      </c>
      <c r="D188" s="113" t="n"/>
      <c r="E188" s="113" t="n"/>
      <c r="F188" s="113" t="n"/>
      <c r="G188" s="154" t="n"/>
      <c r="H188" s="114" t="n"/>
      <c r="I188" s="119" t="inlineStr">
        <is>
          <t>https://www.ebay.com/sch/i.html?_nkw=Mewtwo+Star+(JP+Promo)+Movie+Commemoration+JP+Promo+PSA+9&amp;LH_Sold=1&amp;LH_Complete=1&amp;_sop=13</t>
        </is>
      </c>
    </row>
    <row r="189" ht="15" customHeight="1" s="81">
      <c r="B189" s="152" t="inlineStr">
        <is>
          <t>J009</t>
        </is>
      </c>
      <c r="C189" s="153" t="inlineStr">
        <is>
          <t>VSTAR Universe High-Class Box</t>
        </is>
      </c>
      <c r="D189" s="113" t="n"/>
      <c r="E189" s="113" t="n"/>
      <c r="F189" s="113" t="n"/>
      <c r="G189" s="154" t="n"/>
      <c r="H189" s="114" t="n"/>
      <c r="I189" s="119" t="inlineStr">
        <is>
          <t>https://www.ebay.com/sch/i.html?_nkw=VSTAR+Universe+High-Class+Box+VSTAR+Universe+JP+JP+Box+Sealed&amp;LH_Sold=1&amp;LH_Complete=1&amp;_sop=13</t>
        </is>
      </c>
    </row>
    <row r="190" ht="15" customHeight="1" s="81">
      <c r="B190" s="152" t="inlineStr">
        <is>
          <t>J010</t>
        </is>
      </c>
      <c r="C190" s="153" t="inlineStr">
        <is>
          <t>Eevee Heroes Booster Box (JP)</t>
        </is>
      </c>
      <c r="D190" s="113" t="n"/>
      <c r="E190" s="113" t="n"/>
      <c r="F190" s="113" t="n"/>
      <c r="G190" s="154" t="n"/>
      <c r="H190" s="114" t="n"/>
      <c r="I190" s="119" t="inlineStr">
        <is>
          <t>https://www.ebay.com/sch/i.html?_nkw=Eevee+Heroes+Booster+Box+(JP)+Eevee+Heroes+JP+JP+Box+Sealed&amp;LH_Sold=1&amp;LH_Complete=1&amp;_sop=13</t>
        </is>
      </c>
    </row>
    <row r="191" ht="15" customHeight="1" s="81">
      <c r="B191" s="152" t="inlineStr">
        <is>
          <t>V036</t>
        </is>
      </c>
      <c r="C191" s="153" t="inlineStr">
        <is>
          <t>Pikachu</t>
        </is>
      </c>
      <c r="D191" s="113" t="n"/>
      <c r="E191" s="113" t="n"/>
      <c r="F191" s="113" t="n"/>
      <c r="G191" s="154" t="n"/>
      <c r="H191" s="114" t="n"/>
      <c r="I191" s="119" t="inlineStr">
        <is>
          <t>https://www.ebay.com/sch/i.html?_nkw=Pikachu+Jungle+1st+Edition+60/64+PSA+10&amp;LH_Sold=1&amp;LH_Complete=1&amp;_sop=13</t>
        </is>
      </c>
    </row>
    <row r="192" ht="15" customHeight="1" s="81">
      <c r="B192" s="152" t="inlineStr">
        <is>
          <t>V037</t>
        </is>
      </c>
      <c r="C192" s="153" t="inlineStr">
        <is>
          <t>Snorlax</t>
        </is>
      </c>
      <c r="D192" s="113" t="n"/>
      <c r="E192" s="113" t="n"/>
      <c r="F192" s="113" t="n"/>
      <c r="G192" s="154" t="n"/>
      <c r="H192" s="114" t="n"/>
      <c r="I192" s="119" t="inlineStr">
        <is>
          <t>https://www.ebay.com/sch/i.html?_nkw=Snorlax+Jungle+1st+Edition+11/64+PSA+9&amp;LH_Sold=1&amp;LH_Complete=1&amp;_sop=13</t>
        </is>
      </c>
    </row>
    <row r="193" ht="15" customHeight="1" s="81">
      <c r="B193" s="152" t="inlineStr">
        <is>
          <t>V038</t>
        </is>
      </c>
      <c r="C193" s="153" t="inlineStr">
        <is>
          <t>Aerodactyl</t>
        </is>
      </c>
      <c r="D193" s="113" t="n"/>
      <c r="E193" s="113" t="n"/>
      <c r="F193" s="113" t="n"/>
      <c r="G193" s="154" t="n"/>
      <c r="H193" s="114" t="n"/>
      <c r="I193" s="119" t="inlineStr">
        <is>
          <t>https://www.ebay.com/sch/i.html?_nkw=Aerodactyl+Fossil+1st+Edition+1/62+PSA+9&amp;LH_Sold=1&amp;LH_Complete=1&amp;_sop=13</t>
        </is>
      </c>
    </row>
    <row r="194" ht="15" customHeight="1" s="81">
      <c r="B194" s="152" t="inlineStr">
        <is>
          <t>V039</t>
        </is>
      </c>
      <c r="C194" s="153" t="inlineStr">
        <is>
          <t>Gengar</t>
        </is>
      </c>
      <c r="D194" s="113" t="n"/>
      <c r="E194" s="113" t="n"/>
      <c r="F194" s="113" t="n"/>
      <c r="G194" s="154" t="n"/>
      <c r="H194" s="114" t="n"/>
      <c r="I194" s="119" t="inlineStr">
        <is>
          <t>https://www.ebay.com/sch/i.html?_nkw=Gengar+Fossil+1st+Edition+5/62+PSA+9&amp;LH_Sold=1&amp;LH_Complete=1&amp;_sop=13</t>
        </is>
      </c>
    </row>
    <row r="195" ht="15" customHeight="1" s="81">
      <c r="B195" s="152" t="inlineStr">
        <is>
          <t>V040</t>
        </is>
      </c>
      <c r="C195" s="153" t="inlineStr">
        <is>
          <t>Dark Charizard</t>
        </is>
      </c>
      <c r="D195" s="113" t="n"/>
      <c r="E195" s="113" t="n"/>
      <c r="F195" s="113" t="n"/>
      <c r="G195" s="154" t="n"/>
      <c r="H195" s="114" t="n"/>
      <c r="I195" s="119" t="inlineStr">
        <is>
          <t>https://www.ebay.com/sch/i.html?_nkw=Dark+Charizard+Team+Rocket+1st+Edition+4/82+PSA+10&amp;LH_Sold=1&amp;LH_Complete=1&amp;_sop=13</t>
        </is>
      </c>
    </row>
    <row r="196" ht="15" customHeight="1" s="81">
      <c r="B196" s="152" t="inlineStr">
        <is>
          <t>V041</t>
        </is>
      </c>
      <c r="C196" s="153" t="inlineStr">
        <is>
          <t>Dark Blastoise</t>
        </is>
      </c>
      <c r="D196" s="113" t="n"/>
      <c r="E196" s="113" t="n"/>
      <c r="F196" s="113" t="n"/>
      <c r="G196" s="154" t="n"/>
      <c r="H196" s="114" t="n"/>
      <c r="I196" s="119" t="inlineStr">
        <is>
          <t>https://www.ebay.com/sch/i.html?_nkw=Dark+Blastoise+Team+Rocket+1st+Edition+20/82+PSA+9&amp;LH_Sold=1&amp;LH_Complete=1&amp;_sop=13</t>
        </is>
      </c>
    </row>
    <row r="197" ht="15" customHeight="1" s="81">
      <c r="B197" s="152" t="inlineStr">
        <is>
          <t>V042</t>
        </is>
      </c>
      <c r="C197" s="153" t="inlineStr">
        <is>
          <t>Suicune</t>
        </is>
      </c>
      <c r="D197" s="113" t="n"/>
      <c r="E197" s="113" t="n"/>
      <c r="F197" s="113" t="n"/>
      <c r="G197" s="154" t="n"/>
      <c r="H197" s="114" t="n"/>
      <c r="I197" s="119" t="inlineStr">
        <is>
          <t>https://www.ebay.com/sch/i.html?_nkw=Suicune+Neo+Revelation+1st+Edition+14/64+PSA+9&amp;LH_Sold=1&amp;LH_Complete=1&amp;_sop=13</t>
        </is>
      </c>
    </row>
    <row r="198" ht="15" customHeight="1" s="81">
      <c r="B198" s="152" t="inlineStr">
        <is>
          <t>V043</t>
        </is>
      </c>
      <c r="C198" s="153" t="inlineStr">
        <is>
          <t>Ho-Oh</t>
        </is>
      </c>
      <c r="D198" s="113" t="n"/>
      <c r="E198" s="113" t="n"/>
      <c r="F198" s="113" t="n"/>
      <c r="G198" s="154" t="n"/>
      <c r="H198" s="114" t="n"/>
      <c r="I198" s="119" t="inlineStr">
        <is>
          <t>https://www.ebay.com/sch/i.html?_nkw=Ho-Oh+Neo+Revelation+1st+Edition+7/64+PSA+9&amp;LH_Sold=1&amp;LH_Complete=1&amp;_sop=13</t>
        </is>
      </c>
    </row>
    <row r="199" ht="15" customHeight="1" s="81">
      <c r="B199" s="152" t="inlineStr">
        <is>
          <t>X016</t>
        </is>
      </c>
      <c r="C199" s="153" t="inlineStr">
        <is>
          <t>Erika SIR</t>
        </is>
      </c>
      <c r="D199" s="113" t="n"/>
      <c r="E199" s="113" t="n"/>
      <c r="F199" s="113" t="n"/>
      <c r="G199" s="154" t="n"/>
      <c r="H199" s="114" t="n"/>
      <c r="I199" s="119" t="inlineStr">
        <is>
          <t>https://www.ebay.com/sch/i.html?_nkw=Erika+SIR+151+207/165+PSA+10&amp;LH_Sold=1&amp;LH_Complete=1&amp;_sop=13</t>
        </is>
      </c>
    </row>
    <row r="200" ht="15" customHeight="1" s="81">
      <c r="B200" s="152" t="inlineStr">
        <is>
          <t>X017</t>
        </is>
      </c>
      <c r="C200" s="153" t="inlineStr">
        <is>
          <t>Misty's Tears Full Art</t>
        </is>
      </c>
      <c r="D200" s="113" t="n"/>
      <c r="E200" s="113" t="n"/>
      <c r="F200" s="113" t="n"/>
      <c r="G200" s="154" t="n"/>
      <c r="H200" s="114" t="n"/>
      <c r="I200" s="119" t="inlineStr">
        <is>
          <t>https://www.ebay.com/sch/i.html?_nkw=Misty's+Tears+Full+Art+Promo+Misty+Promo+PSA+10&amp;LH_Sold=1&amp;LH_Complete=1&amp;_sop=13</t>
        </is>
      </c>
    </row>
    <row r="201" ht="15" customHeight="1" s="81">
      <c r="B201" s="152" t="inlineStr">
        <is>
          <t>X018</t>
        </is>
      </c>
      <c r="C201" s="153" t="inlineStr">
        <is>
          <t>Latias and Latios GX</t>
        </is>
      </c>
      <c r="D201" s="113" t="n"/>
      <c r="E201" s="113" t="n"/>
      <c r="F201" s="113" t="n"/>
      <c r="G201" s="154" t="n"/>
      <c r="H201" s="114" t="n"/>
      <c r="I201" s="119" t="inlineStr">
        <is>
          <t>https://www.ebay.com/sch/i.html?_nkw=Latias+and+Latios+GX+Hidden+Fates+169/68+PSA+10&amp;LH_Sold=1&amp;LH_Complete=1&amp;_sop=13</t>
        </is>
      </c>
    </row>
    <row r="202" ht="15" customHeight="1" s="81">
      <c r="B202" s="152" t="inlineStr">
        <is>
          <t>X019</t>
        </is>
      </c>
      <c r="C202" s="153" t="inlineStr">
        <is>
          <t>Charizard GX Hidden Fates Shiny</t>
        </is>
      </c>
      <c r="D202" s="113" t="n"/>
      <c r="E202" s="113" t="n"/>
      <c r="F202" s="113" t="n"/>
      <c r="G202" s="154" t="n"/>
      <c r="H202" s="114" t="n"/>
      <c r="I202" s="119" t="inlineStr">
        <is>
          <t>https://www.ebay.com/sch/i.html?_nkw=Charizard+GX+Hidden+Fates+Shiny+Hidden+Fates+SV49/SV94+PSA+10&amp;LH_Sold=1&amp;LH_Complete=1&amp;_sop=13</t>
        </is>
      </c>
    </row>
    <row r="203" ht="15" customHeight="1" s="81">
      <c r="B203" s="152" t="inlineStr">
        <is>
          <t>X020</t>
        </is>
      </c>
      <c r="C203" s="153" t="inlineStr">
        <is>
          <t>Mewtwo and Mew GX Hidden Fates</t>
        </is>
      </c>
      <c r="D203" s="113" t="n"/>
      <c r="E203" s="113" t="n"/>
      <c r="F203" s="113" t="n"/>
      <c r="G203" s="154" t="n"/>
      <c r="H203" s="114" t="n"/>
      <c r="I203" s="119" t="inlineStr">
        <is>
          <t>https://www.ebay.com/sch/i.html?_nkw=Mewtwo+and+Mew+GX+Hidden+Fates+Hidden+Fates+SM196+PSA+10&amp;LH_Sold=1&amp;LH_Complete=1&amp;_sop=13</t>
        </is>
      </c>
    </row>
  </sheetData>
  <hyperlinks>
    <hyperlink xmlns:r="http://schemas.openxmlformats.org/officeDocument/2006/relationships" ref="I6" display="https://www.ebay.com/sch/i.html?_nkw=Charizard+Base+Set+1st+Edition+Shadowless+4/102+PSA+9&amp;LH_Sold=1&amp;LH_Complete=1&amp;_sop=13" r:id="rId1"/>
    <hyperlink xmlns:r="http://schemas.openxmlformats.org/officeDocument/2006/relationships" ref="I7" display="https://www.ebay.com/sch/i.html?_nkw=Charizard+Base+Set+1st+Edition+Shadowless+4/102+PSA+8&amp;LH_Sold=1&amp;LH_Complete=1&amp;_sop=13" r:id="rId2"/>
    <hyperlink xmlns:r="http://schemas.openxmlformats.org/officeDocument/2006/relationships" ref="I8" display="https://www.ebay.com/sch/i.html?_nkw=Charizard+Base+Set+Shadowless+4/102+PSA+9&amp;LH_Sold=1&amp;LH_Complete=1&amp;_sop=13" r:id="rId3"/>
    <hyperlink xmlns:r="http://schemas.openxmlformats.org/officeDocument/2006/relationships" ref="I9" display="https://www.ebay.com/sch/i.html?_nkw=Charizard+Base+Set+Unlimited+4/102+PSA+10&amp;LH_Sold=1&amp;LH_Complete=1&amp;_sop=13" r:id="rId4"/>
    <hyperlink xmlns:r="http://schemas.openxmlformats.org/officeDocument/2006/relationships" ref="I10" display="https://www.ebay.com/sch/i.html?_nkw=Charizard+Base+Set+Unlimited+4/102+PSA+9&amp;LH_Sold=1&amp;LH_Complete=1&amp;_sop=13" r:id="rId5"/>
    <hyperlink xmlns:r="http://schemas.openxmlformats.org/officeDocument/2006/relationships" ref="I11" display="https://www.ebay.com/sch/i.html?_nkw=Blastoise+Base+Set+1st+Edition+Shadowless+2/102+PSA+9&amp;LH_Sold=1&amp;LH_Complete=1&amp;_sop=13" r:id="rId6"/>
    <hyperlink xmlns:r="http://schemas.openxmlformats.org/officeDocument/2006/relationships" ref="I12" display="https://www.ebay.com/sch/i.html?_nkw=Venusaur+Base+Set+1st+Edition+Shadowless+15/102+PSA+9&amp;LH_Sold=1&amp;LH_Complete=1&amp;_sop=13" r:id="rId7"/>
    <hyperlink xmlns:r="http://schemas.openxmlformats.org/officeDocument/2006/relationships" ref="I13" display="https://www.ebay.com/sch/i.html?_nkw=Chansey+Base+Set+1st+Edition+3/102+PSA+9&amp;LH_Sold=1&amp;LH_Complete=1&amp;_sop=13" r:id="rId8"/>
    <hyperlink xmlns:r="http://schemas.openxmlformats.org/officeDocument/2006/relationships" ref="I14" display="https://www.ebay.com/sch/i.html?_nkw=Mewtwo+Base+Set+1st+Edition+10/102+PSA+9&amp;LH_Sold=1&amp;LH_Complete=1&amp;_sop=13" r:id="rId9"/>
    <hyperlink xmlns:r="http://schemas.openxmlformats.org/officeDocument/2006/relationships" ref="I15" display="https://www.ebay.com/sch/i.html?_nkw=Alakazam+Base+Set+1st+Edition+1/102+PSA+9&amp;LH_Sold=1&amp;LH_Complete=1&amp;_sop=13" r:id="rId10"/>
    <hyperlink xmlns:r="http://schemas.openxmlformats.org/officeDocument/2006/relationships" ref="I16" display="https://www.ebay.com/sch/i.html?_nkw=Ninetales+Base+Set+1st+Edition+12/102+PSA+9&amp;LH_Sold=1&amp;LH_Complete=1&amp;_sop=13" r:id="rId11"/>
    <hyperlink xmlns:r="http://schemas.openxmlformats.org/officeDocument/2006/relationships" ref="I17" display="https://www.ebay.com/sch/i.html?_nkw=Zapdos+Base+Set+1st+Edition+16/102+PSA+9&amp;LH_Sold=1&amp;LH_Complete=1&amp;_sop=13" r:id="rId12"/>
    <hyperlink xmlns:r="http://schemas.openxmlformats.org/officeDocument/2006/relationships" ref="I18" display="https://www.ebay.com/sch/i.html?_nkw=Pikachu+Red+Cheeks+Base+Set+Shadowless+58/102+PSA+10&amp;LH_Sold=1&amp;LH_Complete=1&amp;_sop=13" r:id="rId13"/>
    <hyperlink xmlns:r="http://schemas.openxmlformats.org/officeDocument/2006/relationships" ref="I19" display="https://www.ebay.com/sch/i.html?_nkw=Dragonite+Fossil+1st+Edition+4/62+PSA+9&amp;LH_Sold=1&amp;LH_Complete=1&amp;_sop=13" r:id="rId14"/>
    <hyperlink xmlns:r="http://schemas.openxmlformats.org/officeDocument/2006/relationships" ref="I20" display="https://www.ebay.com/sch/i.html?_nkw=Mewtwo+Fossil+1st+Edition+10/62+PSA+9&amp;LH_Sold=1&amp;LH_Complete=1&amp;_sop=13" r:id="rId15"/>
    <hyperlink xmlns:r="http://schemas.openxmlformats.org/officeDocument/2006/relationships" ref="I21" display="https://www.ebay.com/sch/i.html?_nkw=Lugia+Neo+Genesis+1st+Edition+9/111+PSA+9&amp;LH_Sold=1&amp;LH_Complete=1&amp;_sop=13" r:id="rId16"/>
    <hyperlink xmlns:r="http://schemas.openxmlformats.org/officeDocument/2006/relationships" ref="I22" display="https://www.ebay.com/sch/i.html?_nkw=Shining+Charizard+Neo+Destiny+1st+Edition+107/105+PSA+9&amp;LH_Sold=1&amp;LH_Complete=1&amp;_sop=13" r:id="rId17"/>
    <hyperlink xmlns:r="http://schemas.openxmlformats.org/officeDocument/2006/relationships" ref="I23" display="https://www.ebay.com/sch/i.html?_nkw=Shining+Tyranitar+Neo+Destiny+1st+Edition+113/105+PSA+9&amp;LH_Sold=1&amp;LH_Complete=1&amp;_sop=13" r:id="rId18"/>
    <hyperlink xmlns:r="http://schemas.openxmlformats.org/officeDocument/2006/relationships" ref="I24" display="https://www.ebay.com/sch/i.html?_nkw=Pikachu+Trophy+(Bronze)+Pokemon+World+Championships+1999+Trophy+PSA+8&amp;LH_Sold=1&amp;LH_Complete=1&amp;_sop=13" r:id="rId19"/>
    <hyperlink xmlns:r="http://schemas.openxmlformats.org/officeDocument/2006/relationships" ref="I25" display="https://www.ebay.com/sch/i.html?_nkw=Charizard+Gold+Star+EX+Dragon+Frontiers+100/101+PSA+10&amp;LH_Sold=1&amp;LH_Complete=1&amp;_sop=13" r:id="rId20"/>
    <hyperlink xmlns:r="http://schemas.openxmlformats.org/officeDocument/2006/relationships" ref="I26" display="https://www.ebay.com/sch/i.html?_nkw=Charizard+Gold+Star+EX+Dragon+Frontiers+100/101+PSA+9&amp;LH_Sold=1&amp;LH_Complete=1&amp;_sop=13" r:id="rId21"/>
    <hyperlink xmlns:r="http://schemas.openxmlformats.org/officeDocument/2006/relationships" ref="I27" display="https://www.ebay.com/sch/i.html?_nkw=Umbreon+Gold+Star+POP+Series+5+17/17+PSA+9&amp;LH_Sold=1&amp;LH_Complete=1&amp;_sop=13" r:id="rId22"/>
    <hyperlink xmlns:r="http://schemas.openxmlformats.org/officeDocument/2006/relationships" ref="I28" display="https://www.ebay.com/sch/i.html?_nkw=Espeon+Gold+Star+POP+Series+5+16/17+PSA+9&amp;LH_Sold=1&amp;LH_Complete=1&amp;_sop=13" r:id="rId23"/>
    <hyperlink xmlns:r="http://schemas.openxmlformats.org/officeDocument/2006/relationships" ref="I29" display="https://www.ebay.com/sch/i.html?_nkw=Vaporeon+Gold+Star+EX+Power+Keepers+Gold+Star+PSA+9&amp;LH_Sold=1&amp;LH_Complete=1&amp;_sop=13" r:id="rId24"/>
    <hyperlink xmlns:r="http://schemas.openxmlformats.org/officeDocument/2006/relationships" ref="I30" display="https://www.ebay.com/sch/i.html?_nkw=Jolteon+Gold+Star+EX+Power+Keepers+Gold+Star+PSA+9&amp;LH_Sold=1&amp;LH_Complete=1&amp;_sop=13" r:id="rId25"/>
    <hyperlink xmlns:r="http://schemas.openxmlformats.org/officeDocument/2006/relationships" ref="I31" display="https://www.ebay.com/sch/i.html?_nkw=Flareon+Gold+Star+EX+Power+Keepers+Gold+Star+PSA+9&amp;LH_Sold=1&amp;LH_Complete=1&amp;_sop=13" r:id="rId26"/>
    <hyperlink xmlns:r="http://schemas.openxmlformats.org/officeDocument/2006/relationships" ref="I32" display="https://www.ebay.com/sch/i.html?_nkw=Rayquaza+Gold+Star+EX+Deoxys+Gold+Star+PSA+9&amp;LH_Sold=1&amp;LH_Complete=1&amp;_sop=13" r:id="rId27"/>
    <hyperlink xmlns:r="http://schemas.openxmlformats.org/officeDocument/2006/relationships" ref="I33" display="https://www.ebay.com/sch/i.html?_nkw=Mew+Gold+Star+EX+Holon+Phantoms+Gold+Star+PSA+9&amp;LH_Sold=1&amp;LH_Complete=1&amp;_sop=13" r:id="rId28"/>
    <hyperlink xmlns:r="http://schemas.openxmlformats.org/officeDocument/2006/relationships" ref="I34" display="https://www.ebay.com/sch/i.html?_nkw=Glaceon+Gold+Star+Diamond++Pearl+Promos+DP38+PSA+9&amp;LH_Sold=1&amp;LH_Complete=1&amp;_sop=13" r:id="rId29"/>
    <hyperlink xmlns:r="http://schemas.openxmlformats.org/officeDocument/2006/relationships" ref="I35" display="https://www.ebay.com/sch/i.html?_nkw=Leafeon+Gold+Star+Diamond++Pearl+Promos+DP37+PSA+9&amp;LH_Sold=1&amp;LH_Complete=1&amp;_sop=13" r:id="rId30"/>
    <hyperlink xmlns:r="http://schemas.openxmlformats.org/officeDocument/2006/relationships" ref="I36" display="https://www.ebay.com/sch/i.html?_nkw=Pikachu+Illustrator+Trophy+Promo+PSA+4&amp;LH_Sold=1&amp;LH_Complete=1&amp;_sop=13" r:id="rId31"/>
    <hyperlink xmlns:r="http://schemas.openxmlformats.org/officeDocument/2006/relationships" ref="I37" display="https://www.ebay.com/sch/i.html?_nkw=Tropical+Wind+WC+1999-2003+Promo+PSA+9&amp;LH_Sold=1&amp;LH_Complete=1&amp;_sop=13" r:id="rId32"/>
    <hyperlink xmlns:r="http://schemas.openxmlformats.org/officeDocument/2006/relationships" ref="I38" display="https://www.ebay.com/sch/i.html?_nkw=No.2+Trainer+1999+Tropical+Mega+Battle+Trophy+PSA+8&amp;LH_Sold=1&amp;LH_Complete=1&amp;_sop=13" r:id="rId33"/>
    <hyperlink xmlns:r="http://schemas.openxmlformats.org/officeDocument/2006/relationships" ref="I39" display="https://www.ebay.com/sch/i.html?_nkw=Blaine's+Charizard+Gym+Heroes+1st+Edition+2/132+PSA+9&amp;LH_Sold=1&amp;LH_Complete=1&amp;_sop=13" r:id="rId34"/>
    <hyperlink xmlns:r="http://schemas.openxmlformats.org/officeDocument/2006/relationships" ref="I40" display="https://www.ebay.com/sch/i.html?_nkw=Dark+Charizard+Team+Rocket+1st+Edition+4/82+PSA+9&amp;LH_Sold=1&amp;LH_Complete=1&amp;_sop=13" r:id="rId35"/>
    <hyperlink xmlns:r="http://schemas.openxmlformats.org/officeDocument/2006/relationships" ref="I41" display="https://www.ebay.com/sch/i.html?_nkw=Umbreon+VMAX+(Moonbreon)+Evolving+Skies+215/203+PSA+10&amp;LH_Sold=1&amp;LH_Complete=1&amp;_sop=13" r:id="rId36"/>
    <hyperlink xmlns:r="http://schemas.openxmlformats.org/officeDocument/2006/relationships" ref="I42" display="https://www.ebay.com/sch/i.html?_nkw=Umbreon+VMAX+(Moonbreon)+Evolving+Skies+215/203+Raw+NM&amp;LH_Sold=1&amp;LH_Complete=1&amp;_sop=13" r:id="rId37"/>
    <hyperlink xmlns:r="http://schemas.openxmlformats.org/officeDocument/2006/relationships" ref="I43" display="https://www.ebay.com/sch/i.html?_nkw=Rayquaza+VMAX+Alt+Art+Evolving+Skies+218/203+PSA+10&amp;LH_Sold=1&amp;LH_Complete=1&amp;_sop=13" r:id="rId38"/>
    <hyperlink xmlns:r="http://schemas.openxmlformats.org/officeDocument/2006/relationships" ref="I44" display="https://www.ebay.com/sch/i.html?_nkw=Sylveon+VMAX+Alt+Art+Evolving+Skies+212/203+PSA+10&amp;LH_Sold=1&amp;LH_Complete=1&amp;_sop=13" r:id="rId39"/>
    <hyperlink xmlns:r="http://schemas.openxmlformats.org/officeDocument/2006/relationships" ref="I45" display="https://www.ebay.com/sch/i.html?_nkw=Espeon+VMAX+Alt+Art+Evolving+Skies+208/203+PSA+10&amp;LH_Sold=1&amp;LH_Complete=1&amp;_sop=13" r:id="rId40"/>
    <hyperlink xmlns:r="http://schemas.openxmlformats.org/officeDocument/2006/relationships" ref="I46" display="https://www.ebay.com/sch/i.html?_nkw=Leafeon+VMAX+Alt+Art+Evolving+Skies+205/203+PSA+10&amp;LH_Sold=1&amp;LH_Complete=1&amp;_sop=13" r:id="rId41"/>
    <hyperlink xmlns:r="http://schemas.openxmlformats.org/officeDocument/2006/relationships" ref="I47" display="https://www.ebay.com/sch/i.html?_nkw=Glaceon+VMAX+Alt+Art+Evolving+Skies+210/203+PSA+10&amp;LH_Sold=1&amp;LH_Complete=1&amp;_sop=13" r:id="rId42"/>
    <hyperlink xmlns:r="http://schemas.openxmlformats.org/officeDocument/2006/relationships" ref="I48" display="https://www.ebay.com/sch/i.html?_nkw=Jolteon+VMAX+Alt+Art+Evolving+Skies+203/203+PSA+10&amp;LH_Sold=1&amp;LH_Complete=1&amp;_sop=13" r:id="rId43"/>
    <hyperlink xmlns:r="http://schemas.openxmlformats.org/officeDocument/2006/relationships" ref="I49" display="https://www.ebay.com/sch/i.html?_nkw=Umbreon+V+Alt+Art+Evolving+Skies+189/203+PSA+10&amp;LH_Sold=1&amp;LH_Complete=1&amp;_sop=13" r:id="rId44"/>
    <hyperlink xmlns:r="http://schemas.openxmlformats.org/officeDocument/2006/relationships" ref="I50" display="https://www.ebay.com/sch/i.html?_nkw=Dragonite+V+Alt+Art+Evolving+Skies+192/203+PSA+10&amp;LH_Sold=1&amp;LH_Complete=1&amp;_sop=13" r:id="rId45"/>
    <hyperlink xmlns:r="http://schemas.openxmlformats.org/officeDocument/2006/relationships" ref="I51" display="https://www.ebay.com/sch/i.html?_nkw=Duraludon+VMAX+Alt+Art+Evolving+Skies+217/203+PSA+10&amp;LH_Sold=1&amp;LH_Complete=1&amp;_sop=13" r:id="rId46"/>
    <hyperlink xmlns:r="http://schemas.openxmlformats.org/officeDocument/2006/relationships" ref="I52" display="https://www.ebay.com/sch/i.html?_nkw=Rayquaza+V+Alt+Art+Evolving+Skies+194/203+PSA+10&amp;LH_Sold=1&amp;LH_Complete=1&amp;_sop=13" r:id="rId47"/>
    <hyperlink xmlns:r="http://schemas.openxmlformats.org/officeDocument/2006/relationships" ref="I53" display="https://www.ebay.com/sch/i.html?_nkw=Charizard+VMAX+Rainbow+Champion's+Path+74/73+PSA+10&amp;LH_Sold=1&amp;LH_Complete=1&amp;_sop=13" r:id="rId48"/>
    <hyperlink xmlns:r="http://schemas.openxmlformats.org/officeDocument/2006/relationships" ref="I54" display="https://www.ebay.com/sch/i.html?_nkw=Charizard+V+Full+Art+Champion's+Path+79/73+PSA+10&amp;LH_Sold=1&amp;LH_Complete=1&amp;_sop=13" r:id="rId49"/>
    <hyperlink xmlns:r="http://schemas.openxmlformats.org/officeDocument/2006/relationships" ref="I55" display="https://www.ebay.com/sch/i.html?_nkw=Charizard+VSTAR+Rainbow+Brilliant+Stars+174/172+PSA+10&amp;LH_Sold=1&amp;LH_Complete=1&amp;_sop=13" r:id="rId50"/>
    <hyperlink xmlns:r="http://schemas.openxmlformats.org/officeDocument/2006/relationships" ref="I56" display="https://www.ebay.com/sch/i.html?_nkw=Mewtwo+VSTAR+Alt+Art+Brilliant+Stars+176/172+PSA+10&amp;LH_Sold=1&amp;LH_Complete=1&amp;_sop=13" r:id="rId51"/>
    <hyperlink xmlns:r="http://schemas.openxmlformats.org/officeDocument/2006/relationships" ref="I57" display="https://www.ebay.com/sch/i.html?_nkw=Whimsicott+VSTAR+Alt+Art+Brilliant+Stars+175/172+PSA+10&amp;LH_Sold=1&amp;LH_Complete=1&amp;_sop=13" r:id="rId52"/>
    <hyperlink xmlns:r="http://schemas.openxmlformats.org/officeDocument/2006/relationships" ref="I58" display="https://www.ebay.com/sch/i.html?_nkw=Arceus+VSTAR+Alt+Art+Brilliant+Stars+184/172+PSA+10&amp;LH_Sold=1&amp;LH_Complete=1&amp;_sop=13" r:id="rId53"/>
    <hyperlink xmlns:r="http://schemas.openxmlformats.org/officeDocument/2006/relationships" ref="I59" display="https://www.ebay.com/sch/i.html?_nkw=Origin+Forme+Palkia+VSTAR+Alt+Astral+Radiance+208/189+PSA+10&amp;LH_Sold=1&amp;LH_Complete=1&amp;_sop=13" r:id="rId54"/>
    <hyperlink xmlns:r="http://schemas.openxmlformats.org/officeDocument/2006/relationships" ref="I60" display="https://www.ebay.com/sch/i.html?_nkw=Origin+Forme+Dialga+VSTAR+Alt+Astral+Radiance+207/189+PSA+10&amp;LH_Sold=1&amp;LH_Complete=1&amp;_sop=13" r:id="rId55"/>
    <hyperlink xmlns:r="http://schemas.openxmlformats.org/officeDocument/2006/relationships" ref="I61" display="https://www.ebay.com/sch/i.html?_nkw=Giratina+VSTAR+Alt+Art+Lost+Origin+TG30/TG30+PSA+10&amp;LH_Sold=1&amp;LH_Complete=1&amp;_sop=13" r:id="rId56"/>
    <hyperlink xmlns:r="http://schemas.openxmlformats.org/officeDocument/2006/relationships" ref="I62" display="https://www.ebay.com/sch/i.html?_nkw=Aerodactyl+V+Alt+Art+Lost+Origin+TG21/TG30+PSA+10&amp;LH_Sold=1&amp;LH_Complete=1&amp;_sop=13" r:id="rId57"/>
    <hyperlink xmlns:r="http://schemas.openxmlformats.org/officeDocument/2006/relationships" ref="I63" display="https://www.ebay.com/sch/i.html?_nkw=Magnezone+V+Alt+Art+Lost+Origin+TG13/TG30+PSA+10&amp;LH_Sold=1&amp;LH_Complete=1&amp;_sop=13" r:id="rId58"/>
    <hyperlink xmlns:r="http://schemas.openxmlformats.org/officeDocument/2006/relationships" ref="I64" display="https://www.ebay.com/sch/i.html?_nkw=Lugia+VSTAR+Alt+Art+Silver+Tempest+TG30/TG30+PSA+10&amp;LH_Sold=1&amp;LH_Complete=1&amp;_sop=13" r:id="rId59"/>
    <hyperlink xmlns:r="http://schemas.openxmlformats.org/officeDocument/2006/relationships" ref="I65" display="https://www.ebay.com/sch/i.html?_nkw=Alakazam+V+Alt+Art+Silver+Tempest+TG07/TG30+PSA+10&amp;LH_Sold=1&amp;LH_Complete=1&amp;_sop=13" r:id="rId60"/>
    <hyperlink xmlns:r="http://schemas.openxmlformats.org/officeDocument/2006/relationships" ref="I66" display="https://www.ebay.com/sch/i.html?_nkw=Serperior+V+Alt+Art+Silver+Tempest+TG02/TG30+PSA+10&amp;LH_Sold=1&amp;LH_Complete=1&amp;_sop=13" r:id="rId61"/>
    <hyperlink xmlns:r="http://schemas.openxmlformats.org/officeDocument/2006/relationships" ref="I67" display="https://www.ebay.com/sch/i.html?_nkw=Tyranitar+V+Alt+Art+Silver+Tempest+TG09/TG30+PSA+10&amp;LH_Sold=1&amp;LH_Complete=1&amp;_sop=13" r:id="rId62"/>
    <hyperlink xmlns:r="http://schemas.openxmlformats.org/officeDocument/2006/relationships" ref="I68" display="https://www.ebay.com/sch/i.html?_nkw=Articuno+V+Alt+Art+Silver+Tempest+TG12/TG30+PSA+10&amp;LH_Sold=1&amp;LH_Complete=1&amp;_sop=13" r:id="rId63"/>
    <hyperlink xmlns:r="http://schemas.openxmlformats.org/officeDocument/2006/relationships" ref="I69" display="https://www.ebay.com/sch/i.html?_nkw=Giratina+VSTAR+Gold+Crown+Zenith+GG70/GG70+PSA+10&amp;LH_Sold=1&amp;LH_Complete=1&amp;_sop=13" r:id="rId64"/>
    <hyperlink xmlns:r="http://schemas.openxmlformats.org/officeDocument/2006/relationships" ref="I70" display="https://www.ebay.com/sch/i.html?_nkw=Mewtwo+VSTAR+(GG)+Crown+Zenith+Galarian+Gallery+GG44/GG70+PSA+10&amp;LH_Sold=1&amp;LH_Complete=1&amp;_sop=13" r:id="rId65"/>
    <hyperlink xmlns:r="http://schemas.openxmlformats.org/officeDocument/2006/relationships" ref="I71" display="https://www.ebay.com/sch/i.html?_nkw=Pikachu+VMAX+(GG)+Crown+Zenith+Galarian+Gallery+GG70/GG70+PSA+10&amp;LH_Sold=1&amp;LH_Complete=1&amp;_sop=13" r:id="rId66"/>
    <hyperlink xmlns:r="http://schemas.openxmlformats.org/officeDocument/2006/relationships" ref="I72" display="https://www.ebay.com/sch/i.html?_nkw=Charizard+V+(GG)+Crown+Zenith+Galarian+Gallery+GG44/GG70+PSA+10&amp;LH_Sold=1&amp;LH_Complete=1&amp;_sop=13" r:id="rId67"/>
    <hyperlink xmlns:r="http://schemas.openxmlformats.org/officeDocument/2006/relationships" ref="I73" display="https://www.ebay.com/sch/i.html?_nkw=Lugia+V+(GG)+Crown+Zenith+Galarian+Gallery+GG62/GG70+PSA+10&amp;LH_Sold=1&amp;LH_Complete=1&amp;_sop=13" r:id="rId68"/>
    <hyperlink xmlns:r="http://schemas.openxmlformats.org/officeDocument/2006/relationships" ref="I74" display="https://www.ebay.com/sch/i.html?_nkw=Charizard+ex+SIR+Scarlet++Violet+151+199/165+PSA+10&amp;LH_Sold=1&amp;LH_Complete=1&amp;_sop=13" r:id="rId69"/>
    <hyperlink xmlns:r="http://schemas.openxmlformats.org/officeDocument/2006/relationships" ref="I75" display="https://www.ebay.com/sch/i.html?_nkw=Charizard+ex+SIR+Scarlet++Violet+151+199/165+Raw+NM&amp;LH_Sold=1&amp;LH_Complete=1&amp;_sop=13" r:id="rId70"/>
    <hyperlink xmlns:r="http://schemas.openxmlformats.org/officeDocument/2006/relationships" ref="I76" display="https://www.ebay.com/sch/i.html?_nkw=Charizard+ex+Full+Art+Scarlet++Violet+151+183/165+PSA+10&amp;LH_Sold=1&amp;LH_Complete=1&amp;_sop=13" r:id="rId71"/>
    <hyperlink xmlns:r="http://schemas.openxmlformats.org/officeDocument/2006/relationships" ref="I77" display="https://www.ebay.com/sch/i.html?_nkw=Mew+ex+SIR+Scarlet++Violet+151+205/165+PSA+10&amp;LH_Sold=1&amp;LH_Complete=1&amp;_sop=13" r:id="rId72"/>
    <hyperlink xmlns:r="http://schemas.openxmlformats.org/officeDocument/2006/relationships" ref="I78" display="https://www.ebay.com/sch/i.html?_nkw=Zapdos+ex+SIR+Scarlet++Violet+151+202/165+PSA+10&amp;LH_Sold=1&amp;LH_Complete=1&amp;_sop=13" r:id="rId73"/>
    <hyperlink xmlns:r="http://schemas.openxmlformats.org/officeDocument/2006/relationships" ref="I79" display="https://www.ebay.com/sch/i.html?_nkw=Venusaur+ex+SIR+Scarlet++Violet+151+198/165+PSA+10&amp;LH_Sold=1&amp;LH_Complete=1&amp;_sop=13" r:id="rId74"/>
    <hyperlink xmlns:r="http://schemas.openxmlformats.org/officeDocument/2006/relationships" ref="I80" display="https://www.ebay.com/sch/i.html?_nkw=Blastoise+ex+SIR+Scarlet++Violet+151+200/165+PSA+10&amp;LH_Sold=1&amp;LH_Complete=1&amp;_sop=13" r:id="rId75"/>
    <hyperlink xmlns:r="http://schemas.openxmlformats.org/officeDocument/2006/relationships" ref="I81" display="https://www.ebay.com/sch/i.html?_nkw=Mewtwo+ex+SIR+Scarlet++Violet+151+201/165+PSA+10&amp;LH_Sold=1&amp;LH_Complete=1&amp;_sop=13" r:id="rId76"/>
    <hyperlink xmlns:r="http://schemas.openxmlformats.org/officeDocument/2006/relationships" ref="I82" display="https://www.ebay.com/sch/i.html?_nkw=Pikachu+Master+Ball+Pattern+Scarlet++Violet+151+025/165+PSA+10&amp;LH_Sold=1&amp;LH_Complete=1&amp;_sop=13" r:id="rId77"/>
    <hyperlink xmlns:r="http://schemas.openxmlformats.org/officeDocument/2006/relationships" ref="I83" display="https://www.ebay.com/sch/i.html?_nkw=Alakazam+ex+SIR+Scarlet++Violet+151+203/165+PSA+10&amp;LH_Sold=1&amp;LH_Complete=1&amp;_sop=13" r:id="rId78"/>
    <hyperlink xmlns:r="http://schemas.openxmlformats.org/officeDocument/2006/relationships" ref="I84" display="https://www.ebay.com/sch/i.html?_nkw=Iono+SIR+Paldea+Evolved+269/193+PSA+10&amp;LH_Sold=1&amp;LH_Complete=1&amp;_sop=13" r:id="rId79"/>
    <hyperlink xmlns:r="http://schemas.openxmlformats.org/officeDocument/2006/relationships" ref="I85" display="https://www.ebay.com/sch/i.html?_nkw=Tinkaton+ex+SIR+Paldea+Evolved+265/193+PSA+10&amp;LH_Sold=1&amp;LH_Complete=1&amp;_sop=13" r:id="rId80"/>
    <hyperlink xmlns:r="http://schemas.openxmlformats.org/officeDocument/2006/relationships" ref="I86" display="https://www.ebay.com/sch/i.html?_nkw=Charizard+ex+SIR+Obsidian+Flames+228/197+PSA+10&amp;LH_Sold=1&amp;LH_Complete=1&amp;_sop=13" r:id="rId81"/>
    <hyperlink xmlns:r="http://schemas.openxmlformats.org/officeDocument/2006/relationships" ref="I87" display="https://www.ebay.com/sch/i.html?_nkw=Charizard+ex+SIR+Obsidian+Flames+228/197+Raw+NM&amp;LH_Sold=1&amp;LH_Complete=1&amp;_sop=13" r:id="rId82"/>
    <hyperlink xmlns:r="http://schemas.openxmlformats.org/officeDocument/2006/relationships" ref="I88" display="https://www.ebay.com/sch/i.html?_nkw=Tyranitar+ex+SIR+Obsidian+Flames+230/197+PSA+10&amp;LH_Sold=1&amp;LH_Complete=1&amp;_sop=13" r:id="rId83"/>
    <hyperlink xmlns:r="http://schemas.openxmlformats.org/officeDocument/2006/relationships" ref="I89" display="https://www.ebay.com/sch/i.html?_nkw=Mela+SIR+Obsidian+Flames+229/197+PSA+10&amp;LH_Sold=1&amp;LH_Complete=1&amp;_sop=13" r:id="rId84"/>
    <hyperlink xmlns:r="http://schemas.openxmlformats.org/officeDocument/2006/relationships" ref="I90" display="https://www.ebay.com/sch/i.html?_nkw=Iron+Hands+ex+Alt+Art+Paradox+Rift+228/182+PSA+10&amp;LH_Sold=1&amp;LH_Complete=1&amp;_sop=13" r:id="rId85"/>
    <hyperlink xmlns:r="http://schemas.openxmlformats.org/officeDocument/2006/relationships" ref="I91" display="https://www.ebay.com/sch/i.html?_nkw=Roaring+Moon+ex+Alt+Art+Paradox+Rift+229/182+PSA+10&amp;LH_Sold=1&amp;LH_Complete=1&amp;_sop=13" r:id="rId86"/>
    <hyperlink xmlns:r="http://schemas.openxmlformats.org/officeDocument/2006/relationships" ref="I92" display="https://www.ebay.com/sch/i.html?_nkw=Penny+SIR+Paradox+Rift+238/182+PSA+10&amp;LH_Sold=1&amp;LH_Complete=1&amp;_sop=13" r:id="rId87"/>
    <hyperlink xmlns:r="http://schemas.openxmlformats.org/officeDocument/2006/relationships" ref="I93" display="https://www.ebay.com/sch/i.html?_nkw=Garchomp+ex+Alt+Art+Paradox+Rift+230/182+PSA+10&amp;LH_Sold=1&amp;LH_Complete=1&amp;_sop=13" r:id="rId88"/>
    <hyperlink xmlns:r="http://schemas.openxmlformats.org/officeDocument/2006/relationships" ref="I94" display="https://www.ebay.com/sch/i.html?_nkw=Roaring+Moon+ex+SIR+Paradox+Rift+251/182+PSA+10&amp;LH_Sold=1&amp;LH_Complete=1&amp;_sop=13" r:id="rId89"/>
    <hyperlink xmlns:r="http://schemas.openxmlformats.org/officeDocument/2006/relationships" ref="I95" display="https://www.ebay.com/sch/i.html?_nkw=Garchomp+ex+SIR+Paradox+Rift+252/182+PSA+10&amp;LH_Sold=1&amp;LH_Complete=1&amp;_sop=13" r:id="rId90"/>
    <hyperlink xmlns:r="http://schemas.openxmlformats.org/officeDocument/2006/relationships" ref="I96" display="https://www.ebay.com/sch/i.html?_nkw=Charizard+ex+Shiny+Paldean+Fates+234/091+PSA+10&amp;LH_Sold=1&amp;LH_Complete=1&amp;_sop=13" r:id="rId91"/>
    <hyperlink xmlns:r="http://schemas.openxmlformats.org/officeDocument/2006/relationships" ref="I97" display="https://www.ebay.com/sch/i.html?_nkw=Mewtwo+ex+Shiny+Paldean+Fates+235/091+PSA+10&amp;LH_Sold=1&amp;LH_Complete=1&amp;_sop=13" r:id="rId92"/>
    <hyperlink xmlns:r="http://schemas.openxmlformats.org/officeDocument/2006/relationships" ref="I98" display="https://www.ebay.com/sch/i.html?_nkw=Pikachu+Shiny+Paldean+Fates+232/091+PSA+10&amp;LH_Sold=1&amp;LH_Complete=1&amp;_sop=13" r:id="rId93"/>
    <hyperlink xmlns:r="http://schemas.openxmlformats.org/officeDocument/2006/relationships" ref="I99" display="https://www.ebay.com/sch/i.html?_nkw=Greninja+ex+SIR+Twilight+Masquerade+232/167+PSA+10&amp;LH_Sold=1&amp;LH_Complete=1&amp;_sop=13" r:id="rId94"/>
    <hyperlink xmlns:r="http://schemas.openxmlformats.org/officeDocument/2006/relationships" ref="I100" display="https://www.ebay.com/sch/i.html?_nkw=Carmine+SIR+Twilight+Masquerade+229/167+PSA+10&amp;LH_Sold=1&amp;LH_Complete=1&amp;_sop=13" r:id="rId95"/>
    <hyperlink xmlns:r="http://schemas.openxmlformats.org/officeDocument/2006/relationships" ref="I101" display="https://www.ebay.com/sch/i.html?_nkw=Hoothoot+SIR+Twilight+Masquerade+230/167+PSA+10&amp;LH_Sold=1&amp;LH_Complete=1&amp;_sop=13" r:id="rId96"/>
    <hyperlink xmlns:r="http://schemas.openxmlformats.org/officeDocument/2006/relationships" ref="I102" display="https://www.ebay.com/sch/i.html?_nkw=Pecharunt+ex+SIR+Shrouded+Fable+086/064+PSA+10&amp;LH_Sold=1&amp;LH_Complete=1&amp;_sop=13" r:id="rId97"/>
    <hyperlink xmlns:r="http://schemas.openxmlformats.org/officeDocument/2006/relationships" ref="I103" display="https://www.ebay.com/sch/i.html?_nkw=Fezandipiti+ex+Alt+Art+Shrouded+Fable+071/064+PSA+10&amp;LH_Sold=1&amp;LH_Complete=1&amp;_sop=13" r:id="rId98"/>
    <hyperlink xmlns:r="http://schemas.openxmlformats.org/officeDocument/2006/relationships" ref="I104" display="https://www.ebay.com/sch/i.html?_nkw=Terapagos+ex+SIR+Stellar+Crown+176/142+PSA+10&amp;LH_Sold=1&amp;LH_Complete=1&amp;_sop=13" r:id="rId99"/>
    <hyperlink xmlns:r="http://schemas.openxmlformats.org/officeDocument/2006/relationships" ref="I105" display="https://www.ebay.com/sch/i.html?_nkw=Lacey+SIR+Stellar+Crown+171/142+PSA+10&amp;LH_Sold=1&amp;LH_Complete=1&amp;_sop=13" r:id="rId100"/>
    <hyperlink xmlns:r="http://schemas.openxmlformats.org/officeDocument/2006/relationships" ref="I106" display="https://www.ebay.com/sch/i.html?_nkw=Pikachu+ex+Alt+Art+Surging+Sparks+238/191+PSA+10&amp;LH_Sold=1&amp;LH_Complete=1&amp;_sop=13" r:id="rId101"/>
    <hyperlink xmlns:r="http://schemas.openxmlformats.org/officeDocument/2006/relationships" ref="I107" display="https://www.ebay.com/sch/i.html?_nkw=Latias+ex+Alt+Art+Surging+Sparks+239/191+PSA+10&amp;LH_Sold=1&amp;LH_Complete=1&amp;_sop=13" r:id="rId102"/>
    <hyperlink xmlns:r="http://schemas.openxmlformats.org/officeDocument/2006/relationships" ref="I108" display="https://www.ebay.com/sch/i.html?_nkw=Hydreigon+ex+Alt+Art+Surging+Sparks+240/191+PSA+10&amp;LH_Sold=1&amp;LH_Complete=1&amp;_sop=13" r:id="rId103"/>
    <hyperlink xmlns:r="http://schemas.openxmlformats.org/officeDocument/2006/relationships" ref="I109" display="https://www.ebay.com/sch/i.html?_nkw=Umbreon+ex+SIR+Prismatic+Evolutions+161/131+PSA+10&amp;LH_Sold=1&amp;LH_Complete=1&amp;_sop=13" r:id="rId104"/>
    <hyperlink xmlns:r="http://schemas.openxmlformats.org/officeDocument/2006/relationships" ref="I110" display="https://www.ebay.com/sch/i.html?_nkw=Umbreon+ex+SIR+Prismatic+Evolutions+161/131+Raw+NM&amp;LH_Sold=1&amp;LH_Complete=1&amp;_sop=13" r:id="rId105"/>
    <hyperlink xmlns:r="http://schemas.openxmlformats.org/officeDocument/2006/relationships" ref="I111" display="https://www.ebay.com/sch/i.html?_nkw=Sylveon+ex+SIR+Prismatic+Evolutions+156/131+PSA+10&amp;LH_Sold=1&amp;LH_Complete=1&amp;_sop=13" r:id="rId106"/>
    <hyperlink xmlns:r="http://schemas.openxmlformats.org/officeDocument/2006/relationships" ref="I112" display="https://www.ebay.com/sch/i.html?_nkw=Espeon+ex+SIR+Prismatic+Evolutions+155/131+PSA+10&amp;LH_Sold=1&amp;LH_Complete=1&amp;_sop=13" r:id="rId107"/>
    <hyperlink xmlns:r="http://schemas.openxmlformats.org/officeDocument/2006/relationships" ref="I113" display="https://www.ebay.com/sch/i.html?_nkw=Vaporeon+ex+SIR+Prismatic+Evolutions+159/131+PSA+10&amp;LH_Sold=1&amp;LH_Complete=1&amp;_sop=13" r:id="rId108"/>
    <hyperlink xmlns:r="http://schemas.openxmlformats.org/officeDocument/2006/relationships" ref="I114" display="https://www.ebay.com/sch/i.html?_nkw=Glaceon+ex+SIR+Prismatic+Evolutions+158/131+PSA+10&amp;LH_Sold=1&amp;LH_Complete=1&amp;_sop=13" r:id="rId109"/>
    <hyperlink xmlns:r="http://schemas.openxmlformats.org/officeDocument/2006/relationships" ref="I115" display="https://www.ebay.com/sch/i.html?_nkw=Leafeon+ex+SIR+Prismatic+Evolutions+144/131+PSA+10&amp;LH_Sold=1&amp;LH_Complete=1&amp;_sop=13" r:id="rId110"/>
    <hyperlink xmlns:r="http://schemas.openxmlformats.org/officeDocument/2006/relationships" ref="I116" display="https://www.ebay.com/sch/i.html?_nkw=Marnie+SIR+Journey+Together+180/159+PSA+10&amp;LH_Sold=1&amp;LH_Complete=1&amp;_sop=13" r:id="rId111"/>
    <hyperlink xmlns:r="http://schemas.openxmlformats.org/officeDocument/2006/relationships" ref="I117" display="https://www.ebay.com/sch/i.html?_nkw=N's+Zoroark+ex+Alt+Journey+Together+175/159+PSA+10&amp;LH_Sold=1&amp;LH_Complete=1&amp;_sop=13" r:id="rId112"/>
    <hyperlink xmlns:r="http://schemas.openxmlformats.org/officeDocument/2006/relationships" ref="I118" display="https://www.ebay.com/sch/i.html?_nkw=Lillie's+Determination+SIR+Mega+Evolution+(ME01)+184/132+PSA+10&amp;LH_Sold=1&amp;LH_Complete=1&amp;_sop=13" r:id="rId113"/>
    <hyperlink xmlns:r="http://schemas.openxmlformats.org/officeDocument/2006/relationships" ref="I119" display="https://www.ebay.com/sch/i.html?_nkw=Lillie's+Determination+SIR+Mega+Evolution+(ME01)+184/132+Raw+NM&amp;LH_Sold=1&amp;LH_Complete=1&amp;_sop=13" r:id="rId114"/>
    <hyperlink xmlns:r="http://schemas.openxmlformats.org/officeDocument/2006/relationships" ref="I120" display="https://www.ebay.com/sch/i.html?_nkw=Mega+Charizard+X+ex+SIR+Mega+Evolution+(ME01)+180/132+PSA+10&amp;LH_Sold=1&amp;LH_Complete=1&amp;_sop=13" r:id="rId115"/>
    <hyperlink xmlns:r="http://schemas.openxmlformats.org/officeDocument/2006/relationships" ref="I121" display="https://www.ebay.com/sch/i.html?_nkw=Mega+Gengar+ex+SIR+Ascended+Heroes+284/217+PSA+10&amp;LH_Sold=1&amp;LH_Complete=1&amp;_sop=13" r:id="rId116"/>
    <hyperlink xmlns:r="http://schemas.openxmlformats.org/officeDocument/2006/relationships" ref="I122" display="https://www.ebay.com/sch/i.html?_nkw=Mega+Gengar+ex+SIR+Ascended+Heroes+284/217+Raw+NM&amp;LH_Sold=1&amp;LH_Complete=1&amp;_sop=13" r:id="rId117"/>
    <hyperlink xmlns:r="http://schemas.openxmlformats.org/officeDocument/2006/relationships" ref="I123" display="https://www.ebay.com/sch/i.html?_nkw=Mega+Gengar+ex+MAR+Ascended+Heroes+269/217+PSA+10&amp;LH_Sold=1&amp;LH_Complete=1&amp;_sop=13" r:id="rId118"/>
    <hyperlink xmlns:r="http://schemas.openxmlformats.org/officeDocument/2006/relationships" ref="I124" display="https://www.ebay.com/sch/i.html?_nkw=Mega+Rayquaza+ex+SIR+Ascended+Heroes+286/217+PSA+10&amp;LH_Sold=1&amp;LH_Complete=1&amp;_sop=13" r:id="rId119"/>
    <hyperlink xmlns:r="http://schemas.openxmlformats.org/officeDocument/2006/relationships" ref="I125" display="https://www.ebay.com/sch/i.html?_nkw=Mega+Lucario+ex+SIR+Ascended+Heroes+285/217+PSA+10&amp;LH_Sold=1&amp;LH_Complete=1&amp;_sop=13" r:id="rId120"/>
    <hyperlink xmlns:r="http://schemas.openxmlformats.org/officeDocument/2006/relationships" ref="I126" display="https://www.ebay.com/sch/i.html?_nkw=Mega+Lopunny+ex+SIR+Ascended+Heroes+283/217+PSA+10&amp;LH_Sold=1&amp;LH_Complete=1&amp;_sop=13" r:id="rId121"/>
    <hyperlink xmlns:r="http://schemas.openxmlformats.org/officeDocument/2006/relationships" ref="I127" display="https://www.ebay.com/sch/i.html?_nkw=Mega+Charizard+Y+ex+SIR+Ascended+Heroes+288/217+Raw+NM&amp;LH_Sold=1&amp;LH_Complete=1&amp;_sop=13" r:id="rId122"/>
    <hyperlink xmlns:r="http://schemas.openxmlformats.org/officeDocument/2006/relationships" ref="I128" display="https://www.ebay.com/sch/i.html?_nkw=Mega+Charizard+Y+ex+SIR+Ascended+Heroes+288/217+PSA+10&amp;LH_Sold=1&amp;LH_Complete=1&amp;_sop=13" r:id="rId123"/>
    <hyperlink xmlns:r="http://schemas.openxmlformats.org/officeDocument/2006/relationships" ref="I129" display="https://www.ebay.com/sch/i.html?_nkw=Van+Gogh+Pikachu+Van+Gogh+Museum+Promo+085+PSA+10&amp;LH_Sold=1&amp;LH_Complete=1&amp;_sop=13" r:id="rId124"/>
    <hyperlink xmlns:r="http://schemas.openxmlformats.org/officeDocument/2006/relationships" ref="I130" display="https://www.ebay.com/sch/i.html?_nkw=Van+Gogh+Pikachu+Van+Gogh+Museum+Promo+085+Raw+NM&amp;LH_Sold=1&amp;LH_Complete=1&amp;_sop=13" r:id="rId125"/>
    <hyperlink xmlns:r="http://schemas.openxmlformats.org/officeDocument/2006/relationships" ref="I131" display="https://www.ebay.com/sch/i.html?_nkw=Pokemon+Day+2026+Pikachu+Promo+30th+Anniversary+Promo+001/030+PSA+10&amp;LH_Sold=1&amp;LH_Complete=1&amp;_sop=13" r:id="rId126"/>
    <hyperlink xmlns:r="http://schemas.openxmlformats.org/officeDocument/2006/relationships" ref="I132" location="24+24+PSA+10&amp;LH_Sold=1&amp;LH_Complete=1&amp;_sop=13" display="https://www.ebay.com/sch/i.html?_nkw=Birthday+Pikachu+Promo+Black+Star+Promo+#24+24+PSA+10&amp;LH_Sold=1&amp;LH_Complete=1&amp;_sop=13" r:id="rId127"/>
    <hyperlink xmlns:r="http://schemas.openxmlformats.org/officeDocument/2006/relationships" ref="I133" display="https://www.ebay.com/sch/i.html?_nkw=Tropical+Wind+Trainer+WCS+2010+Promo+PSA+10&amp;LH_Sold=1&amp;LH_Complete=1&amp;_sop=13" r:id="rId128"/>
    <hyperlink xmlns:r="http://schemas.openxmlformats.org/officeDocument/2006/relationships" ref="I134" display="https://www.ebay.com/sch/i.html?_nkw=Evolving+Skies+Booster+Box+Evolving+Skies+Box+Sealed+(36+packs)&amp;LH_Sold=1&amp;LH_Complete=1&amp;_sop=13" r:id="rId129"/>
    <hyperlink xmlns:r="http://schemas.openxmlformats.org/officeDocument/2006/relationships" ref="I135" display="https://www.ebay.com/sch/i.html?_nkw=Evolving+Skies+ETB+Evolving+Skies+ETB+Sealed&amp;LH_Sold=1&amp;LH_Complete=1&amp;_sop=13" r:id="rId130"/>
    <hyperlink xmlns:r="http://schemas.openxmlformats.org/officeDocument/2006/relationships" ref="I136" display="https://www.ebay.com/sch/i.html?_nkw=Evolving+Skies+Booster+Bundle+Evolving+Skies+Bundle+Sealed+(6+packs)&amp;LH_Sold=1&amp;LH_Complete=1&amp;_sop=13" r:id="rId131"/>
    <hyperlink xmlns:r="http://schemas.openxmlformats.org/officeDocument/2006/relationships" ref="I137" display="https://www.ebay.com/sch/i.html?_nkw=Crown+Zenith+ETB+Crown+Zenith+ETB+Sealed&amp;LH_Sold=1&amp;LH_Complete=1&amp;_sop=13" r:id="rId132"/>
    <hyperlink xmlns:r="http://schemas.openxmlformats.org/officeDocument/2006/relationships" ref="I138" display="https://www.ebay.com/sch/i.html?_nkw=Crown+Zenith+Premium+Playmat+Collection+Crown+Zenith+PPC+Sealed&amp;LH_Sold=1&amp;LH_Complete=1&amp;_sop=13" r:id="rId133"/>
    <hyperlink xmlns:r="http://schemas.openxmlformats.org/officeDocument/2006/relationships" ref="I139" display="https://www.ebay.com/sch/i.html?_nkw=Brilliant+Stars+BB+Brilliant+Stars+Box+Sealed+(36+packs)&amp;LH_Sold=1&amp;LH_Complete=1&amp;_sop=13" r:id="rId134"/>
    <hyperlink xmlns:r="http://schemas.openxmlformats.org/officeDocument/2006/relationships" ref="I140" display="https://www.ebay.com/sch/i.html?_nkw=Astral+Radiance+BB+Astral+Radiance+Box+Sealed+(36+packs)&amp;LH_Sold=1&amp;LH_Complete=1&amp;_sop=13" r:id="rId135"/>
    <hyperlink xmlns:r="http://schemas.openxmlformats.org/officeDocument/2006/relationships" ref="I141" display="https://www.ebay.com/sch/i.html?_nkw=Lost+Origin+BB+Lost+Origin+Box+Sealed+(36+packs)&amp;LH_Sold=1&amp;LH_Complete=1&amp;_sop=13" r:id="rId136"/>
    <hyperlink xmlns:r="http://schemas.openxmlformats.org/officeDocument/2006/relationships" ref="I142" display="https://www.ebay.com/sch/i.html?_nkw=Silver+Tempest+BB+Silver+Tempest+Box+Sealed+(36+packs)&amp;LH_Sold=1&amp;LH_Complete=1&amp;_sop=13" r:id="rId137"/>
    <hyperlink xmlns:r="http://schemas.openxmlformats.org/officeDocument/2006/relationships" ref="I143" display="https://www.ebay.com/sch/i.html?_nkw=SV+151+Booster+Bundle+Scarlet++Violet+151+Bundle+Sealed+(6+packs)&amp;LH_Sold=1&amp;LH_Complete=1&amp;_sop=13" r:id="rId138"/>
    <hyperlink xmlns:r="http://schemas.openxmlformats.org/officeDocument/2006/relationships" ref="I144" display="https://www.ebay.com/sch/i.html?_nkw=SV+151+ETB+Scarlet++Violet+151+ETB+Sealed&amp;LH_Sold=1&amp;LH_Complete=1&amp;_sop=13" r:id="rId139"/>
    <hyperlink xmlns:r="http://schemas.openxmlformats.org/officeDocument/2006/relationships" ref="I145" display="https://www.ebay.com/sch/i.html?_nkw=SV+151+Ultra-Premium+Collection+Scarlet++Violet+151+UPC+Sealed&amp;LH_Sold=1&amp;LH_Complete=1&amp;_sop=13" r:id="rId140"/>
    <hyperlink xmlns:r="http://schemas.openxmlformats.org/officeDocument/2006/relationships" ref="I146" display="https://www.ebay.com/sch/i.html?_nkw=Paldea+Evolved+BB+Paldea+Evolved+Box+Sealed+(36+packs)&amp;LH_Sold=1&amp;LH_Complete=1&amp;_sop=13" r:id="rId141"/>
    <hyperlink xmlns:r="http://schemas.openxmlformats.org/officeDocument/2006/relationships" ref="I147" display="https://www.ebay.com/sch/i.html?_nkw=Obsidian+Flames+BB+Obsidian+Flames+Box+Sealed+(36+packs)&amp;LH_Sold=1&amp;LH_Complete=1&amp;_sop=13" r:id="rId142"/>
    <hyperlink xmlns:r="http://schemas.openxmlformats.org/officeDocument/2006/relationships" ref="I148" display="https://www.ebay.com/sch/i.html?_nkw=Obsidian+Flames+ETB+Obsidian+Flames+ETB+Sealed&amp;LH_Sold=1&amp;LH_Complete=1&amp;_sop=13" r:id="rId143"/>
    <hyperlink xmlns:r="http://schemas.openxmlformats.org/officeDocument/2006/relationships" ref="I149" display="https://www.ebay.com/sch/i.html?_nkw=Paldean+Fates+ETB+Paldean+Fates+ETB+Sealed&amp;LH_Sold=1&amp;LH_Complete=1&amp;_sop=13" r:id="rId144"/>
    <hyperlink xmlns:r="http://schemas.openxmlformats.org/officeDocument/2006/relationships" ref="I150" display="https://www.ebay.com/sch/i.html?_nkw=Paldean+Fates+Booster+Bundle+Paldean+Fates+Bundle+Sealed+(6+packs)&amp;LH_Sold=1&amp;LH_Complete=1&amp;_sop=13" r:id="rId145"/>
    <hyperlink xmlns:r="http://schemas.openxmlformats.org/officeDocument/2006/relationships" ref="I151" display="https://www.ebay.com/sch/i.html?_nkw=Paradox+Rift+BB+Paradox+Rift+Box+Sealed+(36+packs)&amp;LH_Sold=1&amp;LH_Complete=1&amp;_sop=13" r:id="rId146"/>
    <hyperlink xmlns:r="http://schemas.openxmlformats.org/officeDocument/2006/relationships" ref="I152" display="https://www.ebay.com/sch/i.html?_nkw=Paradox+Rift+ETB+Paradox+Rift+ETB+Sealed&amp;LH_Sold=1&amp;LH_Complete=1&amp;_sop=13" r:id="rId147"/>
    <hyperlink xmlns:r="http://schemas.openxmlformats.org/officeDocument/2006/relationships" ref="I153" display="https://www.ebay.com/sch/i.html?_nkw=Twilight+Masquerade+BB+Twilight+Masquerade+Box+Sealed+(36+packs)&amp;LH_Sold=1&amp;LH_Complete=1&amp;_sop=13" r:id="rId148"/>
    <hyperlink xmlns:r="http://schemas.openxmlformats.org/officeDocument/2006/relationships" ref="I154" display="https://www.ebay.com/sch/i.html?_nkw=Shrouded+Fable+Tin+Shrouded+Fable+Tin+Sealed&amp;LH_Sold=1&amp;LH_Complete=1&amp;_sop=13" r:id="rId149"/>
    <hyperlink xmlns:r="http://schemas.openxmlformats.org/officeDocument/2006/relationships" ref="I155" display="https://www.ebay.com/sch/i.html?_nkw=Stellar+Crown+BB+Stellar+Crown+Box+Sealed+(36+packs)&amp;LH_Sold=1&amp;LH_Complete=1&amp;_sop=13" r:id="rId150"/>
    <hyperlink xmlns:r="http://schemas.openxmlformats.org/officeDocument/2006/relationships" ref="I156" display="https://www.ebay.com/sch/i.html?_nkw=Surging+Sparks+BB+Surging+Sparks+Box+Sealed+(36+packs)&amp;LH_Sold=1&amp;LH_Complete=1&amp;_sop=13" r:id="rId151"/>
    <hyperlink xmlns:r="http://schemas.openxmlformats.org/officeDocument/2006/relationships" ref="I157" display="https://www.ebay.com/sch/i.html?_nkw=Prismatic+Evolutions+ETB+Prismatic+Evolutions+ETB+Sealed&amp;LH_Sold=1&amp;LH_Complete=1&amp;_sop=13" r:id="rId152"/>
    <hyperlink xmlns:r="http://schemas.openxmlformats.org/officeDocument/2006/relationships" ref="I158" display="https://www.ebay.com/sch/i.html?_nkw=Prismatic+Evolutions+Booster+Bundle+Prismatic+Evolutions+Bundle+Sealed+(6+packs)&amp;LH_Sold=1&amp;LH_Complete=1&amp;_sop=13" r:id="rId153"/>
    <hyperlink xmlns:r="http://schemas.openxmlformats.org/officeDocument/2006/relationships" ref="I159" display="https://www.ebay.com/sch/i.html?_nkw=Mega+Evolution+(ME01)+BB+Mega+Evolution+(ME01)+Box+Sealed&amp;LH_Sold=1&amp;LH_Complete=1&amp;_sop=13" r:id="rId154"/>
    <hyperlink xmlns:r="http://schemas.openxmlformats.org/officeDocument/2006/relationships" ref="I160" display="https://www.ebay.com/sch/i.html?_nkw=Ascended+Heroes+(ME2.5)+BB+Ascended+Heroes+Box+Sealed&amp;LH_Sold=1&amp;LH_Complete=1&amp;_sop=13" r:id="rId155"/>
    <hyperlink xmlns:r="http://schemas.openxmlformats.org/officeDocument/2006/relationships" ref="I161" display="https://www.ebay.com/sch/i.html?_nkw=Pokemon+Day+2026+Collection+30th+Anniversary+Promo+Box+Sealed&amp;LH_Sold=1&amp;LH_Complete=1&amp;_sop=13" r:id="rId156"/>
    <hyperlink xmlns:r="http://schemas.openxmlformats.org/officeDocument/2006/relationships" ref="I162" display="https://www.ebay.com/sch/i.html?_nkw=30th+Anniversary+ETB+30th+Anniversary+Promo+ETB+Sealed&amp;LH_Sold=1&amp;LH_Complete=1&amp;_sop=13" r:id="rId157"/>
    <hyperlink xmlns:r="http://schemas.openxmlformats.org/officeDocument/2006/relationships" ref="I163" display="https://www.ebay.com/sch/i.html?_nkw=Charizard+ex+Premium+Collection+Black+Star+Promo+Premium+Sealed&amp;LH_Sold=1&amp;LH_Complete=1&amp;_sop=13" r:id="rId158"/>
    <hyperlink xmlns:r="http://schemas.openxmlformats.org/officeDocument/2006/relationships" ref="I164" display="https://www.ebay.com/sch/i.html?_nkw=Mew+Ultra-Premium+Collection+Promo+UPC+Sealed&amp;LH_Sold=1&amp;LH_Complete=1&amp;_sop=13" r:id="rId159"/>
    <hyperlink xmlns:r="http://schemas.openxmlformats.org/officeDocument/2006/relationships" ref="I165" display="https://www.ebay.com/sch/i.html?_nkw=Crown+Zenith+Tin+Crown+Zenith+Tin+Sealed&amp;LH_Sold=1&amp;LH_Complete=1&amp;_sop=13" r:id="rId160"/>
    <hyperlink xmlns:r="http://schemas.openxmlformats.org/officeDocument/2006/relationships" ref="I166" display="https://www.ebay.com/sch/i.html?_nkw=Iono+SIR+Paldea+Evolved+269/193+Raw+NM&amp;LH_Sold=1&amp;LH_Complete=1&amp;_sop=13" r:id="rId161"/>
    <hyperlink xmlns:r="http://schemas.openxmlformats.org/officeDocument/2006/relationships" ref="I167" display="https://www.ebay.com/sch/i.html?_nkw=Pikachu+V-Union+Promo+SWSH+Promos+SWSH212-215+PSA+10+set&amp;LH_Sold=1&amp;LH_Complete=1&amp;_sop=13" r:id="rId162"/>
    <hyperlink xmlns:r="http://schemas.openxmlformats.org/officeDocument/2006/relationships" ref="I168" display="https://www.ebay.com/sch/i.html?_nkw=Marnie+Full+Art+Sword++Shield+200/202+PSA+10&amp;LH_Sold=1&amp;LH_Complete=1&amp;_sop=13" r:id="rId163"/>
    <hyperlink xmlns:r="http://schemas.openxmlformats.org/officeDocument/2006/relationships" ref="I169" display="https://www.ebay.com/sch/i.html?_nkw=Cynthia+Full+Art+Ultra+Prism+148/156+PSA+10&amp;LH_Sold=1&amp;LH_Complete=1&amp;_sop=13" r:id="rId164"/>
    <hyperlink xmlns:r="http://schemas.openxmlformats.org/officeDocument/2006/relationships" ref="I170" display="https://www.ebay.com/sch/i.html?_nkw=Erika's+Invitation+SIR+151+203/165+PSA+10&amp;LH_Sold=1&amp;LH_Complete=1&amp;_sop=13" r:id="rId165"/>
    <hyperlink xmlns:r="http://schemas.openxmlformats.org/officeDocument/2006/relationships" ref="I171" display="https://www.ebay.com/sch/i.html?_nkw=Misty's+Determination+SIR+Mega+Evolution+ME01+Trainer+SIR+PSA+10&amp;LH_Sold=1&amp;LH_Complete=1&amp;_sop=13" r:id="rId166"/>
    <hyperlink xmlns:r="http://schemas.openxmlformats.org/officeDocument/2006/relationships" ref="I172" display="https://www.ebay.com/sch/i.html?_nkw=Mewtwo+Wave+Holo+Promo+Black+Star+Promo+14+PSA+10&amp;LH_Sold=1&amp;LH_Complete=1&amp;_sop=13" r:id="rId167"/>
    <hyperlink xmlns:r="http://schemas.openxmlformats.org/officeDocument/2006/relationships" ref="I173" display="https://www.ebay.com/sch/i.html?_nkw=Ancient+Mew+Movie+Promo+Promo+PSA+10&amp;LH_Sold=1&amp;LH_Complete=1&amp;_sop=13" r:id="rId168"/>
    <hyperlink xmlns:r="http://schemas.openxmlformats.org/officeDocument/2006/relationships" ref="I174" display="https://www.ebay.com/sch/i.html?_nkw=_M+Charizard+EX+Full+Art+Flashfire+100/106+PSA+10&amp;LH_Sold=1&amp;LH_Complete=1&amp;_sop=13" r:id="rId169"/>
    <hyperlink xmlns:r="http://schemas.openxmlformats.org/officeDocument/2006/relationships" ref="I175" display="https://www.ebay.com/sch/i.html?_nkw=M+Rayquaza+EX+Full+Art+Roaring+Skies+76/108+PSA+10&amp;LH_Sold=1&amp;LH_Complete=1&amp;_sop=13" r:id="rId170"/>
    <hyperlink xmlns:r="http://schemas.openxmlformats.org/officeDocument/2006/relationships" ref="I176" display="https://www.ebay.com/sch/i.html?_nkw=Charizard+Star+(Delta+Species)+EX+Crystal+Guardians+100/100+PSA+9&amp;LH_Sold=1&amp;LH_Complete=1&amp;_sop=13" r:id="rId171"/>
    <hyperlink xmlns:r="http://schemas.openxmlformats.org/officeDocument/2006/relationships" ref="I177" display="https://www.ebay.com/sch/i.html?_nkw=Mimikyu+V+Alt+Art+Lost+Origin+TG07/TG30+PSA+10&amp;LH_Sold=1&amp;LH_Complete=1&amp;_sop=13" r:id="rId172"/>
    <hyperlink xmlns:r="http://schemas.openxmlformats.org/officeDocument/2006/relationships" ref="I178" display="https://www.ebay.com/sch/i.html?_nkw=Eevee+Heroes+Eevee+V+Alt+Art+Eevee+Heroes+(JP)+JP-only+PSA+10&amp;LH_Sold=1&amp;LH_Complete=1&amp;_sop=13" r:id="rId173"/>
    <hyperlink xmlns:r="http://schemas.openxmlformats.org/officeDocument/2006/relationships" ref="I179" display="https://www.ebay.com/sch/i.html?_nkw=Charizard+Star+Holographic+Various+Promo+PSA+10&amp;LH_Sold=1&amp;LH_Complete=1&amp;_sop=13" r:id="rId174"/>
    <hyperlink xmlns:r="http://schemas.openxmlformats.org/officeDocument/2006/relationships" ref="I180" display="https://www.ebay.com/sch/i.html?_nkw=Crystal+Charizard+Skyridge+146/144+PSA+9&amp;LH_Sold=1&amp;LH_Complete=1&amp;_sop=13" r:id="rId175"/>
    <hyperlink xmlns:r="http://schemas.openxmlformats.org/officeDocument/2006/relationships" ref="I181" display="https://www.ebay.com/sch/i.html?_nkw=Pikachu+Promo+(Japanese)+Pokemon+Center+Japan+25th+JP+Promo+PSA+10&amp;LH_Sold=1&amp;LH_Complete=1&amp;_sop=13" r:id="rId176"/>
    <hyperlink xmlns:r="http://schemas.openxmlformats.org/officeDocument/2006/relationships" ref="I182" display="https://www.ebay.com/sch/i.html?_nkw=Mew+V+CHR+(Japanese)+VMAX+Climax+JP+PSA+10&amp;LH_Sold=1&amp;LH_Complete=1&amp;_sop=13" r:id="rId177"/>
    <hyperlink xmlns:r="http://schemas.openxmlformats.org/officeDocument/2006/relationships" ref="I183" display="https://www.ebay.com/sch/i.html?_nkw=Charizard+V+CSR+(Japanese)+VMAX+Climax+JP+PSA+10&amp;LH_Sold=1&amp;LH_Complete=1&amp;_sop=13" r:id="rId178"/>
    <hyperlink xmlns:r="http://schemas.openxmlformats.org/officeDocument/2006/relationships" ref="I184" display="https://www.ebay.com/sch/i.html?_nkw=Rayquaza+V+Alt+Art+(Japanese)+Eevee+Heroes+JP+JP+PSA+10&amp;LH_Sold=1&amp;LH_Complete=1&amp;_sop=13" r:id="rId179"/>
    <hyperlink xmlns:r="http://schemas.openxmlformats.org/officeDocument/2006/relationships" ref="I185" display="https://www.ebay.com/sch/i.html?_nkw=Umbreon+VMAX+Alt+(Japanese)+Eevee+Heroes+JP+JP+PSA+10&amp;LH_Sold=1&amp;LH_Complete=1&amp;_sop=13" r:id="rId180"/>
    <hyperlink xmlns:r="http://schemas.openxmlformats.org/officeDocument/2006/relationships" ref="I186" display="https://www.ebay.com/sch/i.html?_nkw=Lugia+VSTAR+(Japanese)+Paradigm+Trigger+JP+PSA+10&amp;LH_Sold=1&amp;LH_Complete=1&amp;_sop=13" r:id="rId181"/>
    <hyperlink xmlns:r="http://schemas.openxmlformats.org/officeDocument/2006/relationships" ref="I187" display="https://www.ebay.com/sch/i.html?_nkw=Trainer's+Card+(Pokemon+Day+JP)+Pokemon+Day+JP+JP+Trophy+PSA+9&amp;LH_Sold=1&amp;LH_Complete=1&amp;_sop=13" r:id="rId182"/>
    <hyperlink xmlns:r="http://schemas.openxmlformats.org/officeDocument/2006/relationships" ref="I188" display="https://www.ebay.com/sch/i.html?_nkw=Mewtwo+Star+(JP+Promo)+Movie+Commemoration+JP+Promo+PSA+9&amp;LH_Sold=1&amp;LH_Complete=1&amp;_sop=13" r:id="rId183"/>
    <hyperlink xmlns:r="http://schemas.openxmlformats.org/officeDocument/2006/relationships" ref="I189" display="https://www.ebay.com/sch/i.html?_nkw=VSTAR+Universe+High-Class+Box+VSTAR+Universe+JP+JP+Box+Sealed&amp;LH_Sold=1&amp;LH_Complete=1&amp;_sop=13" r:id="rId184"/>
    <hyperlink xmlns:r="http://schemas.openxmlformats.org/officeDocument/2006/relationships" ref="I190" display="https://www.ebay.com/sch/i.html?_nkw=Eevee+Heroes+Booster+Box+(JP)+Eevee+Heroes+JP+JP+Box+Sealed&amp;LH_Sold=1&amp;LH_Complete=1&amp;_sop=13" r:id="rId185"/>
    <hyperlink xmlns:r="http://schemas.openxmlformats.org/officeDocument/2006/relationships" ref="I191" display="https://www.ebay.com/sch/i.html?_nkw=Pikachu+Jungle+1st+Edition+60/64+PSA+10&amp;LH_Sold=1&amp;LH_Complete=1&amp;_sop=13" r:id="rId186"/>
    <hyperlink xmlns:r="http://schemas.openxmlformats.org/officeDocument/2006/relationships" ref="I192" display="https://www.ebay.com/sch/i.html?_nkw=Snorlax+Jungle+1st+Edition+11/64+PSA+9&amp;LH_Sold=1&amp;LH_Complete=1&amp;_sop=13" r:id="rId187"/>
    <hyperlink xmlns:r="http://schemas.openxmlformats.org/officeDocument/2006/relationships" ref="I193" display="https://www.ebay.com/sch/i.html?_nkw=Aerodactyl+Fossil+1st+Edition+1/62+PSA+9&amp;LH_Sold=1&amp;LH_Complete=1&amp;_sop=13" r:id="rId188"/>
    <hyperlink xmlns:r="http://schemas.openxmlformats.org/officeDocument/2006/relationships" ref="I194" display="https://www.ebay.com/sch/i.html?_nkw=Gengar+Fossil+1st+Edition+5/62+PSA+9&amp;LH_Sold=1&amp;LH_Complete=1&amp;_sop=13" r:id="rId189"/>
    <hyperlink xmlns:r="http://schemas.openxmlformats.org/officeDocument/2006/relationships" ref="I195" display="https://www.ebay.com/sch/i.html?_nkw=Dark+Charizard+Team+Rocket+1st+Edition+4/82+PSA+10&amp;LH_Sold=1&amp;LH_Complete=1&amp;_sop=13" r:id="rId190"/>
    <hyperlink xmlns:r="http://schemas.openxmlformats.org/officeDocument/2006/relationships" ref="I196" display="https://www.ebay.com/sch/i.html?_nkw=Dark+Blastoise+Team+Rocket+1st+Edition+20/82+PSA+9&amp;LH_Sold=1&amp;LH_Complete=1&amp;_sop=13" r:id="rId191"/>
    <hyperlink xmlns:r="http://schemas.openxmlformats.org/officeDocument/2006/relationships" ref="I197" display="https://www.ebay.com/sch/i.html?_nkw=Suicune+Neo+Revelation+1st+Edition+14/64+PSA+9&amp;LH_Sold=1&amp;LH_Complete=1&amp;_sop=13" r:id="rId192"/>
    <hyperlink xmlns:r="http://schemas.openxmlformats.org/officeDocument/2006/relationships" ref="I198" display="https://www.ebay.com/sch/i.html?_nkw=Ho-Oh+Neo+Revelation+1st+Edition+7/64+PSA+9&amp;LH_Sold=1&amp;LH_Complete=1&amp;_sop=13" r:id="rId193"/>
    <hyperlink xmlns:r="http://schemas.openxmlformats.org/officeDocument/2006/relationships" ref="I199" display="https://www.ebay.com/sch/i.html?_nkw=Erika+SIR+151+207/165+PSA+10&amp;LH_Sold=1&amp;LH_Complete=1&amp;_sop=13" r:id="rId194"/>
    <hyperlink xmlns:r="http://schemas.openxmlformats.org/officeDocument/2006/relationships" ref="I200" display="https://www.ebay.com/sch/i.html?_nkw=Misty's+Tears+Full+Art+Promo+Misty+Promo+PSA+10&amp;LH_Sold=1&amp;LH_Complete=1&amp;_sop=13" r:id="rId195"/>
    <hyperlink xmlns:r="http://schemas.openxmlformats.org/officeDocument/2006/relationships" ref="I201" display="https://www.ebay.com/sch/i.html?_nkw=Latias+and+Latios+GX+Hidden+Fates+169/68+PSA+10&amp;LH_Sold=1&amp;LH_Complete=1&amp;_sop=13" r:id="rId196"/>
    <hyperlink xmlns:r="http://schemas.openxmlformats.org/officeDocument/2006/relationships" ref="I202" display="https://www.ebay.com/sch/i.html?_nkw=Charizard+GX+Hidden+Fates+Shiny+Hidden+Fates+SV49/SV94+PSA+10&amp;LH_Sold=1&amp;LH_Complete=1&amp;_sop=13" r:id="rId197"/>
    <hyperlink xmlns:r="http://schemas.openxmlformats.org/officeDocument/2006/relationships" ref="I203" display="https://www.ebay.com/sch/i.html?_nkw=Mewtwo+and+Mew+GX+Hidden+Fates+Hidden+Fates+SM196+PSA+10&amp;LH_Sold=1&amp;LH_Complete=1&amp;_sop=13" r:id="rId198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808080"/>
    <outlinePr summaryBelow="1" summaryRight="1"/>
    <pageSetUpPr fitToPage="0"/>
  </sheetPr>
  <dimension ref="B2:D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80" min="1" max="1"/>
    <col width="36" customWidth="1" style="80" min="2" max="2"/>
    <col width="70" customWidth="1" style="80" min="3" max="3"/>
    <col width="30" customWidth="1" style="80" min="4" max="4"/>
  </cols>
  <sheetData>
    <row r="2" ht="21.75" customHeight="1" s="81">
      <c r="B2" s="86" t="inlineStr">
        <is>
          <t>REFRESH URLs</t>
        </is>
      </c>
    </row>
    <row r="3" ht="15" customHeight="1" s="81">
      <c r="B3" s="87" t="inlineStr">
        <is>
          <t>Per-set URLs for Power Query / manual refresh. PriceCharting set pages expose 'Download Price List' CSV.</t>
        </is>
      </c>
    </row>
    <row r="5" ht="15" customHeight="1" s="81">
      <c r="B5" s="91" t="inlineStr">
        <is>
          <t>Set</t>
        </is>
      </c>
      <c r="C5" s="91" t="inlineStr">
        <is>
          <t>PriceCharting URL</t>
        </is>
      </c>
      <c r="D5" s="91" t="inlineStr">
        <is>
          <t>Notes</t>
        </is>
      </c>
    </row>
    <row r="6" ht="15" customHeight="1" s="81">
      <c r="B6" s="99" t="inlineStr">
        <is>
          <t>Base Set</t>
        </is>
      </c>
      <c r="C6" s="155" t="inlineStr">
        <is>
          <t>https://www.pricecharting.com/console/pokemon-base-set</t>
        </is>
      </c>
      <c r="D6" s="102" t="inlineStr">
        <is>
          <t>WOTC core</t>
        </is>
      </c>
    </row>
    <row r="7" ht="15" customHeight="1" s="81">
      <c r="B7" s="99" t="inlineStr">
        <is>
          <t>Jungle</t>
        </is>
      </c>
      <c r="C7" s="155" t="inlineStr">
        <is>
          <t>https://www.pricecharting.com/console/pokemon-jungle</t>
        </is>
      </c>
      <c r="D7" s="102" t="n"/>
    </row>
    <row r="8" ht="15" customHeight="1" s="81">
      <c r="B8" s="99" t="inlineStr">
        <is>
          <t>Fossil</t>
        </is>
      </c>
      <c r="C8" s="155" t="inlineStr">
        <is>
          <t>https://www.pricecharting.com/console/pokemon-fossil</t>
        </is>
      </c>
      <c r="D8" s="102" t="n"/>
    </row>
    <row r="9" ht="15" customHeight="1" s="81">
      <c r="B9" s="99" t="inlineStr">
        <is>
          <t>Team Rocket</t>
        </is>
      </c>
      <c r="C9" s="155" t="inlineStr">
        <is>
          <t>https://www.pricecharting.com/console/pokemon-team-rocket</t>
        </is>
      </c>
      <c r="D9" s="102" t="n"/>
    </row>
    <row r="10" ht="15" customHeight="1" s="81">
      <c r="B10" s="99" t="inlineStr">
        <is>
          <t>Gym Heroes</t>
        </is>
      </c>
      <c r="C10" s="155" t="inlineStr">
        <is>
          <t>https://www.pricecharting.com/console/pokemon-gym-heroes</t>
        </is>
      </c>
      <c r="D10" s="102" t="n"/>
    </row>
    <row r="11" ht="15" customHeight="1" s="81">
      <c r="B11" s="99" t="inlineStr">
        <is>
          <t>Neo Genesis</t>
        </is>
      </c>
      <c r="C11" s="155" t="inlineStr">
        <is>
          <t>https://www.pricecharting.com/console/pokemon-neo-genesis</t>
        </is>
      </c>
      <c r="D11" s="102" t="n"/>
    </row>
    <row r="12" ht="15" customHeight="1" s="81">
      <c r="B12" s="99" t="inlineStr">
        <is>
          <t>Neo Destiny</t>
        </is>
      </c>
      <c r="C12" s="155" t="inlineStr">
        <is>
          <t>https://www.pricecharting.com/console/pokemon-neo-destiny</t>
        </is>
      </c>
      <c r="D12" s="102" t="n"/>
    </row>
    <row r="13" ht="15" customHeight="1" s="81">
      <c r="B13" s="99" t="inlineStr">
        <is>
          <t>Neo Revelation</t>
        </is>
      </c>
      <c r="C13" s="155" t="inlineStr">
        <is>
          <t>https://www.pricecharting.com/console/pokemon-neo-revelation</t>
        </is>
      </c>
      <c r="D13" s="102" t="n"/>
    </row>
    <row r="14" ht="15" customHeight="1" s="81">
      <c r="B14" s="99" t="inlineStr">
        <is>
          <t>EX Dragon Frontiers</t>
        </is>
      </c>
      <c r="C14" s="155" t="inlineStr">
        <is>
          <t>https://www.pricecharting.com/console/pokemon-dragon-frontiers</t>
        </is>
      </c>
      <c r="D14" s="102" t="inlineStr">
        <is>
          <t>Gold Stars</t>
        </is>
      </c>
    </row>
    <row r="15" ht="15" customHeight="1" s="81">
      <c r="B15" s="99" t="inlineStr">
        <is>
          <t>EX Power Keepers</t>
        </is>
      </c>
      <c r="C15" s="155" t="inlineStr">
        <is>
          <t>https://www.pricecharting.com/console/pokemon-ex-power-keepers</t>
        </is>
      </c>
      <c r="D15" s="102" t="inlineStr">
        <is>
          <t>Eevee Gold Stars</t>
        </is>
      </c>
    </row>
    <row r="16" ht="15" customHeight="1" s="81">
      <c r="B16" s="99" t="inlineStr">
        <is>
          <t>EX Crystal Guardians</t>
        </is>
      </c>
      <c r="C16" s="155" t="inlineStr">
        <is>
          <t>https://www.pricecharting.com/console/pokemon-ex-crystal-guardians</t>
        </is>
      </c>
      <c r="D16" s="102" t="inlineStr">
        <is>
          <t>Delta Species</t>
        </is>
      </c>
    </row>
    <row r="17" ht="15" customHeight="1" s="81">
      <c r="B17" s="99" t="inlineStr">
        <is>
          <t>EX Holon Phantoms</t>
        </is>
      </c>
      <c r="C17" s="155" t="inlineStr">
        <is>
          <t>https://www.pricecharting.com/console/pokemon-ex-holon-phantoms</t>
        </is>
      </c>
      <c r="D17" s="102" t="inlineStr">
        <is>
          <t>Mew Gold Star</t>
        </is>
      </c>
    </row>
    <row r="18" ht="15" customHeight="1" s="81">
      <c r="B18" s="99" t="inlineStr">
        <is>
          <t>EX Deoxys</t>
        </is>
      </c>
      <c r="C18" s="155" t="inlineStr">
        <is>
          <t>https://www.pricecharting.com/console/pokemon-ex-deoxys</t>
        </is>
      </c>
      <c r="D18" s="102" t="inlineStr">
        <is>
          <t>Rayquaza Gold Star</t>
        </is>
      </c>
    </row>
    <row r="19" ht="15" customHeight="1" s="81">
      <c r="B19" s="99" t="inlineStr">
        <is>
          <t>POP Series 5</t>
        </is>
      </c>
      <c r="C19" s="155" t="inlineStr">
        <is>
          <t>https://www.pricecharting.com/console/pokemon-pop-series-5</t>
        </is>
      </c>
      <c r="D19" s="102" t="inlineStr">
        <is>
          <t>Umbreon/Espeon Gold Star</t>
        </is>
      </c>
    </row>
    <row r="20" ht="15" customHeight="1" s="81">
      <c r="B20" s="99" t="inlineStr">
        <is>
          <t>Skyridge</t>
        </is>
      </c>
      <c r="C20" s="155" t="inlineStr">
        <is>
          <t>https://www.pricecharting.com/console/pokemon-skyridge</t>
        </is>
      </c>
      <c r="D20" s="102" t="inlineStr">
        <is>
          <t>Crystal Charizard</t>
        </is>
      </c>
    </row>
    <row r="21" ht="15" customHeight="1" s="81">
      <c r="B21" s="99" t="inlineStr">
        <is>
          <t>Flashfire</t>
        </is>
      </c>
      <c r="C21" s="155" t="inlineStr">
        <is>
          <t>https://www.pricecharting.com/console/pokemon-flashfire</t>
        </is>
      </c>
      <c r="D21" s="102" t="inlineStr">
        <is>
          <t>M Charizard EX</t>
        </is>
      </c>
    </row>
    <row r="22" ht="15" customHeight="1" s="81">
      <c r="B22" s="99" t="inlineStr">
        <is>
          <t>Roaring Skies</t>
        </is>
      </c>
      <c r="C22" s="155" t="inlineStr">
        <is>
          <t>https://www.pricecharting.com/console/pokemon-roaring-skies</t>
        </is>
      </c>
      <c r="D22" s="102" t="inlineStr">
        <is>
          <t>M Rayquaza EX</t>
        </is>
      </c>
    </row>
    <row r="23" ht="15" customHeight="1" s="81">
      <c r="B23" s="99" t="inlineStr">
        <is>
          <t>Hidden Fates</t>
        </is>
      </c>
      <c r="C23" s="155" t="inlineStr">
        <is>
          <t>https://www.pricecharting.com/console/pokemon-hidden-fates</t>
        </is>
      </c>
      <c r="D23" s="102" t="inlineStr">
        <is>
          <t>Tag Team shinies</t>
        </is>
      </c>
    </row>
    <row r="24" ht="15" customHeight="1" s="81">
      <c r="B24" s="99" t="inlineStr">
        <is>
          <t>Champion's Path</t>
        </is>
      </c>
      <c r="C24" s="155" t="inlineStr">
        <is>
          <t>https://www.pricecharting.com/console/pokemon-champion's-path</t>
        </is>
      </c>
      <c r="D24" s="102" t="inlineStr">
        <is>
          <t>Rainbow Char VMAX</t>
        </is>
      </c>
    </row>
    <row r="25" ht="15" customHeight="1" s="81">
      <c r="B25" s="99" t="inlineStr">
        <is>
          <t>Brilliant Stars</t>
        </is>
      </c>
      <c r="C25" s="155" t="inlineStr">
        <is>
          <t>https://www.pricecharting.com/console/pokemon-brilliant-stars</t>
        </is>
      </c>
      <c r="D25" s="102" t="inlineStr">
        <is>
          <t>Char VSTAR</t>
        </is>
      </c>
    </row>
    <row r="26" ht="15" customHeight="1" s="81">
      <c r="B26" s="99" t="inlineStr">
        <is>
          <t>Astral Radiance</t>
        </is>
      </c>
      <c r="C26" s="155" t="inlineStr">
        <is>
          <t>https://www.pricecharting.com/console/pokemon-astral-radiance</t>
        </is>
      </c>
      <c r="D26" s="102" t="inlineStr">
        <is>
          <t>Origin Forme</t>
        </is>
      </c>
    </row>
    <row r="27" ht="15" customHeight="1" s="81">
      <c r="B27" s="99" t="inlineStr">
        <is>
          <t>Lost Origin</t>
        </is>
      </c>
      <c r="C27" s="155" t="inlineStr">
        <is>
          <t>https://www.pricecharting.com/console/pokemon-lost-origin</t>
        </is>
      </c>
      <c r="D27" s="102" t="inlineStr">
        <is>
          <t>Giratina alt</t>
        </is>
      </c>
    </row>
    <row r="28" ht="15" customHeight="1" s="81">
      <c r="B28" s="99" t="inlineStr">
        <is>
          <t>Silver Tempest</t>
        </is>
      </c>
      <c r="C28" s="155" t="inlineStr">
        <is>
          <t>https://www.pricecharting.com/console/pokemon-silver-tempest</t>
        </is>
      </c>
      <c r="D28" s="102" t="inlineStr">
        <is>
          <t>Lugia VSTAR alt</t>
        </is>
      </c>
    </row>
    <row r="29" ht="15" customHeight="1" s="81">
      <c r="B29" s="99" t="inlineStr">
        <is>
          <t>Evolving Skies</t>
        </is>
      </c>
      <c r="C29" s="155" t="inlineStr">
        <is>
          <t>https://www.pricecharting.com/console/pokemon-evolving-skies</t>
        </is>
      </c>
      <c r="D29" s="102" t="inlineStr">
        <is>
          <t>Moonbreon + all Eevee alts</t>
        </is>
      </c>
    </row>
    <row r="30" ht="15" customHeight="1" s="81">
      <c r="B30" s="99" t="inlineStr">
        <is>
          <t>Crown Zenith</t>
        </is>
      </c>
      <c r="C30" s="155" t="inlineStr">
        <is>
          <t>https://www.pricecharting.com/console/pokemon-crown-zenith</t>
        </is>
      </c>
      <c r="D30" s="102" t="inlineStr">
        <is>
          <t>Galarian Gallery</t>
        </is>
      </c>
    </row>
    <row r="31" ht="15" customHeight="1" s="81">
      <c r="B31" s="99" t="inlineStr">
        <is>
          <t>Scarlet &amp; Violet 151</t>
        </is>
      </c>
      <c r="C31" s="155" t="inlineStr">
        <is>
          <t>https://www.pricecharting.com/console/pokemon-scarlet-&amp;-violet-151</t>
        </is>
      </c>
      <c r="D31" s="102" t="inlineStr">
        <is>
          <t>Gen 1 nostalgia</t>
        </is>
      </c>
    </row>
    <row r="32" ht="15" customHeight="1" s="81">
      <c r="B32" s="99" t="inlineStr">
        <is>
          <t>Paldea Evolved</t>
        </is>
      </c>
      <c r="C32" s="155" t="inlineStr">
        <is>
          <t>https://www.pricecharting.com/console/pokemon-paldea-evolved</t>
        </is>
      </c>
      <c r="D32" s="102" t="inlineStr">
        <is>
          <t>Iono SIR</t>
        </is>
      </c>
    </row>
    <row r="33" ht="15" customHeight="1" s="81">
      <c r="B33" s="99" t="inlineStr">
        <is>
          <t>Obsidian Flames</t>
        </is>
      </c>
      <c r="C33" s="155" t="inlineStr">
        <is>
          <t>https://www.pricecharting.com/console/pokemon-obsidian-flames</t>
        </is>
      </c>
      <c r="D33" s="102" t="inlineStr">
        <is>
          <t>Char ex SIR OF</t>
        </is>
      </c>
    </row>
    <row r="34" ht="15" customHeight="1" s="81">
      <c r="B34" s="99" t="inlineStr">
        <is>
          <t>Paradox Rift</t>
        </is>
      </c>
      <c r="C34" s="155" t="inlineStr">
        <is>
          <t>https://www.pricecharting.com/console/pokemon-paradox-rift</t>
        </is>
      </c>
      <c r="D34" s="102" t="inlineStr">
        <is>
          <t>Iron Hands</t>
        </is>
      </c>
    </row>
    <row r="35" ht="15" customHeight="1" s="81">
      <c r="B35" s="99" t="inlineStr">
        <is>
          <t>Paldean Fates</t>
        </is>
      </c>
      <c r="C35" s="155" t="inlineStr">
        <is>
          <t>https://www.pricecharting.com/console/pokemon-paldean-fates</t>
        </is>
      </c>
      <c r="D35" s="102" t="inlineStr">
        <is>
          <t>Shiny minisets</t>
        </is>
      </c>
    </row>
    <row r="36" ht="15" customHeight="1" s="81">
      <c r="B36" s="99" t="inlineStr">
        <is>
          <t>Twilight Masquerade</t>
        </is>
      </c>
      <c r="C36" s="155" t="inlineStr">
        <is>
          <t>https://www.pricecharting.com/console/pokemon-twilight-masquerade</t>
        </is>
      </c>
      <c r="D36" s="102" t="inlineStr">
        <is>
          <t>Greninja</t>
        </is>
      </c>
    </row>
    <row r="37" ht="15" customHeight="1" s="81">
      <c r="B37" s="99" t="inlineStr">
        <is>
          <t>Shrouded Fable</t>
        </is>
      </c>
      <c r="C37" s="155" t="inlineStr">
        <is>
          <t>https://www.pricecharting.com/console/pokemon-shrouded-fable</t>
        </is>
      </c>
      <c r="D37" s="102" t="inlineStr">
        <is>
          <t>Pecharunt</t>
        </is>
      </c>
    </row>
    <row r="38" ht="15" customHeight="1" s="81">
      <c r="B38" s="99" t="inlineStr">
        <is>
          <t>Stellar Crown</t>
        </is>
      </c>
      <c r="C38" s="155" t="inlineStr">
        <is>
          <t>https://www.pricecharting.com/console/pokemon-stellar-crown</t>
        </is>
      </c>
      <c r="D38" s="102" t="inlineStr">
        <is>
          <t>Terapagos</t>
        </is>
      </c>
    </row>
    <row r="39" ht="15" customHeight="1" s="81">
      <c r="B39" s="99" t="inlineStr">
        <is>
          <t>Surging Sparks</t>
        </is>
      </c>
      <c r="C39" s="155" t="inlineStr">
        <is>
          <t>https://www.pricecharting.com/console/pokemon-surging-sparks</t>
        </is>
      </c>
      <c r="D39" s="102" t="n"/>
    </row>
    <row r="40" ht="15" customHeight="1" s="81">
      <c r="B40" s="99" t="inlineStr">
        <is>
          <t>Prismatic Evolutions</t>
        </is>
      </c>
      <c r="C40" s="155" t="inlineStr">
        <is>
          <t>https://www.pricecharting.com/console/pokemon-prismatic-evolutions</t>
        </is>
      </c>
      <c r="D40" s="102" t="inlineStr">
        <is>
          <t>PE Eevee SIRs</t>
        </is>
      </c>
    </row>
    <row r="41" ht="15" customHeight="1" s="81">
      <c r="B41" s="99" t="inlineStr">
        <is>
          <t>Journey Together</t>
        </is>
      </c>
      <c r="C41" s="155" t="inlineStr">
        <is>
          <t>https://www.pricecharting.com/console/pokemon-journey-together</t>
        </is>
      </c>
      <c r="D41" s="102" t="inlineStr">
        <is>
          <t>Marnie</t>
        </is>
      </c>
    </row>
    <row r="42" ht="15" customHeight="1" s="81">
      <c r="B42" s="99" t="inlineStr">
        <is>
          <t>Mega Evolution (ME01)</t>
        </is>
      </c>
      <c r="C42" s="155" t="inlineStr">
        <is>
          <t>https://www.pricecharting.com/console/pokemon-mega-evolution</t>
        </is>
      </c>
      <c r="D42" s="102" t="inlineStr">
        <is>
          <t>Lillie's SIR</t>
        </is>
      </c>
    </row>
    <row r="43" ht="15" customHeight="1" s="81">
      <c r="B43" s="99" t="inlineStr">
        <is>
          <t>Ascended Heroes (ME2.5)</t>
        </is>
      </c>
      <c r="C43" s="155" t="inlineStr">
        <is>
          <t>https://www.pricecharting.com/console/pokemon-ascended-heroes</t>
        </is>
      </c>
      <c r="D43" s="102" t="inlineStr">
        <is>
          <t>Mega Gengar</t>
        </is>
      </c>
    </row>
    <row r="44" ht="15" customHeight="1" s="81">
      <c r="B44" s="99" t="inlineStr">
        <is>
          <t>Pokemon Promos</t>
        </is>
      </c>
      <c r="C44" s="155" t="inlineStr">
        <is>
          <t>https://www.pricecharting.com/console/pokemon-promo</t>
        </is>
      </c>
      <c r="D44" s="102" t="inlineStr">
        <is>
          <t>Van Gogh, Pokemon Day, Birthday</t>
        </is>
      </c>
    </row>
    <row r="45" ht="15" customHeight="1" s="81">
      <c r="B45" s="99" t="inlineStr">
        <is>
          <t>Japanese — Eevee Heroes</t>
        </is>
      </c>
      <c r="C45" s="155" t="inlineStr">
        <is>
          <t>https://www.pricecharting.com/console/pokemon-japanese-eevee-heroes</t>
        </is>
      </c>
      <c r="D45" s="102" t="inlineStr">
        <is>
          <t>JP Moonbreon</t>
        </is>
      </c>
    </row>
    <row r="46" ht="15" customHeight="1" s="81">
      <c r="B46" s="99" t="inlineStr">
        <is>
          <t>Japanese — VMAX Climax</t>
        </is>
      </c>
      <c r="C46" s="155" t="inlineStr">
        <is>
          <t>https://www.pricecharting.com/console/pokemon-japanese-vmax-climax</t>
        </is>
      </c>
      <c r="D46" s="102" t="inlineStr">
        <is>
          <t>JP CHR/CSR</t>
        </is>
      </c>
    </row>
    <row r="47" ht="15" customHeight="1" s="81">
      <c r="B47" s="99" t="inlineStr">
        <is>
          <t>Japanese — VSTAR Universe</t>
        </is>
      </c>
      <c r="C47" s="155" t="inlineStr">
        <is>
          <t>https://www.pricecharting.com/console/pokemon-japanese-vstar-universe</t>
        </is>
      </c>
      <c r="D47" s="102" t="inlineStr">
        <is>
          <t>JP high-class</t>
        </is>
      </c>
    </row>
    <row r="48" ht="15" customHeight="1" s="81">
      <c r="B48" s="99" t="inlineStr">
        <is>
          <t>Japanese — Paradigm Trigger</t>
        </is>
      </c>
      <c r="C48" s="155" t="inlineStr">
        <is>
          <t>https://www.pricecharting.com/console/pokemon-japanese-paradigm-trigger</t>
        </is>
      </c>
      <c r="D48" s="102" t="inlineStr">
        <is>
          <t>JP Lugia</t>
        </is>
      </c>
    </row>
    <row r="49" ht="15" customHeight="1" s="81">
      <c r="B49" s="99" t="n"/>
      <c r="C49" s="131" t="n"/>
      <c r="D49" s="102" t="n"/>
    </row>
    <row r="50" ht="15" customHeight="1" s="81">
      <c r="B50" s="99" t="inlineStr">
        <is>
          <t>TCGPlayer Pokemon Hub</t>
        </is>
      </c>
      <c r="C50" s="155" t="inlineStr">
        <is>
          <t>https://www.tcgplayer.com/categories/trading-and-collectible-card-games/pokemon/price-guides</t>
        </is>
      </c>
      <c r="D50" s="102" t="inlineStr">
        <is>
          <t>All set price guides</t>
        </is>
      </c>
    </row>
    <row r="51" ht="15" customHeight="1" s="81">
      <c r="B51" s="99" t="inlineStr">
        <is>
          <t>PokemonPriceTracker API</t>
        </is>
      </c>
      <c r="C51" s="155" t="inlineStr">
        <is>
          <t>https://www.pokemonpricetracker.com/api</t>
        </is>
      </c>
      <c r="D51" s="102" t="inlineStr">
        <is>
          <t>Free tier: 100 calls/day</t>
        </is>
      </c>
    </row>
    <row r="52" ht="15" customHeight="1" s="81">
      <c r="B52" s="99" t="inlineStr">
        <is>
          <t>PSA Pop Reports</t>
        </is>
      </c>
      <c r="C52" s="155" t="inlineStr">
        <is>
          <t>https://www.psacard.com/pop</t>
        </is>
      </c>
      <c r="D52" s="102" t="inlineStr">
        <is>
          <t>Population tracking</t>
        </is>
      </c>
    </row>
    <row r="53" ht="15" customHeight="1" s="81">
      <c r="B53" s="99" t="inlineStr">
        <is>
          <t>130point.com Sold Comps</t>
        </is>
      </c>
      <c r="C53" s="155" t="inlineStr">
        <is>
          <t>https://130point.com</t>
        </is>
      </c>
      <c r="D53" s="102" t="inlineStr">
        <is>
          <t>Real eBay solds</t>
        </is>
      </c>
    </row>
  </sheetData>
  <hyperlinks>
    <hyperlink xmlns:r="http://schemas.openxmlformats.org/officeDocument/2006/relationships" ref="C6" display="https://www.pricecharting.com/console/pokemon-base-set" r:id="rId1"/>
    <hyperlink xmlns:r="http://schemas.openxmlformats.org/officeDocument/2006/relationships" ref="C7" display="https://www.pricecharting.com/console/pokemon-jungle" r:id="rId2"/>
    <hyperlink xmlns:r="http://schemas.openxmlformats.org/officeDocument/2006/relationships" ref="C8" display="https://www.pricecharting.com/console/pokemon-fossil" r:id="rId3"/>
    <hyperlink xmlns:r="http://schemas.openxmlformats.org/officeDocument/2006/relationships" ref="C9" display="https://www.pricecharting.com/console/pokemon-team-rocket" r:id="rId4"/>
    <hyperlink xmlns:r="http://schemas.openxmlformats.org/officeDocument/2006/relationships" ref="C10" display="https://www.pricecharting.com/console/pokemon-gym-heroes" r:id="rId5"/>
    <hyperlink xmlns:r="http://schemas.openxmlformats.org/officeDocument/2006/relationships" ref="C11" display="https://www.pricecharting.com/console/pokemon-neo-genesis" r:id="rId6"/>
    <hyperlink xmlns:r="http://schemas.openxmlformats.org/officeDocument/2006/relationships" ref="C12" display="https://www.pricecharting.com/console/pokemon-neo-destiny" r:id="rId7"/>
    <hyperlink xmlns:r="http://schemas.openxmlformats.org/officeDocument/2006/relationships" ref="C13" display="https://www.pricecharting.com/console/pokemon-neo-revelation" r:id="rId8"/>
    <hyperlink xmlns:r="http://schemas.openxmlformats.org/officeDocument/2006/relationships" ref="C14" display="https://www.pricecharting.com/console/pokemon-dragon-frontiers" r:id="rId9"/>
    <hyperlink xmlns:r="http://schemas.openxmlformats.org/officeDocument/2006/relationships" ref="C15" display="https://www.pricecharting.com/console/pokemon-ex-power-keepers" r:id="rId10"/>
    <hyperlink xmlns:r="http://schemas.openxmlformats.org/officeDocument/2006/relationships" ref="C16" display="https://www.pricecharting.com/console/pokemon-ex-crystal-guardians" r:id="rId11"/>
    <hyperlink xmlns:r="http://schemas.openxmlformats.org/officeDocument/2006/relationships" ref="C17" display="https://www.pricecharting.com/console/pokemon-ex-holon-phantoms" r:id="rId12"/>
    <hyperlink xmlns:r="http://schemas.openxmlformats.org/officeDocument/2006/relationships" ref="C18" display="https://www.pricecharting.com/console/pokemon-ex-deoxys" r:id="rId13"/>
    <hyperlink xmlns:r="http://schemas.openxmlformats.org/officeDocument/2006/relationships" ref="C19" display="https://www.pricecharting.com/console/pokemon-pop-series-5" r:id="rId14"/>
    <hyperlink xmlns:r="http://schemas.openxmlformats.org/officeDocument/2006/relationships" ref="C20" display="https://www.pricecharting.com/console/pokemon-skyridge" r:id="rId15"/>
    <hyperlink xmlns:r="http://schemas.openxmlformats.org/officeDocument/2006/relationships" ref="C21" display="https://www.pricecharting.com/console/pokemon-flashfire" r:id="rId16"/>
    <hyperlink xmlns:r="http://schemas.openxmlformats.org/officeDocument/2006/relationships" ref="C22" display="https://www.pricecharting.com/console/pokemon-roaring-skies" r:id="rId17"/>
    <hyperlink xmlns:r="http://schemas.openxmlformats.org/officeDocument/2006/relationships" ref="C23" display="https://www.pricecharting.com/console/pokemon-hidden-fates" r:id="rId18"/>
    <hyperlink xmlns:r="http://schemas.openxmlformats.org/officeDocument/2006/relationships" ref="C24" display="https://www.pricecharting.com/console/pokemon-champion's-path" r:id="rId19"/>
    <hyperlink xmlns:r="http://schemas.openxmlformats.org/officeDocument/2006/relationships" ref="C25" display="https://www.pricecharting.com/console/pokemon-brilliant-stars" r:id="rId20"/>
    <hyperlink xmlns:r="http://schemas.openxmlformats.org/officeDocument/2006/relationships" ref="C26" display="https://www.pricecharting.com/console/pokemon-astral-radiance" r:id="rId21"/>
    <hyperlink xmlns:r="http://schemas.openxmlformats.org/officeDocument/2006/relationships" ref="C27" display="https://www.pricecharting.com/console/pokemon-lost-origin" r:id="rId22"/>
    <hyperlink xmlns:r="http://schemas.openxmlformats.org/officeDocument/2006/relationships" ref="C28" display="https://www.pricecharting.com/console/pokemon-silver-tempest" r:id="rId23"/>
    <hyperlink xmlns:r="http://schemas.openxmlformats.org/officeDocument/2006/relationships" ref="C29" display="https://www.pricecharting.com/console/pokemon-evolving-skies" r:id="rId24"/>
    <hyperlink xmlns:r="http://schemas.openxmlformats.org/officeDocument/2006/relationships" ref="C30" display="https://www.pricecharting.com/console/pokemon-crown-zenith" r:id="rId25"/>
    <hyperlink xmlns:r="http://schemas.openxmlformats.org/officeDocument/2006/relationships" ref="C31" display="https://www.pricecharting.com/console/pokemon-scarlet-&amp;-violet-151" r:id="rId26"/>
    <hyperlink xmlns:r="http://schemas.openxmlformats.org/officeDocument/2006/relationships" ref="C32" display="https://www.pricecharting.com/console/pokemon-paldea-evolved" r:id="rId27"/>
    <hyperlink xmlns:r="http://schemas.openxmlformats.org/officeDocument/2006/relationships" ref="C33" display="https://www.pricecharting.com/console/pokemon-obsidian-flames" r:id="rId28"/>
    <hyperlink xmlns:r="http://schemas.openxmlformats.org/officeDocument/2006/relationships" ref="C34" display="https://www.pricecharting.com/console/pokemon-paradox-rift" r:id="rId29"/>
    <hyperlink xmlns:r="http://schemas.openxmlformats.org/officeDocument/2006/relationships" ref="C35" display="https://www.pricecharting.com/console/pokemon-paldean-fates" r:id="rId30"/>
    <hyperlink xmlns:r="http://schemas.openxmlformats.org/officeDocument/2006/relationships" ref="C36" display="https://www.pricecharting.com/console/pokemon-twilight-masquerade" r:id="rId31"/>
    <hyperlink xmlns:r="http://schemas.openxmlformats.org/officeDocument/2006/relationships" ref="C37" display="https://www.pricecharting.com/console/pokemon-shrouded-fable" r:id="rId32"/>
    <hyperlink xmlns:r="http://schemas.openxmlformats.org/officeDocument/2006/relationships" ref="C38" display="https://www.pricecharting.com/console/pokemon-stellar-crown" r:id="rId33"/>
    <hyperlink xmlns:r="http://schemas.openxmlformats.org/officeDocument/2006/relationships" ref="C39" display="https://www.pricecharting.com/console/pokemon-surging-sparks" r:id="rId34"/>
    <hyperlink xmlns:r="http://schemas.openxmlformats.org/officeDocument/2006/relationships" ref="C40" display="https://www.pricecharting.com/console/pokemon-prismatic-evolutions" r:id="rId35"/>
    <hyperlink xmlns:r="http://schemas.openxmlformats.org/officeDocument/2006/relationships" ref="C41" display="https://www.pricecharting.com/console/pokemon-journey-together" r:id="rId36"/>
    <hyperlink xmlns:r="http://schemas.openxmlformats.org/officeDocument/2006/relationships" ref="C42" display="https://www.pricecharting.com/console/pokemon-mega-evolution" r:id="rId37"/>
    <hyperlink xmlns:r="http://schemas.openxmlformats.org/officeDocument/2006/relationships" ref="C43" display="https://www.pricecharting.com/console/pokemon-ascended-heroes" r:id="rId38"/>
    <hyperlink xmlns:r="http://schemas.openxmlformats.org/officeDocument/2006/relationships" ref="C44" display="https://www.pricecharting.com/console/pokemon-promo" r:id="rId39"/>
    <hyperlink xmlns:r="http://schemas.openxmlformats.org/officeDocument/2006/relationships" ref="C45" display="https://www.pricecharting.com/console/pokemon-japanese-eevee-heroes" r:id="rId40"/>
    <hyperlink xmlns:r="http://schemas.openxmlformats.org/officeDocument/2006/relationships" ref="C46" display="https://www.pricecharting.com/console/pokemon-japanese-vmax-climax" r:id="rId41"/>
    <hyperlink xmlns:r="http://schemas.openxmlformats.org/officeDocument/2006/relationships" ref="C47" display="https://www.pricecharting.com/console/pokemon-japanese-vstar-universe" r:id="rId42"/>
    <hyperlink xmlns:r="http://schemas.openxmlformats.org/officeDocument/2006/relationships" ref="C48" display="https://www.pricecharting.com/console/pokemon-japanese-paradigm-trigger" r:id="rId43"/>
    <hyperlink xmlns:r="http://schemas.openxmlformats.org/officeDocument/2006/relationships" ref="C50" display="https://www.tcgplayer.com/categories/trading-and-collectible-card-games/pokemon/price-guides" r:id="rId44"/>
    <hyperlink xmlns:r="http://schemas.openxmlformats.org/officeDocument/2006/relationships" ref="C51" display="https://www.pokemonpricetracker.com/api" r:id="rId45"/>
    <hyperlink xmlns:r="http://schemas.openxmlformats.org/officeDocument/2006/relationships" ref="C52" display="https://www.psacard.com/pop" r:id="rId46"/>
    <hyperlink xmlns:r="http://schemas.openxmlformats.org/officeDocument/2006/relationships" ref="C53" display="https://130point.com" r:id="rId47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808080"/>
    <outlinePr summaryBelow="1" summaryRight="1"/>
    <pageSetUpPr fitToPage="0"/>
  </sheetPr>
  <dimension ref="B2:B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80" min="1" max="1"/>
    <col width="120" customWidth="1" style="80" min="2" max="2"/>
  </cols>
  <sheetData>
    <row r="2" ht="21.75" customHeight="1" s="81">
      <c r="B2" s="86" t="inlineStr">
        <is>
          <t>RESEARCH NOTES &amp; STRATEGY PLAYBOOK</t>
        </is>
      </c>
    </row>
    <row r="5" ht="21.75" customHeight="1" s="81">
      <c r="B5" s="84" t="inlineStr">
        <is>
          <t>MOMENTUM-LEAN STRATEGY</t>
        </is>
      </c>
    </row>
    <row r="6" ht="15" customHeight="1" s="81">
      <c r="B6" s="85" t="inlineStr">
        <is>
          <t>40% Modern Chase / 30% Sealed Modern / 15% Vintage Graded / 10% Grading Pipeline / 5% Cash</t>
        </is>
      </c>
    </row>
    <row r="8" ht="21.75" customHeight="1" s="81">
      <c r="B8" s="84" t="inlineStr">
        <is>
          <t>QUANT SIGNALS</t>
        </is>
      </c>
    </row>
    <row r="9" ht="15" customHeight="1" s="81">
      <c r="B9" s="85" t="inlineStr">
        <is>
          <t>STRONG BUY (75+) | BUY (60-75) | HOLD (40-60) | TRIM (25-40) | SELL (&lt;25)</t>
        </is>
      </c>
    </row>
    <row r="11" ht="21.75" customHeight="1" s="81">
      <c r="B11" s="84" t="inlineStr">
        <is>
          <t>WEEKLY WORKFLOW</t>
        </is>
      </c>
    </row>
    <row r="12" ht="15" customHeight="1" s="81">
      <c r="B12" s="85" t="inlineStr">
        <is>
          <t>Mon 7AM PT: run refresh_prices.py; check Weekly Buy List; bid at Target Buy</t>
        </is>
      </c>
    </row>
    <row r="13" ht="15" customHeight="1" s="81">
      <c r="B13" s="85" t="inlineStr">
        <is>
          <t>Wed/Thu: PSA submissions, list outgoing</t>
        </is>
      </c>
    </row>
    <row r="14" ht="15" customHeight="1" s="81">
      <c r="B14" s="85" t="inlineStr">
        <is>
          <t>Fri/Sat: monitor eBay closings; local card shop visits</t>
        </is>
      </c>
    </row>
    <row r="16" ht="21.75" customHeight="1" s="81">
      <c r="B16" s="84" t="inlineStr">
        <is>
          <t>DO NOT BUY</t>
        </is>
      </c>
    </row>
    <row r="17" ht="15" customHeight="1" s="81">
      <c r="B17" s="85" t="inlineStr">
        <is>
          <t>In-print modern at premium; CGC modern; resealed boxes; &lt;25 score; JP without provenance</t>
        </is>
      </c>
    </row>
    <row r="19" ht="21.75" customHeight="1" s="81">
      <c r="B19" s="84" t="inlineStr">
        <is>
          <t>OPERATIONAL</t>
        </is>
      </c>
    </row>
    <row r="20" ht="15" customHeight="1" s="81">
      <c r="B20" s="85" t="inlineStr">
        <is>
          <t>CA LLC + Seller's Permit; biz checking; PSA Collector's Club; insurance rider; CPA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808080"/>
    <outlinePr summaryBelow="1" summaryRight="1"/>
    <pageSetUpPr fitToPage="0"/>
  </sheetPr>
  <dimension ref="B2:C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80" min="1" max="1"/>
    <col width="50" customWidth="1" style="80" min="2" max="2"/>
    <col width="90" customWidth="1" style="80" min="3" max="3"/>
  </cols>
  <sheetData>
    <row r="2" ht="21.75" customHeight="1" s="81">
      <c r="B2" s="86" t="inlineStr">
        <is>
          <t>RESEARCH SOURCES</t>
        </is>
      </c>
    </row>
    <row r="4" ht="15" customHeight="1" s="81">
      <c r="B4" s="91" t="inlineStr">
        <is>
          <t>Source</t>
        </is>
      </c>
      <c r="C4" s="91" t="inlineStr">
        <is>
          <t>URL</t>
        </is>
      </c>
    </row>
    <row r="5" ht="15" customHeight="1" s="81">
      <c r="B5" s="92" t="inlineStr">
        <is>
          <t>PokeTracker Investment Guide 2026</t>
        </is>
      </c>
      <c r="C5" s="155" t="inlineStr">
        <is>
          <t>https://pokemoncardvalue.io/blog/best-pokemon-cards-to-invest-2026.html</t>
        </is>
      </c>
    </row>
    <row r="6" ht="15" customHeight="1" s="81">
      <c r="B6" s="92" t="inlineStr">
        <is>
          <t>TCGrader Best 2026</t>
        </is>
      </c>
      <c r="C6" s="155" t="inlineStr">
        <is>
          <t>https://www.tcgrader.com/blog/best-pokemon-cards-invest-2026</t>
        </is>
      </c>
    </row>
    <row r="7" ht="15" customHeight="1" s="81">
      <c r="B7" s="92" t="inlineStr">
        <is>
          <t>Athlon Mega Evolution</t>
        </is>
      </c>
      <c r="C7" s="155" t="inlineStr">
        <is>
          <t>https://athlonsports.com/collectibles/pokemon-tcg-investing-2026-mega-evolution</t>
        </is>
      </c>
    </row>
    <row r="8" ht="15" customHeight="1" s="81">
      <c r="B8" s="92" t="inlineStr">
        <is>
          <t>Hall of Cards Jan 2026</t>
        </is>
      </c>
      <c r="C8" s="155" t="inlineStr">
        <is>
          <t>https://hallofcards.app/blog-posts/pokemon-card-market-report-january-2026</t>
        </is>
      </c>
    </row>
    <row r="9" ht="15" customHeight="1" s="81">
      <c r="B9" s="92" t="inlineStr">
        <is>
          <t>Misprint ES Box 2026</t>
        </is>
      </c>
      <c r="C9" s="155" t="inlineStr">
        <is>
          <t>https://www.misprint.com/posts/evolving-skies-booster-box-price-2026</t>
        </is>
      </c>
    </row>
    <row r="10" ht="15" customHeight="1" s="81">
      <c r="B10" s="92" t="inlineStr">
        <is>
          <t>Cardrake Mega Gengar AH</t>
        </is>
      </c>
      <c r="C10" s="155" t="inlineStr">
        <is>
          <t>https://www.cardrake.com/cards/me2pt5-284</t>
        </is>
      </c>
    </row>
    <row r="11" ht="15" customHeight="1" s="81">
      <c r="B11" s="92" t="inlineStr">
        <is>
          <t>PriceCharting PE Umbreon</t>
        </is>
      </c>
      <c r="C11" s="155" t="inlineStr">
        <is>
          <t>https://www.pricecharting.com/game/pokemon-prismatic-evolutions/umbreon-ex-161</t>
        </is>
      </c>
    </row>
    <row r="12" ht="15" customHeight="1" s="81">
      <c r="B12" s="92" t="inlineStr">
        <is>
          <t>PPT PE Review 2026</t>
        </is>
      </c>
      <c r="C12" s="155" t="inlineStr">
        <is>
          <t>https://www.pokemonpricetracker.com/blog/posts/prismatic-evolutions-set-review-2026-complete-guide</t>
        </is>
      </c>
    </row>
    <row r="13" ht="15" customHeight="1" s="81">
      <c r="B13" s="92" t="inlineStr">
        <is>
          <t>CardsNPacks Char 1st Ed 2026</t>
        </is>
      </c>
      <c r="C13" s="155" t="inlineStr">
        <is>
          <t>https://www.cardsnpacks.com/en/blog/evolution-prix-dracaufeu/</t>
        </is>
      </c>
    </row>
    <row r="14" ht="15" customHeight="1" s="81">
      <c r="B14" s="92" t="inlineStr">
        <is>
          <t>PriceCharting API</t>
        </is>
      </c>
      <c r="C14" s="155" t="inlineStr">
        <is>
          <t>https://www.pricecharting.com/api-documentation</t>
        </is>
      </c>
    </row>
    <row r="15" ht="15" customHeight="1" s="81">
      <c r="B15" s="92" t="inlineStr">
        <is>
          <t>PokemonPriceTracker API</t>
        </is>
      </c>
      <c r="C15" s="155" t="inlineStr">
        <is>
          <t>https://www.pokemonpricetracker.com/pokemon-card-price-api</t>
        </is>
      </c>
    </row>
    <row r="16" ht="15" customHeight="1" s="81">
      <c r="B16" s="92" t="inlineStr">
        <is>
          <t>PSA Pop Reports</t>
        </is>
      </c>
      <c r="C16" s="155" t="inlineStr">
        <is>
          <t>https://www.psacard.com/pop</t>
        </is>
      </c>
    </row>
    <row r="17" ht="15" customHeight="1" s="81">
      <c r="B17" s="92" t="inlineStr">
        <is>
          <t>130point Sold Comps</t>
        </is>
      </c>
      <c r="C17" s="155" t="inlineStr">
        <is>
          <t>https://130point.com</t>
        </is>
      </c>
    </row>
  </sheetData>
  <hyperlinks>
    <hyperlink xmlns:r="http://schemas.openxmlformats.org/officeDocument/2006/relationships" ref="C5" display="https://pokemoncardvalue.io/blog/best-pokemon-cards-to-invest-2026.html" r:id="rId1"/>
    <hyperlink xmlns:r="http://schemas.openxmlformats.org/officeDocument/2006/relationships" ref="C6" display="https://www.tcgrader.com/blog/best-pokemon-cards-invest-2026" r:id="rId2"/>
    <hyperlink xmlns:r="http://schemas.openxmlformats.org/officeDocument/2006/relationships" ref="C7" display="https://athlonsports.com/collectibles/pokemon-tcg-investing-2026-mega-evolution" r:id="rId3"/>
    <hyperlink xmlns:r="http://schemas.openxmlformats.org/officeDocument/2006/relationships" ref="C8" display="https://hallofcards.app/blog-posts/pokemon-card-market-report-january-2026" r:id="rId4"/>
    <hyperlink xmlns:r="http://schemas.openxmlformats.org/officeDocument/2006/relationships" ref="C9" display="https://www.misprint.com/posts/evolving-skies-booster-box-price-2026" r:id="rId5"/>
    <hyperlink xmlns:r="http://schemas.openxmlformats.org/officeDocument/2006/relationships" ref="C10" display="https://www.cardrake.com/cards/me2pt5-284" r:id="rId6"/>
    <hyperlink xmlns:r="http://schemas.openxmlformats.org/officeDocument/2006/relationships" ref="C11" display="https://www.pricecharting.com/game/pokemon-prismatic-evolutions/umbreon-ex-161" r:id="rId7"/>
    <hyperlink xmlns:r="http://schemas.openxmlformats.org/officeDocument/2006/relationships" ref="C12" display="https://www.pokemonpricetracker.com/blog/posts/prismatic-evolutions-set-review-2026-complete-guide" r:id="rId8"/>
    <hyperlink xmlns:r="http://schemas.openxmlformats.org/officeDocument/2006/relationships" ref="C13" display="https://www.cardsnpacks.com/en/blog/evolution-prix-dracaufeu/" r:id="rId9"/>
    <hyperlink xmlns:r="http://schemas.openxmlformats.org/officeDocument/2006/relationships" ref="C14" display="https://www.pricecharting.com/api-documentation" r:id="rId10"/>
    <hyperlink xmlns:r="http://schemas.openxmlformats.org/officeDocument/2006/relationships" ref="C15" display="https://www.pokemonpricetracker.com/pokemon-card-price-api" r:id="rId11"/>
    <hyperlink xmlns:r="http://schemas.openxmlformats.org/officeDocument/2006/relationships" ref="C16" display="https://www.psacard.com/pop" r:id="rId12"/>
    <hyperlink xmlns:r="http://schemas.openxmlformats.org/officeDocument/2006/relationships" ref="C17" display="https://130point.com" r:id="rId1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cols>
    <col width="18" customWidth="1" style="81" min="1" max="1"/>
    <col width="18" customWidth="1" style="81" min="2" max="2"/>
    <col width="18" customWidth="1" style="81" min="3" max="3"/>
    <col width="18" customWidth="1" style="81" min="4" max="4"/>
    <col width="18" customWidth="1" style="81" min="5" max="5"/>
    <col width="18" customWidth="1" style="81" min="6" max="6"/>
    <col width="18" customWidth="1" style="81" min="7" max="7"/>
    <col width="18" customWidth="1" style="81" min="8" max="8"/>
    <col width="18" customWidth="1" style="81" min="9" max="9"/>
    <col width="18" customWidth="1" style="81" min="10" max="10"/>
    <col width="18" customWidth="1" style="81" min="11" max="11"/>
  </cols>
  <sheetData>
    <row r="1">
      <c r="A1" s="156" t="inlineStr">
        <is>
          <t>🔄 PERSONAL TRADE LOG</t>
        </is>
      </c>
    </row>
    <row r="3">
      <c r="A3" s="157" t="inlineStr">
        <is>
          <t>Date</t>
        </is>
      </c>
      <c r="B3" s="157" t="inlineStr">
        <is>
          <t>Type</t>
        </is>
      </c>
      <c r="C3" s="157" t="inlineStr">
        <is>
          <t>Cards In</t>
        </is>
      </c>
      <c r="D3" s="157" t="inlineStr">
        <is>
          <t>Cards Out / Cash Paid</t>
        </is>
      </c>
      <c r="E3" s="157" t="inlineStr">
        <is>
          <t>Value In $</t>
        </is>
      </c>
      <c r="F3" s="157" t="inlineStr">
        <is>
          <t>Value Out $</t>
        </is>
      </c>
      <c r="G3" s="157" t="inlineStr">
        <is>
          <t>Net Gain $</t>
        </is>
      </c>
      <c r="H3" s="157" t="inlineStr">
        <is>
          <t>Platform / Partner</t>
        </is>
      </c>
      <c r="I3" s="157" t="inlineStr">
        <is>
          <t>Condition</t>
        </is>
      </c>
      <c r="J3" s="157" t="inlineStr">
        <is>
          <t>Grade Result</t>
        </is>
      </c>
      <c r="K3" s="157" t="inlineStr">
        <is>
          <t>Strategy / Notes</t>
        </is>
      </c>
    </row>
    <row r="4">
      <c r="B4" t="inlineStr">
        <is>
          <t>Slab</t>
        </is>
      </c>
      <c r="C4" t="inlineStr">
        <is>
          <t>2016 X&amp;Y Umbreon EX Fates Collide</t>
        </is>
      </c>
      <c r="E4" t="n">
        <v>100</v>
      </c>
      <c r="F4" t="n">
        <v>300</v>
      </c>
      <c r="G4" t="n">
        <v>-200</v>
      </c>
      <c r="I4" t="n">
        <v>9</v>
      </c>
      <c r="J4" t="n">
        <v>9</v>
      </c>
      <c r="K4" t="n">
        <v>300</v>
      </c>
    </row>
    <row r="5">
      <c r="B5" t="inlineStr">
        <is>
          <t>Slab</t>
        </is>
      </c>
      <c r="C5" t="inlineStr">
        <is>
          <t>2022 SWSH Charizard V Brilliant Stars</t>
        </is>
      </c>
      <c r="E5" t="n">
        <v>100</v>
      </c>
      <c r="F5" t="n">
        <v>340</v>
      </c>
      <c r="G5" t="n">
        <v>-240</v>
      </c>
      <c r="I5" t="n">
        <v>9</v>
      </c>
      <c r="J5" t="n">
        <v>9</v>
      </c>
      <c r="K5" t="n">
        <v>340</v>
      </c>
    </row>
    <row r="6">
      <c r="B6" t="inlineStr">
        <is>
          <t>Slab</t>
        </is>
      </c>
      <c r="C6" t="inlineStr">
        <is>
          <t>2024 SVP Pikachu Paldea Adventure Chest</t>
        </is>
      </c>
      <c r="E6" t="n">
        <v>25</v>
      </c>
      <c r="F6" t="n">
        <v>40</v>
      </c>
      <c r="G6" t="n">
        <v>-15</v>
      </c>
      <c r="I6" t="n">
        <v>9</v>
      </c>
      <c r="J6" t="n">
        <v>9</v>
      </c>
      <c r="K6" t="n">
        <v>40</v>
      </c>
    </row>
    <row r="7">
      <c r="B7" t="inlineStr">
        <is>
          <t>Slab</t>
        </is>
      </c>
      <c r="C7" t="inlineStr">
        <is>
          <t>2020 SM Black Star Umbreon/Darkrai GX Promo</t>
        </is>
      </c>
      <c r="E7" t="n">
        <v>100</v>
      </c>
      <c r="F7" t="n">
        <v>190</v>
      </c>
      <c r="G7" t="n">
        <v>-90</v>
      </c>
      <c r="I7" t="n">
        <v>8</v>
      </c>
      <c r="J7" t="n">
        <v>8</v>
      </c>
      <c r="K7" t="n">
        <v>190</v>
      </c>
    </row>
    <row r="8">
      <c r="B8" t="inlineStr">
        <is>
          <t>Slab</t>
        </is>
      </c>
      <c r="C8" t="inlineStr">
        <is>
          <t>2025 M2 JP Mega Charizard X Ex</t>
        </is>
      </c>
      <c r="E8" t="n">
        <v>25</v>
      </c>
      <c r="F8" t="n">
        <v>50</v>
      </c>
      <c r="G8" t="n">
        <v>-25</v>
      </c>
      <c r="I8" t="n">
        <v>10</v>
      </c>
      <c r="J8" t="n">
        <v>10</v>
      </c>
      <c r="K8" t="n">
        <v>50</v>
      </c>
    </row>
    <row r="9">
      <c r="B9" t="inlineStr">
        <is>
          <t>Slab</t>
        </is>
      </c>
      <c r="C9" t="inlineStr">
        <is>
          <t>2021 Celebratrions FA/Pikachu</t>
        </is>
      </c>
      <c r="E9" t="n">
        <v>25</v>
      </c>
      <c r="F9" t="n">
        <v>31</v>
      </c>
      <c r="G9" t="n">
        <v>-6</v>
      </c>
      <c r="I9" t="n">
        <v>8</v>
      </c>
      <c r="J9" t="n">
        <v>8</v>
      </c>
      <c r="K9" t="n">
        <v>31</v>
      </c>
    </row>
    <row r="10">
      <c r="B10" t="inlineStr">
        <is>
          <t>Slab</t>
        </is>
      </c>
      <c r="C10" t="inlineStr">
        <is>
          <t>2025 SV-P JP Pikachu Gym Event Campaign</t>
        </is>
      </c>
      <c r="E10" t="n">
        <v>25</v>
      </c>
      <c r="F10" t="n">
        <v>90</v>
      </c>
      <c r="G10" t="n">
        <v>-65</v>
      </c>
      <c r="I10" t="n">
        <v>10</v>
      </c>
      <c r="J10" t="n">
        <v>10</v>
      </c>
      <c r="K10" t="n">
        <v>90</v>
      </c>
    </row>
    <row r="11">
      <c r="B11" t="inlineStr">
        <is>
          <t>Slab</t>
        </is>
      </c>
      <c r="C11" t="inlineStr">
        <is>
          <t>1999 Fossil Muk-Holo 1st Edition</t>
        </is>
      </c>
      <c r="E11" t="n">
        <v>25</v>
      </c>
      <c r="F11" t="n">
        <v>65</v>
      </c>
      <c r="G11" t="n">
        <v>-40</v>
      </c>
      <c r="I11" t="n">
        <v>7</v>
      </c>
      <c r="J11" t="n">
        <v>7</v>
      </c>
      <c r="K11" t="n">
        <v>65</v>
      </c>
    </row>
    <row r="12">
      <c r="B12" t="inlineStr">
        <is>
          <t>Slab</t>
        </is>
      </c>
      <c r="C12" t="inlineStr">
        <is>
          <t>2020 SWSH FA/Pikachu VMAX Vivid Voltage - Secret</t>
        </is>
      </c>
      <c r="E12" t="n">
        <v>100</v>
      </c>
      <c r="F12" t="n">
        <v>370</v>
      </c>
      <c r="G12" t="n">
        <v>-270</v>
      </c>
      <c r="I12" t="n">
        <v>10</v>
      </c>
      <c r="J12" t="n">
        <v>10</v>
      </c>
      <c r="K12" t="n">
        <v>370</v>
      </c>
    </row>
    <row r="13">
      <c r="B13" t="inlineStr">
        <is>
          <t>Slab</t>
        </is>
      </c>
      <c r="C13" t="inlineStr">
        <is>
          <t>2022 CGC Electivire VSTAR Universe 180</t>
        </is>
      </c>
      <c r="E13" t="n">
        <v>25</v>
      </c>
      <c r="F13" t="n">
        <v>30</v>
      </c>
      <c r="G13" t="n">
        <v>-5</v>
      </c>
      <c r="I13" t="n">
        <v>9.5</v>
      </c>
      <c r="J13" t="n">
        <v>9.5</v>
      </c>
      <c r="K13" t="n">
        <v>30</v>
      </c>
    </row>
    <row r="14">
      <c r="B14" t="inlineStr">
        <is>
          <t>Slab</t>
        </is>
      </c>
      <c r="C14" t="inlineStr">
        <is>
          <t>Burger Pikachu Slab (eBay)</t>
        </is>
      </c>
      <c r="E14" t="n">
        <v>120</v>
      </c>
      <c r="F14" t="n">
        <v>108</v>
      </c>
      <c r="G14" t="n">
        <v>-12</v>
      </c>
      <c r="K14" t="n">
        <v>108</v>
      </c>
    </row>
    <row r="15">
      <c r="B15" t="inlineStr">
        <is>
          <t>TOTAL SLAB</t>
        </is>
      </c>
      <c r="C15" t="inlineStr">
        <is>
          <t>TOTAL SLABS:</t>
        </is>
      </c>
      <c r="E15" t="n">
        <v>550</v>
      </c>
      <c r="F15" t="n">
        <v>1506</v>
      </c>
      <c r="G15" t="n">
        <v>-956</v>
      </c>
      <c r="K15" t="n">
        <v>1614</v>
      </c>
    </row>
    <row r="16">
      <c r="B16" t="inlineStr">
        <is>
          <t>RAW - Full Art</t>
        </is>
      </c>
      <c r="C16" t="inlineStr">
        <is>
          <t>Phantasmal Flames Piplup</t>
        </is>
      </c>
      <c r="F16" t="n">
        <v>18</v>
      </c>
      <c r="G16" t="n">
        <v>18</v>
      </c>
      <c r="K16" t="n">
        <v>18</v>
      </c>
    </row>
    <row r="17">
      <c r="B17" t="inlineStr">
        <is>
          <t>RAW - Full Art</t>
        </is>
      </c>
      <c r="C17" t="inlineStr">
        <is>
          <t>Perfect Order Promo Tyrunt</t>
        </is>
      </c>
      <c r="F17" t="n">
        <v>5</v>
      </c>
      <c r="G17" t="n">
        <v>5</v>
      </c>
      <c r="K17" t="n">
        <v>5</v>
      </c>
    </row>
    <row r="18">
      <c r="B18" t="inlineStr">
        <is>
          <t>RAW - Full Art</t>
        </is>
      </c>
      <c r="C18" t="inlineStr">
        <is>
          <t xml:space="preserve">Perfect Order Jacinthe </t>
        </is>
      </c>
      <c r="F18" t="n">
        <v>6</v>
      </c>
      <c r="G18" t="n">
        <v>6</v>
      </c>
      <c r="K18" t="n">
        <v>6</v>
      </c>
    </row>
    <row r="19">
      <c r="B19" t="inlineStr">
        <is>
          <t>RAW - Full Art</t>
        </is>
      </c>
      <c r="C19" t="inlineStr">
        <is>
          <t>perfect Order Drapion</t>
        </is>
      </c>
      <c r="F19" t="n">
        <v>2</v>
      </c>
      <c r="G19" t="n">
        <v>2</v>
      </c>
      <c r="K19" t="n">
        <v>2</v>
      </c>
    </row>
    <row r="20">
      <c r="B20" t="inlineStr">
        <is>
          <t>RAW - Full Art</t>
        </is>
      </c>
      <c r="C20" t="inlineStr">
        <is>
          <t>Phantasmal Flames Yamper</t>
        </is>
      </c>
      <c r="F20" t="n">
        <v>4</v>
      </c>
      <c r="G20" t="n">
        <v>4</v>
      </c>
      <c r="K20" t="n">
        <v>4</v>
      </c>
    </row>
    <row r="21">
      <c r="B21" t="inlineStr">
        <is>
          <t>RAW - Full Art</t>
        </is>
      </c>
      <c r="C21" t="inlineStr">
        <is>
          <t>Phantasmal Flames Zacian</t>
        </is>
      </c>
      <c r="F21" t="n">
        <v>4</v>
      </c>
      <c r="G21" t="n">
        <v>4</v>
      </c>
      <c r="K21" t="n">
        <v>4</v>
      </c>
    </row>
    <row r="22">
      <c r="B22" t="inlineStr">
        <is>
          <t>RAW - Full Art</t>
        </is>
      </c>
      <c r="C22" t="inlineStr">
        <is>
          <t>Phantasmal Flames Firebreather</t>
        </is>
      </c>
      <c r="F22" t="n">
        <v>2</v>
      </c>
      <c r="G22" t="n">
        <v>2</v>
      </c>
      <c r="K22" t="n">
        <v>2</v>
      </c>
    </row>
    <row r="23">
      <c r="B23" t="inlineStr">
        <is>
          <t>RAW - Full Art</t>
        </is>
      </c>
      <c r="C23" t="inlineStr">
        <is>
          <t>Black Bolt Musharna</t>
        </is>
      </c>
      <c r="F23" t="n">
        <v>8</v>
      </c>
      <c r="G23" t="n">
        <v>8</v>
      </c>
      <c r="K23" t="n">
        <v>8</v>
      </c>
    </row>
    <row r="24">
      <c r="B24" t="inlineStr">
        <is>
          <t>RAW - Full Art</t>
        </is>
      </c>
      <c r="C24" t="inlineStr">
        <is>
          <t>Perfect Order Aurorus</t>
        </is>
      </c>
      <c r="F24" t="n">
        <v>5</v>
      </c>
      <c r="G24" t="n">
        <v>5</v>
      </c>
      <c r="K24" t="n">
        <v>5</v>
      </c>
    </row>
    <row r="25">
      <c r="B25" t="inlineStr">
        <is>
          <t>RAW - Full Art</t>
        </is>
      </c>
      <c r="C25" t="inlineStr">
        <is>
          <t xml:space="preserve">SV Cynthia's Garchomp EX </t>
        </is>
      </c>
      <c r="F25" t="n">
        <v>5</v>
      </c>
      <c r="G25" t="n">
        <v>5</v>
      </c>
      <c r="K25" t="n">
        <v>5</v>
      </c>
    </row>
    <row r="26">
      <c r="B26" t="inlineStr">
        <is>
          <t>RAW - Full Art</t>
        </is>
      </c>
      <c r="C26" t="inlineStr">
        <is>
          <t>Paradox Rift Toxtricity EX</t>
        </is>
      </c>
      <c r="F26" t="n">
        <v>3</v>
      </c>
      <c r="G26" t="n">
        <v>3</v>
      </c>
      <c r="K26" t="n">
        <v>3</v>
      </c>
    </row>
    <row r="27">
      <c r="B27" t="inlineStr">
        <is>
          <t>RAW - Full Art</t>
        </is>
      </c>
      <c r="C27" t="inlineStr">
        <is>
          <t>Perfect Order Rosa's Encouragmeent</t>
        </is>
      </c>
      <c r="F27" t="n">
        <v>15</v>
      </c>
      <c r="G27" t="n">
        <v>15</v>
      </c>
      <c r="K27" t="n">
        <v>15</v>
      </c>
    </row>
    <row r="28">
      <c r="B28" t="inlineStr">
        <is>
          <t>RAW - Full Art</t>
        </is>
      </c>
      <c r="C28" t="inlineStr">
        <is>
          <t>Perfect Order Talonflame</t>
        </is>
      </c>
      <c r="F28" t="n">
        <v>4</v>
      </c>
      <c r="G28" t="n">
        <v>4</v>
      </c>
      <c r="K28" t="n">
        <v>4</v>
      </c>
    </row>
    <row r="29">
      <c r="B29" t="inlineStr">
        <is>
          <t>RAW - Full Art</t>
        </is>
      </c>
      <c r="C29" t="inlineStr">
        <is>
          <t>Ascended Heroes Numel</t>
        </is>
      </c>
      <c r="F29" t="n">
        <v>6</v>
      </c>
      <c r="G29" t="n">
        <v>6</v>
      </c>
      <c r="K29" t="n">
        <v>6</v>
      </c>
    </row>
    <row r="30">
      <c r="B30" t="inlineStr">
        <is>
          <t>RAW - Full Art</t>
        </is>
      </c>
      <c r="C30" t="inlineStr">
        <is>
          <t>Phantasmal Flames Flygon</t>
        </is>
      </c>
      <c r="F30" t="n">
        <v>6</v>
      </c>
      <c r="G30" t="n">
        <v>6</v>
      </c>
      <c r="K30" t="n">
        <v>6</v>
      </c>
    </row>
    <row r="31">
      <c r="B31" t="inlineStr">
        <is>
          <t>RAW - Full Art</t>
        </is>
      </c>
      <c r="C31" t="inlineStr">
        <is>
          <t>First Illustrator Charmander 1</t>
        </is>
      </c>
      <c r="F31" t="n">
        <v>45</v>
      </c>
      <c r="G31" t="n">
        <v>45</v>
      </c>
      <c r="K31" t="n">
        <v>45</v>
      </c>
    </row>
    <row r="32">
      <c r="B32" t="inlineStr">
        <is>
          <t>RAW - Full Art</t>
        </is>
      </c>
      <c r="C32" t="inlineStr">
        <is>
          <t>First Illustrator Charmander 2</t>
        </is>
      </c>
      <c r="F32" t="n">
        <v>45</v>
      </c>
      <c r="G32" t="n">
        <v>45</v>
      </c>
      <c r="K32" t="n">
        <v>45</v>
      </c>
    </row>
    <row r="33">
      <c r="B33" t="inlineStr">
        <is>
          <t>RAW - Full Art</t>
        </is>
      </c>
      <c r="C33" t="inlineStr">
        <is>
          <t>First Illustrator Charmander 3</t>
        </is>
      </c>
      <c r="F33" t="n">
        <v>45</v>
      </c>
      <c r="G33" t="n">
        <v>45</v>
      </c>
      <c r="K33" t="n">
        <v>45</v>
      </c>
    </row>
    <row r="34">
      <c r="B34" t="inlineStr">
        <is>
          <t>RAW - Full Art</t>
        </is>
      </c>
      <c r="C34" t="inlineStr">
        <is>
          <t>First Illustrator Squirtle 1</t>
        </is>
      </c>
      <c r="F34" t="n">
        <v>28</v>
      </c>
      <c r="G34" t="n">
        <v>28</v>
      </c>
      <c r="K34" t="n">
        <v>28</v>
      </c>
    </row>
    <row r="35">
      <c r="B35" t="inlineStr">
        <is>
          <t>RAW - Full Art</t>
        </is>
      </c>
      <c r="C35" t="inlineStr">
        <is>
          <t>First Illustrator Squirtle 2</t>
        </is>
      </c>
      <c r="F35" t="n">
        <v>28</v>
      </c>
      <c r="G35" t="n">
        <v>28</v>
      </c>
      <c r="K35" t="n">
        <v>28</v>
      </c>
    </row>
    <row r="36">
      <c r="B36" t="inlineStr">
        <is>
          <t>RAW - Full Art</t>
        </is>
      </c>
      <c r="C36" t="inlineStr">
        <is>
          <t>First Illustrator Squirtle 3</t>
        </is>
      </c>
      <c r="F36" t="n">
        <v>28</v>
      </c>
      <c r="G36" t="n">
        <v>28</v>
      </c>
      <c r="K36" t="n">
        <v>28</v>
      </c>
    </row>
    <row r="37">
      <c r="B37" t="inlineStr">
        <is>
          <t>RAW - Full Art</t>
        </is>
      </c>
      <c r="C37" t="inlineStr">
        <is>
          <t>First Illustrator Bulbasaur 1</t>
        </is>
      </c>
      <c r="F37" t="n">
        <v>28</v>
      </c>
      <c r="G37" t="n">
        <v>28</v>
      </c>
      <c r="K37" t="n">
        <v>28</v>
      </c>
    </row>
    <row r="38">
      <c r="B38" t="inlineStr">
        <is>
          <t>RAW - Full Art</t>
        </is>
      </c>
      <c r="C38" t="inlineStr">
        <is>
          <t>First Illustrator Bulbasaur 2</t>
        </is>
      </c>
      <c r="F38" t="n">
        <v>28</v>
      </c>
      <c r="G38" t="n">
        <v>28</v>
      </c>
      <c r="K38" t="n">
        <v>28</v>
      </c>
    </row>
    <row r="39">
      <c r="B39" t="inlineStr">
        <is>
          <t>RAW - Full Art</t>
        </is>
      </c>
      <c r="C39" t="inlineStr">
        <is>
          <t>First Illustrator Bulbasaur 3</t>
        </is>
      </c>
      <c r="F39" t="n">
        <v>28</v>
      </c>
      <c r="G39" t="n">
        <v>28</v>
      </c>
      <c r="K39" t="n">
        <v>28</v>
      </c>
    </row>
    <row r="40">
      <c r="B40" t="inlineStr">
        <is>
          <t>RAW - Full Art</t>
        </is>
      </c>
      <c r="C40" t="inlineStr">
        <is>
          <t>First Illustrator Turtwig</t>
        </is>
      </c>
      <c r="F40" t="n">
        <v>8</v>
      </c>
      <c r="G40" t="n">
        <v>8</v>
      </c>
      <c r="K40" t="n">
        <v>8</v>
      </c>
    </row>
    <row r="41">
      <c r="B41" t="inlineStr">
        <is>
          <t>RAW - Full Art</t>
        </is>
      </c>
      <c r="C41" t="inlineStr">
        <is>
          <t>First Illustrator Piplup</t>
        </is>
      </c>
      <c r="F41" t="n">
        <v>13</v>
      </c>
      <c r="G41" t="n">
        <v>13</v>
      </c>
      <c r="K41" t="n">
        <v>13</v>
      </c>
    </row>
    <row r="42">
      <c r="B42" t="inlineStr">
        <is>
          <t>RAW - Full Art</t>
        </is>
      </c>
      <c r="C42" t="inlineStr">
        <is>
          <t>First Illustrator Chimchar</t>
        </is>
      </c>
      <c r="F42" t="n">
        <v>9</v>
      </c>
      <c r="G42" t="n">
        <v>9</v>
      </c>
      <c r="K42" t="n">
        <v>9</v>
      </c>
    </row>
    <row r="43">
      <c r="B43" t="inlineStr">
        <is>
          <t>RAW - Full Art</t>
        </is>
      </c>
      <c r="C43" t="inlineStr">
        <is>
          <t xml:space="preserve">Perfect Order Dedenne </t>
        </is>
      </c>
      <c r="F43" t="n">
        <v>8</v>
      </c>
      <c r="G43" t="n">
        <v>8</v>
      </c>
      <c r="K43" t="n">
        <v>8</v>
      </c>
    </row>
    <row r="44">
      <c r="B44" t="inlineStr">
        <is>
          <t>RAW - Full Art</t>
        </is>
      </c>
      <c r="C44" t="inlineStr">
        <is>
          <t>Ascended Heroes Drakloak</t>
        </is>
      </c>
      <c r="F44" t="n">
        <v>11</v>
      </c>
      <c r="G44" t="n">
        <v>11</v>
      </c>
      <c r="K44" t="n">
        <v>11</v>
      </c>
    </row>
    <row r="45">
      <c r="B45" t="inlineStr">
        <is>
          <t>RAW - Full Art</t>
        </is>
      </c>
      <c r="C45" t="inlineStr">
        <is>
          <t>Ascended Heroes N's Zekrom Promo</t>
        </is>
      </c>
      <c r="F45" t="n">
        <v>11</v>
      </c>
      <c r="G45" t="n">
        <v>11</v>
      </c>
      <c r="K45" t="n">
        <v>11</v>
      </c>
    </row>
    <row r="46">
      <c r="B46" t="inlineStr">
        <is>
          <t>RAW</t>
        </is>
      </c>
      <c r="C46" t="inlineStr">
        <is>
          <t>Ascended Heroes Mega Scrafty EX</t>
        </is>
      </c>
      <c r="F46" t="n">
        <v>8</v>
      </c>
      <c r="G46" t="n">
        <v>8</v>
      </c>
      <c r="K46" t="n">
        <v>8</v>
      </c>
    </row>
    <row r="47">
      <c r="B47" t="inlineStr">
        <is>
          <t>RAW</t>
        </is>
      </c>
      <c r="C47" t="inlineStr">
        <is>
          <t>Ascended Heroes Mega Charizard Y EX 022</t>
        </is>
      </c>
      <c r="F47" t="n">
        <v>12</v>
      </c>
      <c r="G47" t="n">
        <v>12</v>
      </c>
      <c r="K47" t="n">
        <v>12</v>
      </c>
    </row>
    <row r="48">
      <c r="B48" t="inlineStr">
        <is>
          <t>RAW</t>
        </is>
      </c>
      <c r="C48" t="inlineStr">
        <is>
          <t>Prismatic Evolutions Espeon EX</t>
        </is>
      </c>
      <c r="F48" t="n">
        <v>4</v>
      </c>
      <c r="G48" t="n">
        <v>4</v>
      </c>
      <c r="K48" t="n">
        <v>4</v>
      </c>
    </row>
    <row r="49">
      <c r="B49" t="inlineStr">
        <is>
          <t>TOTAL RAWS</t>
        </is>
      </c>
      <c r="C49" t="inlineStr">
        <is>
          <t xml:space="preserve">Brilliant Stars Raichu V </t>
        </is>
      </c>
      <c r="F49" t="n">
        <v>3</v>
      </c>
      <c r="G49" t="n">
        <v>3</v>
      </c>
      <c r="K49" t="n">
        <v>3</v>
      </c>
    </row>
    <row r="50">
      <c r="C50" t="inlineStr">
        <is>
          <t>TOTAL OF CARDS FROM RIPS</t>
        </is>
      </c>
      <c r="F50" t="n">
        <v>483</v>
      </c>
      <c r="G50" t="n">
        <v>483</v>
      </c>
      <c r="K50" t="n">
        <v>483</v>
      </c>
    </row>
    <row r="51">
      <c r="B51" t="inlineStr">
        <is>
          <t>SEALED</t>
        </is>
      </c>
      <c r="C51" t="inlineStr">
        <is>
          <t xml:space="preserve">Ascended Heroes ETB 1 </t>
        </is>
      </c>
      <c r="E51" t="n">
        <v>60</v>
      </c>
      <c r="F51" t="n">
        <v>180</v>
      </c>
      <c r="G51" t="n">
        <v>120</v>
      </c>
      <c r="K51" t="n">
        <v>120</v>
      </c>
    </row>
    <row r="52">
      <c r="B52" t="inlineStr">
        <is>
          <t>SEALED</t>
        </is>
      </c>
      <c r="C52" t="inlineStr">
        <is>
          <t>Ascended Heroes ETB 2</t>
        </is>
      </c>
      <c r="E52" t="n">
        <v>60</v>
      </c>
      <c r="F52" t="n">
        <v>180</v>
      </c>
      <c r="G52" t="n">
        <v>120</v>
      </c>
      <c r="K52" t="n">
        <v>120</v>
      </c>
    </row>
    <row r="53">
      <c r="B53" t="inlineStr">
        <is>
          <t>SEALED</t>
        </is>
      </c>
      <c r="C53" t="inlineStr">
        <is>
          <t>Prismatic Evolutions ETB</t>
        </is>
      </c>
      <c r="E53" t="n">
        <v>60</v>
      </c>
      <c r="F53" t="n">
        <v>160</v>
      </c>
      <c r="G53" t="n">
        <v>100</v>
      </c>
      <c r="K53" t="n">
        <v>100</v>
      </c>
    </row>
    <row r="54">
      <c r="B54" t="inlineStr">
        <is>
          <t>SEALED</t>
        </is>
      </c>
      <c r="C54" t="inlineStr">
        <is>
          <t xml:space="preserve">Ascended Hereos Booster Bundle 1 </t>
        </is>
      </c>
      <c r="E54" t="n">
        <v>47</v>
      </c>
      <c r="F54" t="n">
        <v>86</v>
      </c>
      <c r="G54" t="n">
        <v>39</v>
      </c>
      <c r="K54" t="n">
        <v>39</v>
      </c>
    </row>
    <row r="55">
      <c r="B55" t="inlineStr">
        <is>
          <t xml:space="preserve">SEALED </t>
        </is>
      </c>
      <c r="C55" t="inlineStr">
        <is>
          <t xml:space="preserve">Ascended Heroes Booster Bundle 2  </t>
        </is>
      </c>
      <c r="E55" t="n">
        <v>47</v>
      </c>
      <c r="F55" t="n">
        <v>86</v>
      </c>
      <c r="G55" t="n">
        <v>39</v>
      </c>
      <c r="K55" t="n">
        <v>39</v>
      </c>
    </row>
    <row r="56">
      <c r="B56" t="inlineStr">
        <is>
          <t xml:space="preserve">SEALED </t>
        </is>
      </c>
      <c r="C56" t="inlineStr">
        <is>
          <t xml:space="preserve">Mega Fraligatr Ascended Heroes Bundle 1 </t>
        </is>
      </c>
      <c r="E56" t="n">
        <v>26</v>
      </c>
      <c r="F56" t="n">
        <v>55</v>
      </c>
      <c r="G56" t="n">
        <v>29</v>
      </c>
      <c r="K56" t="n">
        <v>29</v>
      </c>
    </row>
    <row r="57">
      <c r="B57" t="inlineStr">
        <is>
          <t>SEALED</t>
        </is>
      </c>
      <c r="C57" t="inlineStr">
        <is>
          <t xml:space="preserve">Mega Fraligatr Ascended Heroes Bundle 2 </t>
        </is>
      </c>
      <c r="E57" t="n">
        <v>26</v>
      </c>
      <c r="F57" t="n">
        <v>55</v>
      </c>
      <c r="G57" t="n">
        <v>29</v>
      </c>
      <c r="K57" t="n">
        <v>29</v>
      </c>
    </row>
    <row r="58">
      <c r="B58" t="inlineStr">
        <is>
          <t>SEALED</t>
        </is>
      </c>
      <c r="C58" t="inlineStr">
        <is>
          <t xml:space="preserve">Chaos Rising PTC ETB 1 </t>
        </is>
      </c>
      <c r="E58" t="n">
        <v>60</v>
      </c>
      <c r="F58" t="n">
        <v>200</v>
      </c>
      <c r="G58" t="n">
        <v>140</v>
      </c>
      <c r="K58" t="n">
        <v>140</v>
      </c>
    </row>
    <row r="59">
      <c r="B59" t="inlineStr">
        <is>
          <t>SEALED</t>
        </is>
      </c>
      <c r="C59" t="inlineStr">
        <is>
          <t xml:space="preserve">Chaos Rising PTC ETB 2 </t>
        </is>
      </c>
      <c r="E59" t="n">
        <v>60</v>
      </c>
      <c r="F59" t="n">
        <v>200</v>
      </c>
      <c r="G59" t="n">
        <v>140</v>
      </c>
      <c r="K59" t="n">
        <v>140</v>
      </c>
    </row>
    <row r="60">
      <c r="B60" t="inlineStr">
        <is>
          <t>SEALED</t>
        </is>
      </c>
      <c r="C60" t="inlineStr">
        <is>
          <t xml:space="preserve">Chaos Rising PTC ETB 3 </t>
        </is>
      </c>
      <c r="E60" t="n">
        <v>60</v>
      </c>
      <c r="F60" t="n">
        <v>200</v>
      </c>
      <c r="G60" t="n">
        <v>140</v>
      </c>
      <c r="K60" t="n">
        <v>140</v>
      </c>
    </row>
    <row r="61">
      <c r="B61" t="inlineStr">
        <is>
          <t>SEALED</t>
        </is>
      </c>
      <c r="C61" t="inlineStr">
        <is>
          <t xml:space="preserve">Chaos Rising PTC ETB 4 </t>
        </is>
      </c>
      <c r="E61" t="n">
        <v>60</v>
      </c>
      <c r="F61" t="n">
        <v>200</v>
      </c>
      <c r="G61" t="n">
        <v>140</v>
      </c>
      <c r="K61" t="n">
        <v>140</v>
      </c>
    </row>
    <row r="62">
      <c r="B62" t="inlineStr">
        <is>
          <t>SEALED</t>
        </is>
      </c>
      <c r="C62" t="inlineStr">
        <is>
          <t>Chaos Rising Booster Bundle 1</t>
        </is>
      </c>
      <c r="E62" t="n">
        <v>25</v>
      </c>
      <c r="F62" t="n">
        <v>60</v>
      </c>
      <c r="G62" t="n">
        <v>35</v>
      </c>
      <c r="K62" t="n">
        <v>35</v>
      </c>
    </row>
    <row r="63">
      <c r="B63" t="inlineStr">
        <is>
          <t>SEALED</t>
        </is>
      </c>
      <c r="C63" t="inlineStr">
        <is>
          <t>Chaos Rising Booster Bundle 2</t>
        </is>
      </c>
      <c r="E63" t="n">
        <v>25</v>
      </c>
      <c r="F63" t="n">
        <v>60</v>
      </c>
      <c r="G63" t="n">
        <v>35</v>
      </c>
      <c r="K63" t="n">
        <v>35</v>
      </c>
    </row>
    <row r="64">
      <c r="B64" t="inlineStr">
        <is>
          <t>SEALED</t>
        </is>
      </c>
      <c r="C64" t="inlineStr">
        <is>
          <t>Chaos Rising Booster Box</t>
        </is>
      </c>
      <c r="E64" t="n">
        <v>164</v>
      </c>
      <c r="F64" t="n">
        <v>238</v>
      </c>
      <c r="G64" t="n">
        <v>74</v>
      </c>
      <c r="K64" t="n">
        <v>74</v>
      </c>
    </row>
    <row r="65">
      <c r="C65" t="inlineStr">
        <is>
          <t>TOTAL OF SEALED</t>
        </is>
      </c>
      <c r="E65" t="n">
        <v>780</v>
      </c>
      <c r="F65" t="n">
        <v>1960</v>
      </c>
      <c r="G65" t="n">
        <v>1180</v>
      </c>
      <c r="K65" t="n">
        <v>1180</v>
      </c>
    </row>
    <row r="66">
      <c r="B66" t="inlineStr">
        <is>
          <t>SINGLES</t>
        </is>
      </c>
      <c r="C66" t="inlineStr">
        <is>
          <t>SV: Scarlet &amp; Violet Pikachu 173</t>
        </is>
      </c>
      <c r="E66" t="n">
        <v>81</v>
      </c>
      <c r="F66" t="n">
        <v>71</v>
      </c>
      <c r="G66" t="n">
        <v>-10</v>
      </c>
      <c r="K66" t="n">
        <v>71</v>
      </c>
    </row>
    <row r="67">
      <c r="B67" t="inlineStr">
        <is>
          <t>SINGLES</t>
        </is>
      </c>
      <c r="C67" t="inlineStr">
        <is>
          <t>Crown Zenith Regigigas</t>
        </is>
      </c>
      <c r="E67" t="n">
        <v>25</v>
      </c>
      <c r="F67" t="n">
        <v>25</v>
      </c>
      <c r="G67" t="n">
        <v>0</v>
      </c>
      <c r="K67" t="n">
        <v>25</v>
      </c>
    </row>
    <row r="68">
      <c r="B68" t="inlineStr">
        <is>
          <t>SINGLES</t>
        </is>
      </c>
      <c r="C68" t="inlineStr">
        <is>
          <t>Crown Zenith Mew</t>
        </is>
      </c>
      <c r="E68" t="n">
        <v>65</v>
      </c>
      <c r="F68" t="n">
        <v>71</v>
      </c>
      <c r="G68" t="n">
        <v>6</v>
      </c>
      <c r="K68" t="n">
        <v>71</v>
      </c>
    </row>
    <row r="69">
      <c r="B69" t="inlineStr">
        <is>
          <t>SINGLES</t>
        </is>
      </c>
      <c r="C69" t="inlineStr">
        <is>
          <t>Angry Charmander PROMO 044</t>
        </is>
      </c>
      <c r="E69" t="n">
        <v>65</v>
      </c>
      <c r="F69" t="n">
        <v>72</v>
      </c>
      <c r="G69" t="n">
        <v>7</v>
      </c>
      <c r="K69" t="n">
        <v>72</v>
      </c>
    </row>
    <row r="70">
      <c r="B70" t="inlineStr">
        <is>
          <t>SINGLES</t>
        </is>
      </c>
      <c r="C70" t="inlineStr">
        <is>
          <t>Lost Origin Promo Pikachu + Dawn</t>
        </is>
      </c>
      <c r="E70" t="n">
        <v>55</v>
      </c>
      <c r="F70" t="n">
        <v>60</v>
      </c>
      <c r="G70" t="n">
        <v>5</v>
      </c>
      <c r="K70" t="n">
        <v>60</v>
      </c>
    </row>
    <row r="71">
      <c r="B71" t="inlineStr">
        <is>
          <t>SINGLES</t>
        </is>
      </c>
      <c r="C71" t="inlineStr">
        <is>
          <t>SWSH  Arceus V Promo</t>
        </is>
      </c>
      <c r="E71" t="n">
        <v>20</v>
      </c>
      <c r="F71" t="n">
        <v>24</v>
      </c>
      <c r="G71" t="n">
        <v>4</v>
      </c>
      <c r="K71" t="n">
        <v>24</v>
      </c>
    </row>
    <row r="72">
      <c r="B72" t="inlineStr">
        <is>
          <t>SINGLES</t>
        </is>
      </c>
      <c r="C72" t="inlineStr">
        <is>
          <t>Crown Zenith Arceus Vstar</t>
        </is>
      </c>
      <c r="E72" t="n">
        <v>150</v>
      </c>
      <c r="F72" t="n">
        <v>165</v>
      </c>
      <c r="G72" t="n">
        <v>15</v>
      </c>
      <c r="K72" t="n">
        <v>165</v>
      </c>
    </row>
    <row r="73">
      <c r="B73" t="inlineStr">
        <is>
          <t>SINGLES</t>
        </is>
      </c>
      <c r="C73" t="inlineStr">
        <is>
          <t>151 Charmander</t>
        </is>
      </c>
      <c r="E73" t="n">
        <v>110</v>
      </c>
      <c r="F73" t="n">
        <v>105</v>
      </c>
      <c r="G73" t="n">
        <v>-5</v>
      </c>
      <c r="K73" t="n">
        <v>105</v>
      </c>
    </row>
    <row r="74">
      <c r="B74" t="inlineStr">
        <is>
          <t>SINGLES</t>
        </is>
      </c>
      <c r="C74" t="inlineStr">
        <is>
          <t>SV: Scarlet &amp; Violet Pikachu Promo 027</t>
        </is>
      </c>
      <c r="E74" t="n">
        <v>20</v>
      </c>
      <c r="F74" t="n">
        <v>22</v>
      </c>
      <c r="G74" t="n">
        <v>2</v>
      </c>
      <c r="K74" t="n">
        <v>22</v>
      </c>
    </row>
    <row r="75">
      <c r="C75" t="inlineStr">
        <is>
          <t>TOTAL OF SINGLES PURCHASED</t>
        </is>
      </c>
      <c r="E75" t="n">
        <v>591</v>
      </c>
      <c r="F75" t="n">
        <v>615</v>
      </c>
      <c r="G75" t="n">
        <v>24</v>
      </c>
      <c r="K75" t="n">
        <v>615</v>
      </c>
    </row>
    <row r="76">
      <c r="B76" t="inlineStr">
        <is>
          <t>RIP</t>
        </is>
      </c>
      <c r="C76" t="inlineStr">
        <is>
          <t>Ascended Hero ETB</t>
        </is>
      </c>
      <c r="E76" t="n">
        <v>120</v>
      </c>
      <c r="F76" t="n">
        <v>180</v>
      </c>
      <c r="G76" t="n">
        <v>60</v>
      </c>
      <c r="K76" t="n">
        <v>120</v>
      </c>
    </row>
    <row r="77">
      <c r="B77" t="inlineStr">
        <is>
          <t>RIP</t>
        </is>
      </c>
      <c r="C77" t="inlineStr">
        <is>
          <t>Black Bolt + White Flare box</t>
        </is>
      </c>
      <c r="E77" t="n">
        <v>90</v>
      </c>
      <c r="F77" t="n">
        <v>90</v>
      </c>
      <c r="G77" t="n">
        <v>0</v>
      </c>
      <c r="K77" t="n">
        <v>90</v>
      </c>
    </row>
    <row r="78">
      <c r="B78" t="inlineStr">
        <is>
          <t>RIP</t>
        </is>
      </c>
      <c r="C78" t="inlineStr">
        <is>
          <t>First illustration Box x2</t>
        </is>
      </c>
      <c r="E78" t="n">
        <v>40.45</v>
      </c>
      <c r="F78" t="n">
        <v>102</v>
      </c>
      <c r="G78" t="n">
        <v>61.55</v>
      </c>
      <c r="K78" t="n">
        <v>40.45</v>
      </c>
    </row>
    <row r="79">
      <c r="B79" t="inlineStr">
        <is>
          <t>RIP</t>
        </is>
      </c>
      <c r="C79" t="inlineStr">
        <is>
          <t>First illustration Box x2</t>
        </is>
      </c>
      <c r="E79" t="n">
        <v>40.45</v>
      </c>
      <c r="F79" t="n">
        <v>102</v>
      </c>
      <c r="G79" t="n">
        <v>61.55</v>
      </c>
      <c r="K79" t="n">
        <v>40.45</v>
      </c>
    </row>
    <row r="80">
      <c r="B80" t="inlineStr">
        <is>
          <t>RIP</t>
        </is>
      </c>
      <c r="C80" t="inlineStr">
        <is>
          <t>Ascended Heroes Pin Collection (Card Shop)</t>
        </is>
      </c>
      <c r="E80" t="n">
        <v>50</v>
      </c>
      <c r="F80" t="n">
        <v>58</v>
      </c>
      <c r="G80" t="n">
        <v>8</v>
      </c>
      <c r="K80" t="n">
        <v>50</v>
      </c>
    </row>
    <row r="81">
      <c r="B81" t="inlineStr">
        <is>
          <t>RIP</t>
        </is>
      </c>
      <c r="C81" t="inlineStr">
        <is>
          <t>Perfect Order ETB (Gamestop)</t>
        </is>
      </c>
      <c r="E81" t="n">
        <v>75</v>
      </c>
      <c r="F81" t="n">
        <v>60</v>
      </c>
      <c r="G81" t="n">
        <v>-15</v>
      </c>
      <c r="K81" t="n">
        <v>75</v>
      </c>
    </row>
    <row r="82">
      <c r="B82" t="inlineStr">
        <is>
          <t>RIP</t>
        </is>
      </c>
      <c r="C82" t="inlineStr">
        <is>
          <t>Perfect Order Booster Box (Gamestop)</t>
        </is>
      </c>
      <c r="E82" t="n">
        <v>60</v>
      </c>
      <c r="F82" t="n">
        <v>40</v>
      </c>
      <c r="G82" t="n">
        <v>-20</v>
      </c>
      <c r="K82" t="n">
        <v>60</v>
      </c>
    </row>
    <row r="83">
      <c r="B83" t="inlineStr">
        <is>
          <t>RIP</t>
        </is>
      </c>
      <c r="C83" t="inlineStr">
        <is>
          <t xml:space="preserve">Perfect Order Booster Box (brandon) </t>
        </is>
      </c>
      <c r="E83" t="n">
        <v>40</v>
      </c>
      <c r="F83" t="n">
        <v>40</v>
      </c>
      <c r="G83" t="n">
        <v>0</v>
      </c>
      <c r="K83" t="n">
        <v>40</v>
      </c>
    </row>
    <row r="84">
      <c r="B84" t="inlineStr">
        <is>
          <t>RIP</t>
        </is>
      </c>
      <c r="C84" t="inlineStr">
        <is>
          <t>Perfect Order Booster Packs x4 (Dicks)</t>
        </is>
      </c>
      <c r="E84" t="n">
        <v>24</v>
      </c>
      <c r="F84" t="n">
        <v>24</v>
      </c>
      <c r="G84" t="n">
        <v>0</v>
      </c>
      <c r="K84" t="n">
        <v>24</v>
      </c>
    </row>
    <row r="85">
      <c r="B85" t="inlineStr">
        <is>
          <t>RIP</t>
        </is>
      </c>
      <c r="C85" t="inlineStr">
        <is>
          <t>Perfect Order Booster Box (from Andy?)</t>
        </is>
      </c>
      <c r="E85" t="n">
        <v>40</v>
      </c>
      <c r="F85" t="n">
        <v>40</v>
      </c>
      <c r="G85" t="n">
        <v>0</v>
      </c>
      <c r="K85" t="n">
        <v>40</v>
      </c>
    </row>
    <row r="86">
      <c r="B86" t="inlineStr">
        <is>
          <t>RIP</t>
        </is>
      </c>
      <c r="C86" t="inlineStr">
        <is>
          <t>Destined Rivals Booster Bundle (Card Shop)</t>
        </is>
      </c>
      <c r="E86" t="n">
        <v>60</v>
      </c>
      <c r="F86" t="n">
        <v>70</v>
      </c>
      <c r="G86" t="n">
        <v>10</v>
      </c>
      <c r="K86" t="n">
        <v>60</v>
      </c>
    </row>
    <row r="87">
      <c r="B87" t="inlineStr">
        <is>
          <t>RIP</t>
        </is>
      </c>
      <c r="C87" t="inlineStr">
        <is>
          <t>Darkrai Tin (CVS) x2</t>
        </is>
      </c>
      <c r="E87" t="n">
        <v>50</v>
      </c>
      <c r="F87" t="n">
        <v>50</v>
      </c>
      <c r="G87" t="n">
        <v>0</v>
      </c>
      <c r="K87" t="n">
        <v>50</v>
      </c>
    </row>
    <row r="88">
      <c r="B88" t="inlineStr">
        <is>
          <t>RIP</t>
        </is>
      </c>
      <c r="C88" t="inlineStr">
        <is>
          <t>Mega Charizard X + Y (BestBuy) x3</t>
        </is>
      </c>
      <c r="E88" t="n">
        <v>72</v>
      </c>
      <c r="F88" t="n">
        <v>120</v>
      </c>
      <c r="G88" t="n">
        <v>48</v>
      </c>
      <c r="K88" t="n">
        <v>72</v>
      </c>
    </row>
    <row r="89">
      <c r="B89" t="inlineStr">
        <is>
          <t>RIP</t>
        </is>
      </c>
      <c r="C89" t="inlineStr">
        <is>
          <t>Ascended Hero Booster Bundle (Target)</t>
        </is>
      </c>
      <c r="E89" t="n">
        <v>38.3</v>
      </c>
      <c r="F89" t="n">
        <v>80</v>
      </c>
      <c r="G89" t="n">
        <v>41.7</v>
      </c>
      <c r="K89" t="n">
        <v>38.3</v>
      </c>
    </row>
    <row r="90">
      <c r="B90" t="inlineStr">
        <is>
          <t xml:space="preserve">RIP </t>
        </is>
      </c>
      <c r="C90" t="inlineStr">
        <is>
          <t>Packs from Card Shop (4x) $8 per</t>
        </is>
      </c>
      <c r="E90" t="n">
        <v>30</v>
      </c>
      <c r="F90" t="n">
        <v>32</v>
      </c>
      <c r="G90" t="n">
        <v>2</v>
      </c>
      <c r="K90" t="n">
        <v>30</v>
      </c>
    </row>
    <row r="91">
      <c r="B91" t="inlineStr">
        <is>
          <t>RIP</t>
        </is>
      </c>
      <c r="C91" t="inlineStr">
        <is>
          <t>Cynthia Trainer Pack (Amazon)</t>
        </is>
      </c>
      <c r="E91" t="n">
        <v>58.66</v>
      </c>
      <c r="F91" t="n">
        <v>63</v>
      </c>
      <c r="G91" t="n">
        <v>4.340000000000003</v>
      </c>
      <c r="K91" t="n">
        <v>58.66</v>
      </c>
    </row>
    <row r="92">
      <c r="B92" t="inlineStr">
        <is>
          <t>RIP</t>
        </is>
      </c>
      <c r="C92" t="inlineStr">
        <is>
          <t>Prismatic Evolutions Poster Bundle</t>
        </is>
      </c>
      <c r="E92" t="n">
        <v>24.3</v>
      </c>
      <c r="F92" t="n">
        <v>37</v>
      </c>
      <c r="G92" t="n">
        <v>12.7</v>
      </c>
      <c r="K92" t="n">
        <v>24.3</v>
      </c>
    </row>
    <row r="93">
      <c r="B93" t="inlineStr">
        <is>
          <t>RIP</t>
        </is>
      </c>
      <c r="C93" t="inlineStr">
        <is>
          <t>Phantasmal Flames ETB</t>
        </is>
      </c>
      <c r="E93" t="n">
        <v>110</v>
      </c>
      <c r="F93" t="n">
        <v>130</v>
      </c>
      <c r="G93" t="n">
        <v>20</v>
      </c>
      <c r="K93" t="n">
        <v>110</v>
      </c>
    </row>
    <row r="94">
      <c r="C94" t="inlineStr">
        <is>
          <t>ESTIMATE* TOTAL OF RIPS SPENT</t>
        </is>
      </c>
      <c r="E94" t="n">
        <v>1023.16</v>
      </c>
      <c r="F94" t="n">
        <v>1318</v>
      </c>
      <c r="G94" t="n">
        <v>274.84</v>
      </c>
      <c r="K94" t="n">
        <v>1023.16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2" customWidth="1" style="81" min="1" max="1"/>
    <col width="22" customWidth="1" style="81" min="2" max="2"/>
    <col width="22" customWidth="1" style="81" min="3" max="3"/>
    <col width="22" customWidth="1" style="81" min="4" max="4"/>
    <col width="22" customWidth="1" style="81" min="5" max="5"/>
    <col width="22" customWidth="1" style="81" min="6" max="6"/>
    <col width="22" customWidth="1" style="81" min="7" max="7"/>
    <col width="22" customWidth="1" style="81" min="8" max="8"/>
    <col width="22" customWidth="1" style="81" min="9" max="9"/>
  </cols>
  <sheetData>
    <row r="1">
      <c r="A1" s="156" t="inlineStr">
        <is>
          <t>🎯 HUNT LIST — Cards we want to acquire</t>
        </is>
      </c>
    </row>
    <row r="3">
      <c r="A3" s="157" t="inlineStr">
        <is>
          <t>Card Name</t>
        </is>
      </c>
      <c r="B3" s="157" t="inlineStr">
        <is>
          <t>Set</t>
        </is>
      </c>
      <c r="C3" s="157" t="inlineStr">
        <is>
          <t>Year</t>
        </is>
      </c>
      <c r="D3" s="157" t="inlineStr">
        <is>
          <t>Card #</t>
        </is>
      </c>
      <c r="E3" s="157" t="inlineStr">
        <is>
          <t>Era / Type</t>
        </is>
      </c>
      <c r="F3" s="157" t="inlineStr">
        <is>
          <t>Raw NM ($)</t>
        </is>
      </c>
      <c r="G3" s="157" t="inlineStr">
        <is>
          <t>PSA 10 ($)</t>
        </is>
      </c>
      <c r="H3" s="157" t="inlineStr">
        <is>
          <t>PSA 9 ($)</t>
        </is>
      </c>
      <c r="I3" s="157" t="inlineStr">
        <is>
          <t>Notes</t>
        </is>
      </c>
    </row>
    <row r="4">
      <c r="A4" t="inlineStr">
        <is>
          <t xml:space="preserve">  ◆  🔥 TIER S — $1,000+ Raw / $5,000+ PSA 10</t>
        </is>
      </c>
    </row>
    <row r="5">
      <c r="A5" t="inlineStr">
        <is>
          <t>Charizard 1st Ed Holo #4</t>
        </is>
      </c>
      <c r="B5" t="inlineStr">
        <is>
          <t>Base Set – 1st Edition</t>
        </is>
      </c>
      <c r="C5" t="n">
        <v>1999</v>
      </c>
      <c r="D5" t="inlineStr">
        <is>
          <t>4/102</t>
        </is>
      </c>
      <c r="E5" t="inlineStr">
        <is>
          <t>Vintage WOTC</t>
        </is>
      </c>
      <c r="F5" t="n">
        <v>7000</v>
      </c>
      <c r="G5" t="n">
        <v>25000</v>
      </c>
      <c r="H5" t="n">
        <v>8000</v>
      </c>
      <c r="I5" t="inlineStr">
        <is>
          <t>⚠️ MARGINAL</t>
        </is>
      </c>
    </row>
    <row r="6">
      <c r="A6" t="inlineStr">
        <is>
          <t>Charizard Shadowless Holo</t>
        </is>
      </c>
      <c r="B6" t="inlineStr">
        <is>
          <t>Base Set – Shadowless</t>
        </is>
      </c>
      <c r="C6" t="n">
        <v>1999</v>
      </c>
      <c r="D6" t="inlineStr">
        <is>
          <t>4/102</t>
        </is>
      </c>
      <c r="E6" t="inlineStr">
        <is>
          <t>Vintage WOTC</t>
        </is>
      </c>
      <c r="F6" t="n">
        <v>3000</v>
      </c>
      <c r="G6" t="n">
        <v>15000</v>
      </c>
      <c r="H6" t="n">
        <v>5000</v>
      </c>
      <c r="I6" t="inlineStr">
        <is>
          <t>✅ GRADE IT</t>
        </is>
      </c>
    </row>
    <row r="7">
      <c r="A7" t="inlineStr">
        <is>
          <t>Mega Gengar ex SIR #284</t>
        </is>
      </c>
      <c r="B7" t="inlineStr">
        <is>
          <t>Ascended Heroes</t>
        </is>
      </c>
      <c r="C7" t="n">
        <v>2026</v>
      </c>
      <c r="D7" t="inlineStr">
        <is>
          <t>284/217</t>
        </is>
      </c>
      <c r="E7" t="inlineStr">
        <is>
          <t>Modern SIR</t>
        </is>
      </c>
      <c r="F7" t="n">
        <v>1000</v>
      </c>
      <c r="G7" t="n">
        <v>3000</v>
      </c>
      <c r="H7" t="n">
        <v>1100</v>
      </c>
      <c r="I7" t="inlineStr">
        <is>
          <t>⚠️ MARGINAL</t>
        </is>
      </c>
    </row>
    <row r="8">
      <c r="A8" t="inlineStr">
        <is>
          <t>Mega Charizard Y ex HR</t>
        </is>
      </c>
      <c r="B8" t="inlineStr">
        <is>
          <t>Ascended Heroes</t>
        </is>
      </c>
      <c r="C8" t="n">
        <v>2026</v>
      </c>
      <c r="D8" t="inlineStr">
        <is>
          <t>294/217</t>
        </is>
      </c>
      <c r="E8" t="inlineStr">
        <is>
          <t>Hyper Rare</t>
        </is>
      </c>
      <c r="F8" t="n">
        <v>800</v>
      </c>
      <c r="G8" t="n">
        <v>2500</v>
      </c>
      <c r="H8" t="n">
        <v>900</v>
      </c>
      <c r="I8" t="inlineStr">
        <is>
          <t>⚠️ MARGINAL</t>
        </is>
      </c>
    </row>
    <row r="9">
      <c r="A9" t="inlineStr">
        <is>
          <t xml:space="preserve">  ◆  ⭐ TIER A — $300–$1,000 Raw</t>
        </is>
      </c>
    </row>
    <row r="10">
      <c r="A10" t="inlineStr">
        <is>
          <t>Umbreon VMAX Alt Art</t>
        </is>
      </c>
      <c r="B10" t="inlineStr">
        <is>
          <t>Evolving Skies</t>
        </is>
      </c>
      <c r="C10" t="n">
        <v>2021</v>
      </c>
      <c r="D10" t="inlineStr">
        <is>
          <t>215/203</t>
        </is>
      </c>
      <c r="E10" t="inlineStr">
        <is>
          <t>SWSH Alt Art</t>
        </is>
      </c>
      <c r="F10" t="n">
        <v>350</v>
      </c>
      <c r="G10" t="n">
        <v>950</v>
      </c>
      <c r="H10" t="n">
        <v>350</v>
      </c>
      <c r="I10" t="inlineStr">
        <is>
          <t>❌ DON'T GRADE</t>
        </is>
      </c>
    </row>
    <row r="11">
      <c r="A11" t="inlineStr">
        <is>
          <t>Charizard ex SIR</t>
        </is>
      </c>
      <c r="B11" t="inlineStr">
        <is>
          <t>Paldean Evolved</t>
        </is>
      </c>
      <c r="C11" t="n">
        <v>2023</v>
      </c>
      <c r="D11" t="inlineStr">
        <is>
          <t>241/193</t>
        </is>
      </c>
      <c r="E11" t="inlineStr">
        <is>
          <t>Modern SIR</t>
        </is>
      </c>
      <c r="F11" t="n">
        <v>180</v>
      </c>
      <c r="G11" t="n">
        <v>700</v>
      </c>
      <c r="H11" t="n">
        <v>250</v>
      </c>
      <c r="I11" t="inlineStr">
        <is>
          <t>⚠️ MARGINAL</t>
        </is>
      </c>
    </row>
    <row r="12">
      <c r="A12" t="inlineStr">
        <is>
          <t>Mega Dragonite ex SIR #290</t>
        </is>
      </c>
      <c r="B12" t="inlineStr">
        <is>
          <t>Ascended Heroes</t>
        </is>
      </c>
      <c r="C12" t="n">
        <v>2026</v>
      </c>
      <c r="D12" t="inlineStr">
        <is>
          <t>290/217</t>
        </is>
      </c>
      <c r="E12" t="inlineStr">
        <is>
          <t>Modern SIR</t>
        </is>
      </c>
      <c r="F12" t="n">
        <v>700</v>
      </c>
      <c r="G12" t="n">
        <v>2000</v>
      </c>
      <c r="H12" t="n">
        <v>700</v>
      </c>
      <c r="I12" t="inlineStr">
        <is>
          <t>⚠️ MARGINAL</t>
        </is>
      </c>
    </row>
    <row r="13">
      <c r="A13" t="inlineStr">
        <is>
          <t>Rayquaza VMAX Alt Art</t>
        </is>
      </c>
      <c r="B13" t="inlineStr">
        <is>
          <t>Evolving Skies</t>
        </is>
      </c>
      <c r="C13" t="n">
        <v>2021</v>
      </c>
      <c r="D13" t="inlineStr">
        <is>
          <t>218/203</t>
        </is>
      </c>
      <c r="E13" t="inlineStr">
        <is>
          <t>SWSH Alt Art</t>
        </is>
      </c>
      <c r="F13" t="n">
        <v>250</v>
      </c>
      <c r="G13" t="n">
        <v>800</v>
      </c>
      <c r="H13" t="n">
        <v>300</v>
      </c>
      <c r="I13" t="inlineStr">
        <is>
          <t>⚠️ MARGINAL</t>
        </is>
      </c>
    </row>
    <row r="14">
      <c r="A14" t="inlineStr">
        <is>
          <t>Charizard ex SIR</t>
        </is>
      </c>
      <c r="B14" t="inlineStr">
        <is>
          <t>Obsidian Flames</t>
        </is>
      </c>
      <c r="C14" t="n">
        <v>2023</v>
      </c>
      <c r="D14" t="inlineStr">
        <is>
          <t>234/197</t>
        </is>
      </c>
      <c r="E14" t="inlineStr">
        <is>
          <t>Modern SIR</t>
        </is>
      </c>
      <c r="F14" t="n">
        <v>200</v>
      </c>
      <c r="G14" t="n">
        <v>650</v>
      </c>
      <c r="H14" t="n">
        <v>225</v>
      </c>
      <c r="I14" t="inlineStr">
        <is>
          <t>❌ DON'T GRADE</t>
        </is>
      </c>
    </row>
    <row r="15">
      <c r="A15" t="inlineStr">
        <is>
          <t>Lugia V Alt Art</t>
        </is>
      </c>
      <c r="B15" t="inlineStr">
        <is>
          <t>Silver Tempest</t>
        </is>
      </c>
      <c r="C15" t="n">
        <v>2022</v>
      </c>
      <c r="D15" t="inlineStr">
        <is>
          <t>211/195</t>
        </is>
      </c>
      <c r="E15" t="inlineStr">
        <is>
          <t>SWSH Alt Art</t>
        </is>
      </c>
      <c r="F15" t="n">
        <v>200</v>
      </c>
      <c r="G15" t="n">
        <v>600</v>
      </c>
      <c r="H15" t="n">
        <v>200</v>
      </c>
      <c r="I15" t="inlineStr">
        <is>
          <t>❌ DON'T GRADE</t>
        </is>
      </c>
    </row>
    <row r="16">
      <c r="A16" t="inlineStr">
        <is>
          <t>Giratina VSTAR Alt Art</t>
        </is>
      </c>
      <c r="B16" t="inlineStr">
        <is>
          <t>Lost Origin</t>
        </is>
      </c>
      <c r="C16" t="n">
        <v>2022</v>
      </c>
      <c r="D16" t="inlineStr">
        <is>
          <t>201/196</t>
        </is>
      </c>
      <c r="E16" t="inlineStr">
        <is>
          <t>SWSH Alt Art</t>
        </is>
      </c>
      <c r="F16" t="n">
        <v>150</v>
      </c>
      <c r="G16" t="n">
        <v>500</v>
      </c>
      <c r="H16" t="n">
        <v>175</v>
      </c>
      <c r="I16" t="inlineStr">
        <is>
          <t>❌ DON'T GRADE</t>
        </is>
      </c>
    </row>
    <row r="17">
      <c r="A17" t="inlineStr">
        <is>
          <t>Snorlax SIR</t>
        </is>
      </c>
      <c r="B17" t="inlineStr">
        <is>
          <t>Surging Sparks</t>
        </is>
      </c>
      <c r="C17" t="n">
        <v>2024</v>
      </c>
      <c r="D17" t="inlineStr">
        <is>
          <t>—</t>
        </is>
      </c>
      <c r="E17" t="inlineStr">
        <is>
          <t>Modern SIR</t>
        </is>
      </c>
      <c r="F17" t="n">
        <v>300</v>
      </c>
      <c r="G17" t="n">
        <v>1500</v>
      </c>
      <c r="H17" t="n">
        <v>450</v>
      </c>
      <c r="I17" t="inlineStr">
        <is>
          <t>✅ GRADE IT</t>
        </is>
      </c>
    </row>
    <row r="18">
      <c r="A18" t="inlineStr">
        <is>
          <t xml:space="preserve">  ◆  💰 TIER B — $100–$300 Raw  (Best Flip Zone)</t>
        </is>
      </c>
    </row>
    <row r="19">
      <c r="A19" t="inlineStr">
        <is>
          <t>Giratina V Alt Art</t>
        </is>
      </c>
      <c r="B19" t="inlineStr">
        <is>
          <t>Lost Origin</t>
        </is>
      </c>
      <c r="C19" t="n">
        <v>2022</v>
      </c>
      <c r="D19" t="inlineStr">
        <is>
          <t>182/196</t>
        </is>
      </c>
      <c r="E19" t="inlineStr">
        <is>
          <t>SWSH Alt Art</t>
        </is>
      </c>
      <c r="F19" t="n">
        <v>120</v>
      </c>
      <c r="G19" t="n">
        <v>450</v>
      </c>
      <c r="H19" t="n">
        <v>160</v>
      </c>
      <c r="I19" t="inlineStr">
        <is>
          <t>⚠️ MARGINAL</t>
        </is>
      </c>
    </row>
    <row r="20">
      <c r="A20" t="inlineStr">
        <is>
          <t>Charizard V Alt Art</t>
        </is>
      </c>
      <c r="B20" t="inlineStr">
        <is>
          <t>Brilliant Stars</t>
        </is>
      </c>
      <c r="C20" t="n">
        <v>2022</v>
      </c>
      <c r="D20" t="inlineStr">
        <is>
          <t>154/172</t>
        </is>
      </c>
      <c r="E20" t="inlineStr">
        <is>
          <t>SWSH Alt Art</t>
        </is>
      </c>
      <c r="F20" t="n">
        <v>90</v>
      </c>
      <c r="G20" t="n">
        <v>300</v>
      </c>
      <c r="H20" t="n">
        <v>100</v>
      </c>
      <c r="I20" t="inlineStr">
        <is>
          <t>❌ DON'T GRADE</t>
        </is>
      </c>
    </row>
    <row r="21">
      <c r="A21" t="inlineStr">
        <is>
          <t>Venusaur ex SIR</t>
        </is>
      </c>
      <c r="B21" t="inlineStr">
        <is>
          <t>Scarlet &amp; Violet 151</t>
        </is>
      </c>
      <c r="C21" t="n">
        <v>2023</v>
      </c>
      <c r="D21" t="inlineStr">
        <is>
          <t>—</t>
        </is>
      </c>
      <c r="E21" t="inlineStr">
        <is>
          <t>Modern SIR</t>
        </is>
      </c>
      <c r="F21" t="n">
        <v>140</v>
      </c>
      <c r="G21" t="n">
        <v>580</v>
      </c>
      <c r="H21" t="n">
        <v>190</v>
      </c>
      <c r="I21" t="inlineStr">
        <is>
          <t>⚠️ MARGINAL</t>
        </is>
      </c>
    </row>
    <row r="22">
      <c r="A22" t="inlineStr">
        <is>
          <t>Blastoise ex SIR</t>
        </is>
      </c>
      <c r="B22" t="inlineStr">
        <is>
          <t>Scarlet &amp; Violet 151</t>
        </is>
      </c>
      <c r="C22" t="n">
        <v>2023</v>
      </c>
      <c r="D22" t="inlineStr">
        <is>
          <t>—</t>
        </is>
      </c>
      <c r="E22" t="inlineStr">
        <is>
          <t>Modern SIR</t>
        </is>
      </c>
      <c r="F22" t="n">
        <v>130</v>
      </c>
      <c r="G22" t="n">
        <v>550</v>
      </c>
      <c r="H22" t="n">
        <v>180</v>
      </c>
      <c r="I22" t="inlineStr">
        <is>
          <t>⚠️ MARGINAL</t>
        </is>
      </c>
    </row>
    <row r="23">
      <c r="A23" t="inlineStr">
        <is>
          <t>Pikachu with Paldean Starters Promo</t>
        </is>
      </c>
      <c r="B23" t="inlineStr">
        <is>
          <t>Pokemon Center Promo</t>
        </is>
      </c>
      <c r="C23" t="n">
        <v>2023</v>
      </c>
      <c r="D23" t="inlineStr">
        <is>
          <t>N/A</t>
        </is>
      </c>
      <c r="E23" t="inlineStr">
        <is>
          <t>Modern Promo</t>
        </is>
      </c>
      <c r="F23" t="n">
        <v>150</v>
      </c>
      <c r="G23" t="n">
        <v>1500</v>
      </c>
      <c r="H23" t="n">
        <v>400</v>
      </c>
      <c r="I23" t="inlineStr">
        <is>
          <t>✅ STRONG GRADE</t>
        </is>
      </c>
    </row>
    <row r="24">
      <c r="A24" t="inlineStr">
        <is>
          <t>Mew ex SIR #232</t>
        </is>
      </c>
      <c r="B24" t="inlineStr">
        <is>
          <t>Paldean Fates</t>
        </is>
      </c>
      <c r="C24" t="n">
        <v>2024</v>
      </c>
      <c r="D24" t="inlineStr">
        <is>
          <t>232/091</t>
        </is>
      </c>
      <c r="E24" t="inlineStr">
        <is>
          <t>Modern SIR</t>
        </is>
      </c>
      <c r="F24" t="n">
        <v>90</v>
      </c>
      <c r="G24" t="n">
        <v>450</v>
      </c>
      <c r="H24" t="n">
        <v>155</v>
      </c>
      <c r="I24" t="inlineStr">
        <is>
          <t>✅ GRADE IT</t>
        </is>
      </c>
    </row>
    <row r="25">
      <c r="A25" t="inlineStr">
        <is>
          <t>Gengar ex SIR</t>
        </is>
      </c>
      <c r="B25" t="inlineStr">
        <is>
          <t>Paradox Rift</t>
        </is>
      </c>
      <c r="C25" t="n">
        <v>2023</v>
      </c>
      <c r="D25" t="inlineStr">
        <is>
          <t>—</t>
        </is>
      </c>
      <c r="E25" t="inlineStr">
        <is>
          <t>Modern SIR</t>
        </is>
      </c>
      <c r="F25" t="n">
        <v>100</v>
      </c>
      <c r="G25" t="n">
        <v>380</v>
      </c>
      <c r="H25" t="n">
        <v>130</v>
      </c>
      <c r="I25" t="inlineStr">
        <is>
          <t>⚠️ MARGINAL</t>
        </is>
      </c>
    </row>
    <row r="26">
      <c r="A26" t="inlineStr">
        <is>
          <t>Charizard ex SAR</t>
        </is>
      </c>
      <c r="B26" t="inlineStr">
        <is>
          <t>Scarlet &amp; Violet 151</t>
        </is>
      </c>
      <c r="C26" t="n">
        <v>2023</v>
      </c>
      <c r="D26" t="inlineStr">
        <is>
          <t>—</t>
        </is>
      </c>
      <c r="E26" t="inlineStr">
        <is>
          <t>Modern SAR</t>
        </is>
      </c>
      <c r="F26" t="n">
        <v>120</v>
      </c>
      <c r="G26" t="n">
        <v>420</v>
      </c>
      <c r="H26" t="n">
        <v>140</v>
      </c>
      <c r="I26" t="inlineStr">
        <is>
          <t>⚠️ MARGINAL</t>
        </is>
      </c>
    </row>
    <row r="27">
      <c r="A27" t="inlineStr">
        <is>
          <t>Mega Lucario ex SIR</t>
        </is>
      </c>
      <c r="B27" t="inlineStr">
        <is>
          <t>Ascended Heroes</t>
        </is>
      </c>
      <c r="C27" t="n">
        <v>2026</v>
      </c>
      <c r="D27" t="inlineStr">
        <is>
          <t>—</t>
        </is>
      </c>
      <c r="E27" t="inlineStr">
        <is>
          <t>Modern SIR</t>
        </is>
      </c>
      <c r="F27" t="n">
        <v>200</v>
      </c>
      <c r="G27" t="n">
        <v>1000</v>
      </c>
      <c r="H27" t="n">
        <v>350</v>
      </c>
      <c r="I27" t="inlineStr">
        <is>
          <t>✅ GRADE IT</t>
        </is>
      </c>
    </row>
    <row r="28">
      <c r="A28" t="inlineStr">
        <is>
          <t xml:space="preserve">  ◆  🔨 TIER C — Under $100 Raw  (Budget Grind)</t>
        </is>
      </c>
    </row>
    <row r="29">
      <c r="A29" t="inlineStr">
        <is>
          <t>Mew VMAX Alt Art</t>
        </is>
      </c>
      <c r="B29" t="inlineStr">
        <is>
          <t>Fusion Strike</t>
        </is>
      </c>
      <c r="C29" t="n">
        <v>2021</v>
      </c>
      <c r="D29" t="inlineStr">
        <is>
          <t>269/264</t>
        </is>
      </c>
      <c r="E29" t="inlineStr">
        <is>
          <t>SWSH Alt Art</t>
        </is>
      </c>
      <c r="F29" t="n">
        <v>60</v>
      </c>
      <c r="G29" t="n">
        <v>220</v>
      </c>
      <c r="H29" t="n">
        <v>80</v>
      </c>
      <c r="I29" t="inlineStr">
        <is>
          <t>❌ DON'T GRADE</t>
        </is>
      </c>
    </row>
    <row r="30">
      <c r="A30" t="inlineStr">
        <is>
          <t>Mew V Alt Art</t>
        </is>
      </c>
      <c r="B30" t="inlineStr">
        <is>
          <t>Fusion Strike</t>
        </is>
      </c>
      <c r="C30" t="n">
        <v>2021</v>
      </c>
      <c r="D30" t="inlineStr">
        <is>
          <t>268/264</t>
        </is>
      </c>
      <c r="E30" t="inlineStr">
        <is>
          <t>SWSH Alt Art</t>
        </is>
      </c>
      <c r="F30" t="n">
        <v>35</v>
      </c>
      <c r="G30" t="n">
        <v>150</v>
      </c>
      <c r="H30" t="n">
        <v>55</v>
      </c>
      <c r="I30" t="inlineStr">
        <is>
          <t>❌ DON'T GRADE</t>
        </is>
      </c>
    </row>
    <row r="31">
      <c r="A31" t="inlineStr">
        <is>
          <t>Gengar VMAX Alt Art</t>
        </is>
      </c>
      <c r="B31" t="inlineStr">
        <is>
          <t>Fusion Strike</t>
        </is>
      </c>
      <c r="C31" t="n">
        <v>2021</v>
      </c>
      <c r="D31" t="inlineStr">
        <is>
          <t>271/264</t>
        </is>
      </c>
      <c r="E31" t="inlineStr">
        <is>
          <t>SWSH Alt Art</t>
        </is>
      </c>
      <c r="F31" t="n">
        <v>80</v>
      </c>
      <c r="G31" t="n">
        <v>280</v>
      </c>
      <c r="H31" t="n">
        <v>95</v>
      </c>
      <c r="I31" t="inlineStr">
        <is>
          <t>❌ DON'T GRADE</t>
        </is>
      </c>
    </row>
    <row r="32">
      <c r="A32" t="inlineStr">
        <is>
          <t>Sylveon VMAX Alt Art</t>
        </is>
      </c>
      <c r="B32" t="inlineStr">
        <is>
          <t>Evolving Skies</t>
        </is>
      </c>
      <c r="C32" t="n">
        <v>2021</v>
      </c>
      <c r="D32" t="inlineStr">
        <is>
          <t>—</t>
        </is>
      </c>
      <c r="E32" t="inlineStr">
        <is>
          <t>SWSH Alt Art</t>
        </is>
      </c>
      <c r="F32" t="n">
        <v>70</v>
      </c>
      <c r="G32" t="n">
        <v>250</v>
      </c>
      <c r="H32" t="n">
        <v>90</v>
      </c>
      <c r="I32" t="inlineStr">
        <is>
          <t>❌ DON'T GRADE</t>
        </is>
      </c>
    </row>
    <row r="33">
      <c r="A33" t="inlineStr">
        <is>
          <t>Umbreon V Alt Art</t>
        </is>
      </c>
      <c r="B33" t="inlineStr">
        <is>
          <t>Evolving Skies</t>
        </is>
      </c>
      <c r="C33" t="n">
        <v>2021</v>
      </c>
      <c r="D33" t="inlineStr">
        <is>
          <t>—</t>
        </is>
      </c>
      <c r="E33" t="inlineStr">
        <is>
          <t>SWSH Alt Art</t>
        </is>
      </c>
      <c r="F33" t="n">
        <v>50</v>
      </c>
      <c r="G33" t="n">
        <v>180</v>
      </c>
      <c r="H33" t="n">
        <v>65</v>
      </c>
      <c r="I33" t="inlineStr">
        <is>
          <t>❌ DON'T GRADE</t>
        </is>
      </c>
    </row>
    <row r="34">
      <c r="A34" t="inlineStr">
        <is>
          <t>Pikachu 151 Illustration Rare</t>
        </is>
      </c>
      <c r="B34" t="inlineStr">
        <is>
          <t>Scarlet &amp; Violet 151</t>
        </is>
      </c>
      <c r="C34" t="n">
        <v>2023</v>
      </c>
      <c r="D34" t="inlineStr">
        <is>
          <t>173/165</t>
        </is>
      </c>
      <c r="E34" t="inlineStr">
        <is>
          <t>Modern IR</t>
        </is>
      </c>
      <c r="F34" t="n">
        <v>25</v>
      </c>
      <c r="G34" t="n">
        <v>180</v>
      </c>
      <c r="H34" t="n">
        <v>65</v>
      </c>
      <c r="I34" t="inlineStr">
        <is>
          <t>⚠️ MARGINAL</t>
        </is>
      </c>
    </row>
    <row r="35">
      <c r="A35" t="inlineStr">
        <is>
          <t>Charizard (Celebrations, Classic)</t>
        </is>
      </c>
      <c r="B35" t="inlineStr">
        <is>
          <t>Celebrations</t>
        </is>
      </c>
      <c r="C35" t="n">
        <v>2021</v>
      </c>
      <c r="D35" t="inlineStr">
        <is>
          <t>4/25</t>
        </is>
      </c>
      <c r="E35" t="inlineStr">
        <is>
          <t>Modern Promo</t>
        </is>
      </c>
      <c r="F35" t="n">
        <v>20</v>
      </c>
      <c r="G35" t="n">
        <v>80</v>
      </c>
      <c r="H35" t="n">
        <v>30</v>
      </c>
      <c r="I35" t="inlineStr">
        <is>
          <t>❌ DON'T 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2026-05-12T07:05:01Z</dcterms:created>
  <dcterms:modified xmlns:dcterms="http://purl.org/dc/terms/" xmlns:xsi="http://www.w3.org/2001/XMLSchema-instance" xsi:type="dcterms:W3CDTF">2026-05-13T04:46:28Z</dcterms:modified>
  <cp:revision>0</cp:revision>
</cp:coreProperties>
</file>